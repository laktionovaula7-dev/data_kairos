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лия\Desktop\Дашборд\"/>
    </mc:Choice>
  </mc:AlternateContent>
  <xr:revisionPtr revIDLastSave="0" documentId="13_ncr:1_{14F015AF-C276-4BFA-A606-EC9BF928772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2025" sheetId="1" state="hidden" r:id="rId1"/>
    <sheet name="2026" sheetId="2" state="hidden" r:id="rId2"/>
    <sheet name="Лист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3" l="1"/>
  <c r="E21" i="3"/>
  <c r="L11" i="2"/>
  <c r="L19" i="2"/>
  <c r="L18" i="2"/>
  <c r="L17" i="2"/>
  <c r="L16" i="2"/>
  <c r="L15" i="2"/>
  <c r="L14" i="2"/>
  <c r="L13" i="2"/>
  <c r="L12" i="2"/>
  <c r="L10" i="2"/>
  <c r="L9" i="2"/>
  <c r="L8" i="2"/>
  <c r="J20" i="2"/>
  <c r="I20" i="2"/>
  <c r="H20" i="2"/>
  <c r="G20" i="2"/>
  <c r="F20" i="2"/>
  <c r="E20" i="2"/>
  <c r="L21" i="2" l="1"/>
  <c r="K21" i="2"/>
  <c r="H21" i="2"/>
  <c r="E21" i="2"/>
  <c r="R19" i="1"/>
  <c r="R20" i="1"/>
  <c r="D22" i="2" l="1"/>
  <c r="R18" i="1"/>
  <c r="R17" i="1"/>
  <c r="R15" i="1"/>
  <c r="R16" i="1"/>
  <c r="R13" i="1" l="1"/>
  <c r="R14" i="1"/>
  <c r="R12" i="1"/>
  <c r="Q24" i="1" l="1"/>
  <c r="P24" i="1"/>
  <c r="O24" i="1"/>
  <c r="N24" i="1"/>
  <c r="M24" i="1"/>
  <c r="L24" i="1"/>
  <c r="I24" i="1"/>
  <c r="L25" i="1" l="1"/>
  <c r="O25" i="1"/>
  <c r="G24" i="1"/>
  <c r="K26" i="1" l="1"/>
  <c r="J24" i="1"/>
  <c r="F24" i="1"/>
  <c r="E24" i="1"/>
  <c r="E25" i="1" l="1"/>
  <c r="H24" i="1"/>
  <c r="H25" i="1" s="1"/>
  <c r="D26" i="1" l="1"/>
  <c r="I30" i="1" s="1"/>
</calcChain>
</file>

<file path=xl/sharedStrings.xml><?xml version="1.0" encoding="utf-8"?>
<sst xmlns="http://schemas.openxmlformats.org/spreadsheetml/2006/main" count="131" uniqueCount="42">
  <si>
    <t xml:space="preserve">ООО «Кайрос» </t>
  </si>
  <si>
    <t>KRONbuild</t>
  </si>
  <si>
    <t>HEADROCK</t>
  </si>
  <si>
    <t>Офис</t>
  </si>
  <si>
    <t>ВЛ</t>
  </si>
  <si>
    <t>МСК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</si>
  <si>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</si>
  <si>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</si>
  <si>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</si>
  <si>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</si>
  <si>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</si>
  <si>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</si>
  <si>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</si>
  <si>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</si>
  <si>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</si>
  <si>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</si>
  <si>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</si>
  <si>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</si>
  <si>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</si>
  <si>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ИТОГО 2024</t>
  </si>
  <si>
    <t>ВЛ ОПТ</t>
  </si>
  <si>
    <t>МСК ОПТ</t>
  </si>
  <si>
    <t>МСК СЕТИ</t>
  </si>
  <si>
    <t>Утвержденный план продаж на 2025 г.</t>
  </si>
  <si>
    <t>Директор</t>
  </si>
  <si>
    <t>Коммерческий директор</t>
  </si>
  <si>
    <t>Финансовый директор</t>
  </si>
  <si>
    <t>Руководитель отдела сети</t>
  </si>
  <si>
    <t>Жилин Е.В.</t>
  </si>
  <si>
    <t>Горбачёв К.Р.</t>
  </si>
  <si>
    <t>Бурилова В.В.</t>
  </si>
  <si>
    <t>Зыков А.Г.</t>
  </si>
  <si>
    <t>Директор по продажам</t>
  </si>
  <si>
    <t>Лаптев Д.А.</t>
  </si>
  <si>
    <t>Михайлова С.С.</t>
  </si>
  <si>
    <t>Руководитель отдела продаж KRONbuild</t>
  </si>
  <si>
    <t>Руководитель отдела продаж HeadRock</t>
  </si>
  <si>
    <t>Гололобова Н.А.</t>
  </si>
  <si>
    <t>Утвержденный план продаж на 2026 г.</t>
  </si>
  <si>
    <t>ИТОГО 2026</t>
  </si>
  <si>
    <t>Филиал</t>
  </si>
  <si>
    <t>KRONbuild+Enki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</si>
</sst>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2F5496"/>
      <name val="Calibri Light"/>
      <family val="2"/>
      <charset val="204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164" fontId="5" fillId="3" borderId="6" xfId="0" applyNumberFormat="1" applyFont="1" applyFill="1" applyBorder="1" applyAlignment="1">
      <alignment horizontal="center" vertical="center" wrapText="1"/>
    </xf>
    <xf numFmtId="44" fontId="5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4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6" xfId="0" applyBorder="1"/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142876</xdr:colOff>
      <xdr:row>4</xdr:row>
      <xdr:rowOff>114300</xdr:rowOff>
    </xdr:from>
    <xdr:to>
      <xdr:col>8</xdr:col>
      <xdr:colOff>1443831</xdr:colOff>
      <xdr:row>9</xdr:row>
      <xdr:rowOff>114300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BCCD03E3-19CA-487D-B47D-111F506A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6" y="685800"/>
          <a:ext cx="130095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228601</xdr:colOff>
      <xdr:row>4</xdr:row>
      <xdr:rowOff>171451</xdr:rowOff>
    </xdr:from>
    <xdr:to>
      <xdr:col>5</xdr:col>
      <xdr:colOff>1257301</xdr:colOff>
      <xdr:row>8</xdr:row>
      <xdr:rowOff>99264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38A1ED54-3C79-4A7D-B982-454D14B7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2" t="11200" r="13821" b="21600"/>
        <a:stretch>
          <a:fillRect/>
        </a:stretch>
      </xdr:blipFill>
      <xdr:spPr bwMode="auto">
        <a:xfrm>
          <a:off x="5838826" y="742951"/>
          <a:ext cx="1028700" cy="832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142876</xdr:colOff>
      <xdr:row>4</xdr:row>
      <xdr:rowOff>114300</xdr:rowOff>
    </xdr:from>
    <xdr:to>
      <xdr:col>8</xdr:col>
      <xdr:colOff>1443831</xdr:colOff>
      <xdr:row>9</xdr:row>
      <xdr:rowOff>114300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EF110492-97F7-4855-85E5-DAC02DBB6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4326" y="876300"/>
          <a:ext cx="130095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228600</xdr:colOff>
      <xdr:row>4</xdr:row>
      <xdr:rowOff>171451</xdr:rowOff>
    </xdr:from>
    <xdr:to>
      <xdr:col>5</xdr:col>
      <xdr:colOff>1733549</xdr:colOff>
      <xdr:row>8</xdr:row>
      <xdr:rowOff>99264</xdr:rowOff>
    </xdr:to>
    <xdr:pic>
      <xdr:nvPicPr>
        <xdr:cNvPr id="5" name="Рисунок 1">
          <a:extLst>
            <a:ext uri="{FF2B5EF4-FFF2-40B4-BE49-F238E27FC236}">
              <a16:creationId xmlns:a16="http://schemas.microsoft.com/office/drawing/2014/main" id="{34719151-C710-41A6-A034-858C67AF9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2" t="11200" r="13821" b="21600"/>
        <a:stretch>
          <a:fillRect/>
        </a:stretch>
      </xdr:blipFill>
      <xdr:spPr bwMode="auto">
        <a:xfrm>
          <a:off x="6610350" y="933451"/>
          <a:ext cx="1504949" cy="832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142876</xdr:colOff>
      <xdr:row>0</xdr:row>
      <xdr:rowOff>114300</xdr:rowOff>
    </xdr:from>
    <xdr:to>
      <xdr:col>8</xdr:col>
      <xdr:colOff>1443831</xdr:colOff>
      <xdr:row>5</xdr:row>
      <xdr:rowOff>114300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2533FC19-6CCE-4403-88E5-993FC738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1" y="114300"/>
          <a:ext cx="130095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228601</xdr:colOff>
      <xdr:row>0</xdr:row>
      <xdr:rowOff>171451</xdr:rowOff>
    </xdr:from>
    <xdr:to>
      <xdr:col>5</xdr:col>
      <xdr:colOff>1257301</xdr:colOff>
      <xdr:row>4</xdr:row>
      <xdr:rowOff>99264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9782FF97-97C8-448C-A179-D067800C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2" t="11200" r="13821" b="21600"/>
        <a:stretch>
          <a:fillRect/>
        </a:stretch>
      </xdr:blipFill>
      <xdr:spPr bwMode="auto">
        <a:xfrm>
          <a:off x="6610351" y="171451"/>
          <a:ext cx="1028700" cy="832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142876</xdr:colOff>
      <xdr:row>0</xdr:row>
      <xdr:rowOff>114300</xdr:rowOff>
    </xdr:from>
    <xdr:to>
      <xdr:col>8</xdr:col>
      <xdr:colOff>1443831</xdr:colOff>
      <xdr:row>5</xdr:row>
      <xdr:rowOff>114300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4FB939F9-87CA-4333-A5CE-C9ADE368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1" y="114300"/>
          <a:ext cx="130095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228601</xdr:colOff>
      <xdr:row>0</xdr:row>
      <xdr:rowOff>171451</xdr:rowOff>
    </xdr:from>
    <xdr:to>
      <xdr:col>5</xdr:col>
      <xdr:colOff>1657351</xdr:colOff>
      <xdr:row>4</xdr:row>
      <xdr:rowOff>57103</xdr:rowOff>
    </xdr:to>
    <xdr:pic>
      <xdr:nvPicPr>
        <xdr:cNvPr id="5" name="Рисунок 1">
          <a:extLst>
            <a:ext uri="{FF2B5EF4-FFF2-40B4-BE49-F238E27FC236}">
              <a16:creationId xmlns:a16="http://schemas.microsoft.com/office/drawing/2014/main" id="{B8F8CE0B-644D-41C8-B0D9-5F34F695F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2" t="11200" r="13821" b="21600"/>
        <a:stretch>
          <a:fillRect/>
        </a:stretch>
      </xdr:blipFill>
      <xdr:spPr bwMode="auto">
        <a:xfrm>
          <a:off x="6610351" y="171451"/>
          <a:ext cx="1428750" cy="790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6:S44"/>
  <sheetViews>
    <sheetView zoomScale="50" zoomScaleNormal="50" workbookViewId="0">
      <selection activeCell="D10" sqref="D10:J27"/>
    </sheetView>
  </sheetViews>
  <sheetFormatPr defaultColWidth="20.7265625" defaultRowHeight="14.5" x14ac:dyDescent="0.35"/>
  <cols>
    <col min="11" max="11" width="0" hidden="1" customWidth="1"/>
    <col min="12" max="12" width="21.453125" hidden="1" customWidth="1"/>
    <col min="13" max="19" width="0" hidden="1" customWidth="1"/>
  </cols>
  <sheetData>
    <row r="6" spans="4:19" ht="18.5" x14ac:dyDescent="0.45">
      <c r="D6" s="1"/>
      <c r="E6" s="1"/>
      <c r="F6" s="1"/>
      <c r="G6" s="1"/>
      <c r="H6" s="1"/>
      <c r="I6" s="1"/>
      <c r="J6" s="1"/>
    </row>
    <row r="7" spans="4:19" ht="18.5" x14ac:dyDescent="0.45">
      <c r="D7" s="2" t="s">
        <v>0</v>
      </c>
      <c r="E7" s="1"/>
      <c r="F7" s="1"/>
      <c r="G7" s="1"/>
      <c r="H7" s="1"/>
      <c r="I7" s="1"/>
      <c r="J7" s="1"/>
    </row>
    <row r="8" spans="4:19" ht="18.5" x14ac:dyDescent="0.45">
      <c r="D8" s="3" t="s">
        <v>23</v>
      </c>
      <c r="E8" s="1"/>
      <c r="F8" s="1"/>
      <c r="G8" s="1"/>
      <c r="H8" s="1"/>
      <c r="I8" s="1"/>
      <c r="J8" s="1"/>
    </row>
    <row r="9" spans="4:19" ht="19" thickBot="1" x14ac:dyDescent="0.5">
      <c r="D9" s="4"/>
      <c r="E9" s="1"/>
      <c r="F9" s="1"/>
      <c r="G9" s="1"/>
      <c r="H9" s="1"/>
      <c r="I9" s="1"/>
      <c r="J9" s="1"/>
    </row>
    <row r="10" spans="4:19" ht="19" thickBot="1" x14ac:dyDescent="0.4">
      <c r="D10" s="25" t="s">
        <v>1</v>
      </c>
      <c r="E10" s="26"/>
      <c r="F10" s="26"/>
      <c r="G10" s="27"/>
      <c r="H10" s="28" t="s">
        <v>2</v>
      </c>
      <c r="I10" s="29"/>
      <c r="J10" s="30"/>
      <c r="K10" s="25" t="s">
        <v>1</v>
      </c>
      <c r="L10" s="26"/>
      <c r="M10" s="26"/>
      <c r="N10" s="27"/>
      <c r="O10" s="28" t="s">
        <v>2</v>
      </c>
      <c r="P10" s="29"/>
      <c r="Q10" s="30"/>
    </row>
    <row r="11" spans="4:19" ht="19" thickBot="1" x14ac:dyDescent="0.4">
      <c r="D11" s="5" t="s">
        <v>3</v>
      </c>
      <c r="E11" s="6" t="s">
        <v>20</v>
      </c>
      <c r="F11" s="6" t="s">
        <v>21</v>
      </c>
      <c r="G11" s="6" t="s">
        <v>22</v>
      </c>
      <c r="H11" s="7" t="s">
        <v>4</v>
      </c>
      <c r="I11" s="7" t="s">
        <v>5</v>
      </c>
      <c r="J11" s="7" t="s">
        <v>22</v>
      </c>
      <c r="K11" s="5" t="s">
        <v>3</v>
      </c>
      <c r="L11" s="6" t="s">
        <v>20</v>
      </c>
      <c r="M11" s="6" t="s">
        <v>21</v>
      </c>
      <c r="N11" s="6" t="s">
        <v>22</v>
      </c>
      <c r="O11" s="7" t="s">
        <v>4</v>
      </c>
      <c r="P11" s="7" t="s">
        <v>5</v>
      </c>
      <c r="Q11" s="7" t="s">
        <v>22</v>
      </c>
      <c r="R11" s="21">
        <v>2025</v>
      </c>
      <c r="S11" s="21">
        <v>2024</v>
      </c>
    </row>
    <row r="12" spans="4:19" ht="19" thickBot="1" x14ac:dyDescent="0.4">
      <c r="D12" s="8" t="s">
        <v>6</v>
      </c>
      <c r="E12" s="9">
        <v>27000000</v>
      </c>
      <c r="F12" s="10">
        <v>32000000</v>
      </c>
      <c r="G12" s="10">
        <v>6000000</v>
      </c>
      <c r="H12" s="11">
        <v>2000000</v>
      </c>
      <c r="I12" s="11">
        <v>6500000</v>
      </c>
      <c r="J12" s="11">
        <v>2500000</v>
      </c>
      <c r="K12" s="8" t="s">
        <v>6</v>
      </c>
      <c r="L12" s="9">
        <v>12832334.58842</v>
      </c>
      <c r="M12" s="10">
        <v>28716000</v>
      </c>
      <c r="N12" s="10">
        <v>6777473</v>
      </c>
      <c r="O12" s="16">
        <v>2368205.42</v>
      </c>
      <c r="P12" s="16">
        <v>6524857</v>
      </c>
      <c r="Q12" s="16">
        <v>3231349</v>
      </c>
      <c r="R12" s="22">
        <f>+L12+M12+N12+O12+P12+Q12</f>
        <v>60450219.008420005</v>
      </c>
      <c r="S12" s="22">
        <v>48006378</v>
      </c>
    </row>
    <row r="13" spans="4:19" ht="19" thickBot="1" x14ac:dyDescent="0.4">
      <c r="D13" s="8" t="s">
        <v>7</v>
      </c>
      <c r="E13" s="9">
        <v>32250000</v>
      </c>
      <c r="F13" s="10">
        <v>28000000</v>
      </c>
      <c r="G13" s="10">
        <v>6000000</v>
      </c>
      <c r="H13" s="11">
        <v>2500000</v>
      </c>
      <c r="I13" s="11">
        <v>7000000</v>
      </c>
      <c r="J13" s="11">
        <v>2750000</v>
      </c>
      <c r="K13" s="8" t="s">
        <v>7</v>
      </c>
      <c r="L13" s="9">
        <v>31400000</v>
      </c>
      <c r="M13" s="10">
        <v>18600000</v>
      </c>
      <c r="N13" s="10">
        <v>8000000</v>
      </c>
      <c r="O13" s="16">
        <v>2800000</v>
      </c>
      <c r="P13" s="16">
        <v>9700000</v>
      </c>
      <c r="Q13" s="16">
        <v>4100000</v>
      </c>
      <c r="R13" s="22">
        <f t="shared" ref="R13:R16" si="0">+L13+M13+N13+O13+P13+Q13</f>
        <v>74600000</v>
      </c>
      <c r="S13" s="22">
        <v>62284240</v>
      </c>
    </row>
    <row r="14" spans="4:19" ht="19" thickBot="1" x14ac:dyDescent="0.4">
      <c r="D14" s="8" t="s">
        <v>8</v>
      </c>
      <c r="E14" s="9">
        <v>40400000</v>
      </c>
      <c r="F14" s="10">
        <v>45000000</v>
      </c>
      <c r="G14" s="10">
        <v>6100000</v>
      </c>
      <c r="H14" s="11">
        <v>3000000</v>
      </c>
      <c r="I14" s="11">
        <v>9500000</v>
      </c>
      <c r="J14" s="11">
        <v>3000000</v>
      </c>
      <c r="K14" s="8" t="s">
        <v>8</v>
      </c>
      <c r="L14" s="9">
        <v>54306851</v>
      </c>
      <c r="M14" s="10">
        <v>31277295</v>
      </c>
      <c r="N14" s="10">
        <v>6858347</v>
      </c>
      <c r="O14" s="16">
        <v>3763000</v>
      </c>
      <c r="P14" s="16">
        <v>9827000</v>
      </c>
      <c r="Q14" s="16">
        <v>3475646</v>
      </c>
      <c r="R14" s="22">
        <f t="shared" si="0"/>
        <v>109508139</v>
      </c>
      <c r="S14" s="22">
        <v>81374024</v>
      </c>
    </row>
    <row r="15" spans="4:19" ht="19" thickBot="1" x14ac:dyDescent="0.4">
      <c r="D15" s="8" t="s">
        <v>9</v>
      </c>
      <c r="E15" s="9">
        <v>45000000</v>
      </c>
      <c r="F15" s="10">
        <v>50500000</v>
      </c>
      <c r="G15" s="10">
        <v>7500000</v>
      </c>
      <c r="H15" s="11">
        <v>4000000</v>
      </c>
      <c r="I15" s="11">
        <v>13000000</v>
      </c>
      <c r="J15" s="11">
        <v>3500000</v>
      </c>
      <c r="K15" s="8" t="s">
        <v>9</v>
      </c>
      <c r="L15" s="9">
        <v>39000321</v>
      </c>
      <c r="M15" s="10">
        <v>34706000</v>
      </c>
      <c r="N15" s="10">
        <v>10112538</v>
      </c>
      <c r="O15" s="16">
        <v>3833040</v>
      </c>
      <c r="P15" s="16">
        <v>11927000</v>
      </c>
      <c r="Q15" s="16">
        <v>6290230</v>
      </c>
      <c r="R15" s="22">
        <f t="shared" si="0"/>
        <v>105869129</v>
      </c>
      <c r="S15" s="22">
        <v>76234128</v>
      </c>
    </row>
    <row r="16" spans="4:19" ht="19" thickBot="1" x14ac:dyDescent="0.4">
      <c r="D16" s="8" t="s">
        <v>10</v>
      </c>
      <c r="E16" s="9">
        <v>50000000</v>
      </c>
      <c r="F16" s="10">
        <v>52000000</v>
      </c>
      <c r="G16" s="10">
        <v>7400000</v>
      </c>
      <c r="H16" s="11">
        <v>5000000</v>
      </c>
      <c r="I16" s="11">
        <v>15000000</v>
      </c>
      <c r="J16" s="11">
        <v>3600000</v>
      </c>
      <c r="K16" s="8" t="s">
        <v>10</v>
      </c>
      <c r="L16" s="9">
        <v>42547214</v>
      </c>
      <c r="M16" s="10">
        <v>38257045</v>
      </c>
      <c r="N16" s="10">
        <v>8202201</v>
      </c>
      <c r="O16" s="16">
        <v>5249000</v>
      </c>
      <c r="P16" s="16">
        <v>11184456</v>
      </c>
      <c r="Q16" s="16">
        <v>4625498</v>
      </c>
      <c r="R16" s="22">
        <f t="shared" si="0"/>
        <v>110065414</v>
      </c>
      <c r="S16" s="22">
        <v>84161146</v>
      </c>
    </row>
    <row r="17" spans="4:19" ht="19" thickBot="1" x14ac:dyDescent="0.4">
      <c r="D17" s="8" t="s">
        <v>11</v>
      </c>
      <c r="E17" s="9">
        <v>56000000</v>
      </c>
      <c r="F17" s="10">
        <v>57000000</v>
      </c>
      <c r="G17" s="10">
        <v>9500000</v>
      </c>
      <c r="H17" s="11">
        <v>6000000</v>
      </c>
      <c r="I17" s="11">
        <v>16500000</v>
      </c>
      <c r="J17" s="11">
        <v>4000000</v>
      </c>
      <c r="K17" s="8" t="s">
        <v>11</v>
      </c>
      <c r="L17" s="9">
        <v>54207269</v>
      </c>
      <c r="M17" s="10">
        <v>44464336</v>
      </c>
      <c r="N17" s="10">
        <v>11954955</v>
      </c>
      <c r="O17" s="16">
        <v>5525000</v>
      </c>
      <c r="P17" s="16">
        <v>11125840</v>
      </c>
      <c r="Q17" s="16">
        <v>3600000</v>
      </c>
      <c r="R17" s="23">
        <f>L17+M17+N17+O17+P17+Q17</f>
        <v>130877400</v>
      </c>
      <c r="S17" s="24">
        <v>84250480</v>
      </c>
    </row>
    <row r="18" spans="4:19" ht="19" thickBot="1" x14ac:dyDescent="0.4">
      <c r="D18" s="8" t="s">
        <v>12</v>
      </c>
      <c r="E18" s="17">
        <v>56000000</v>
      </c>
      <c r="F18" s="18">
        <v>60000000</v>
      </c>
      <c r="G18" s="18">
        <v>13000000</v>
      </c>
      <c r="H18" s="11">
        <v>6500000</v>
      </c>
      <c r="I18" s="11">
        <v>17500000</v>
      </c>
      <c r="J18" s="11">
        <v>4500000</v>
      </c>
      <c r="K18" s="8" t="s">
        <v>12</v>
      </c>
      <c r="L18" s="9">
        <v>51132317</v>
      </c>
      <c r="M18" s="10">
        <v>41388458</v>
      </c>
      <c r="N18" s="10">
        <v>20691000</v>
      </c>
      <c r="O18" s="11">
        <v>5299000</v>
      </c>
      <c r="P18" s="11">
        <v>12366864</v>
      </c>
      <c r="Q18" s="11">
        <v>6488000</v>
      </c>
      <c r="R18" s="23">
        <f>L18+M18+N18+O18+P18+Q18</f>
        <v>137365639</v>
      </c>
      <c r="S18" s="24">
        <v>123474723</v>
      </c>
    </row>
    <row r="19" spans="4:19" ht="19" thickBot="1" x14ac:dyDescent="0.4">
      <c r="D19" s="8" t="s">
        <v>13</v>
      </c>
      <c r="E19" s="17">
        <v>56000000</v>
      </c>
      <c r="F19" s="18">
        <v>61500000</v>
      </c>
      <c r="G19" s="18">
        <v>14000000</v>
      </c>
      <c r="H19" s="11">
        <v>7500000</v>
      </c>
      <c r="I19" s="11">
        <v>20000000</v>
      </c>
      <c r="J19" s="11">
        <v>5400000</v>
      </c>
      <c r="K19" s="8" t="s">
        <v>13</v>
      </c>
      <c r="L19" s="9">
        <v>41577120</v>
      </c>
      <c r="M19" s="10">
        <v>30973627</v>
      </c>
      <c r="N19" s="10">
        <v>19225702</v>
      </c>
      <c r="O19" s="11">
        <v>5222163</v>
      </c>
      <c r="P19" s="11">
        <v>10173765</v>
      </c>
      <c r="Q19" s="11">
        <v>6445710</v>
      </c>
      <c r="R19" s="23">
        <f t="shared" ref="R19:R20" si="1">L19+M19+N19+O19+P19+Q19</f>
        <v>113618087</v>
      </c>
      <c r="S19" s="24">
        <v>125269680</v>
      </c>
    </row>
    <row r="20" spans="4:19" ht="19" thickBot="1" x14ac:dyDescent="0.4">
      <c r="D20" s="8" t="s">
        <v>14</v>
      </c>
      <c r="E20" s="17">
        <v>58500000</v>
      </c>
      <c r="F20" s="18">
        <v>61500000</v>
      </c>
      <c r="G20" s="18">
        <v>15000000</v>
      </c>
      <c r="H20" s="11">
        <v>8500000</v>
      </c>
      <c r="I20" s="11">
        <v>22000000</v>
      </c>
      <c r="J20" s="11">
        <v>6000000</v>
      </c>
      <c r="K20" s="8" t="s">
        <v>14</v>
      </c>
      <c r="L20" s="9">
        <v>57592929</v>
      </c>
      <c r="M20" s="10">
        <v>50965583</v>
      </c>
      <c r="N20" s="10">
        <v>21765769</v>
      </c>
      <c r="O20" s="11">
        <v>8326980</v>
      </c>
      <c r="P20" s="11">
        <v>11172700</v>
      </c>
      <c r="Q20" s="11">
        <v>6799634</v>
      </c>
      <c r="R20" s="23">
        <f t="shared" si="1"/>
        <v>156623595</v>
      </c>
      <c r="S20" s="24">
        <v>108453635</v>
      </c>
    </row>
    <row r="21" spans="4:19" ht="19" thickBot="1" x14ac:dyDescent="0.5">
      <c r="D21" s="8" t="s">
        <v>15</v>
      </c>
      <c r="E21" s="17">
        <v>58500000</v>
      </c>
      <c r="F21" s="18">
        <v>61500000</v>
      </c>
      <c r="G21" s="18">
        <v>18000000</v>
      </c>
      <c r="H21" s="16">
        <v>9000000</v>
      </c>
      <c r="I21" s="16">
        <v>19000000</v>
      </c>
      <c r="J21" s="16">
        <v>5500000</v>
      </c>
      <c r="K21" s="8" t="s">
        <v>15</v>
      </c>
      <c r="L21" s="9"/>
      <c r="M21" s="10"/>
      <c r="N21" s="10"/>
      <c r="O21" s="11"/>
      <c r="P21" s="11"/>
      <c r="Q21" s="11"/>
      <c r="S21" s="15"/>
    </row>
    <row r="22" spans="4:19" ht="19" thickBot="1" x14ac:dyDescent="0.5">
      <c r="D22" s="8" t="s">
        <v>16</v>
      </c>
      <c r="E22" s="17">
        <v>53000000</v>
      </c>
      <c r="F22" s="18">
        <v>54000000</v>
      </c>
      <c r="G22" s="18">
        <v>15000000</v>
      </c>
      <c r="H22" s="16">
        <v>7000000</v>
      </c>
      <c r="I22" s="16">
        <v>16000000</v>
      </c>
      <c r="J22" s="16">
        <v>5000000</v>
      </c>
      <c r="K22" s="8" t="s">
        <v>16</v>
      </c>
      <c r="L22" s="9"/>
      <c r="M22" s="10"/>
      <c r="N22" s="10"/>
      <c r="O22" s="11"/>
      <c r="P22" s="11"/>
      <c r="Q22" s="11"/>
      <c r="S22" s="15"/>
    </row>
    <row r="23" spans="4:19" ht="19" thickBot="1" x14ac:dyDescent="0.5">
      <c r="D23" s="8" t="s">
        <v>17</v>
      </c>
      <c r="E23" s="17">
        <v>49000000</v>
      </c>
      <c r="F23" s="18">
        <v>50500000</v>
      </c>
      <c r="G23" s="18">
        <v>13000000</v>
      </c>
      <c r="H23" s="16">
        <v>6000000</v>
      </c>
      <c r="I23" s="16">
        <v>15000000</v>
      </c>
      <c r="J23" s="16">
        <v>4500000</v>
      </c>
      <c r="K23" s="8" t="s">
        <v>17</v>
      </c>
      <c r="L23" s="9"/>
      <c r="M23" s="10"/>
      <c r="N23" s="10"/>
      <c r="O23" s="11"/>
      <c r="P23" s="11"/>
      <c r="Q23" s="11"/>
      <c r="S23" s="15"/>
    </row>
    <row r="24" spans="4:19" ht="19" thickBot="1" x14ac:dyDescent="0.4">
      <c r="D24" s="5" t="s">
        <v>18</v>
      </c>
      <c r="E24" s="12">
        <f t="shared" ref="E24:J24" si="2">SUM(E12:E23)</f>
        <v>581650000</v>
      </c>
      <c r="F24" s="12">
        <f t="shared" si="2"/>
        <v>613500000</v>
      </c>
      <c r="G24" s="12">
        <f t="shared" si="2"/>
        <v>130500000</v>
      </c>
      <c r="H24" s="13">
        <f t="shared" si="2"/>
        <v>67000000</v>
      </c>
      <c r="I24" s="14">
        <f t="shared" si="2"/>
        <v>177000000</v>
      </c>
      <c r="J24" s="14">
        <f t="shared" si="2"/>
        <v>50250000</v>
      </c>
      <c r="K24" s="5" t="s">
        <v>18</v>
      </c>
      <c r="L24" s="12">
        <f t="shared" ref="L24:Q24" si="3">SUM(L12:L23)</f>
        <v>384596355.58842003</v>
      </c>
      <c r="M24" s="12">
        <f t="shared" si="3"/>
        <v>319348344</v>
      </c>
      <c r="N24" s="12">
        <f t="shared" si="3"/>
        <v>113587985</v>
      </c>
      <c r="O24" s="13">
        <f t="shared" si="3"/>
        <v>42386388.420000002</v>
      </c>
      <c r="P24" s="14">
        <f t="shared" si="3"/>
        <v>94002482</v>
      </c>
      <c r="Q24" s="14">
        <f t="shared" si="3"/>
        <v>45056067</v>
      </c>
    </row>
    <row r="25" spans="4:19" ht="19" thickBot="1" x14ac:dyDescent="0.4">
      <c r="D25" s="5" t="s">
        <v>19</v>
      </c>
      <c r="E25" s="31">
        <f>SUM(E24+F24+G24)</f>
        <v>1325650000</v>
      </c>
      <c r="F25" s="32"/>
      <c r="G25" s="33"/>
      <c r="H25" s="34">
        <f>SUM(H24+J24+I24)</f>
        <v>294250000</v>
      </c>
      <c r="I25" s="35"/>
      <c r="J25" s="36"/>
      <c r="K25" s="5" t="s">
        <v>19</v>
      </c>
      <c r="L25" s="31">
        <f>SUM(L24+M24+N24)</f>
        <v>817532684.58842003</v>
      </c>
      <c r="M25" s="32"/>
      <c r="N25" s="33"/>
      <c r="O25" s="34">
        <f>SUM(O24+Q24+P24)</f>
        <v>181444937.42000002</v>
      </c>
      <c r="P25" s="35"/>
      <c r="Q25" s="36"/>
    </row>
    <row r="26" spans="4:19" ht="19.5" customHeight="1" x14ac:dyDescent="0.35">
      <c r="D26" s="37">
        <f>SUM(E25+H25)</f>
        <v>1619900000</v>
      </c>
      <c r="E26" s="38"/>
      <c r="F26" s="38"/>
      <c r="G26" s="38"/>
      <c r="H26" s="38"/>
      <c r="I26" s="38"/>
      <c r="J26" s="39"/>
      <c r="K26" s="37">
        <f>SUM(L25+O25)</f>
        <v>998977622.00841999</v>
      </c>
      <c r="L26" s="38"/>
      <c r="M26" s="38"/>
      <c r="N26" s="38"/>
      <c r="O26" s="38"/>
      <c r="P26" s="38"/>
      <c r="Q26" s="39"/>
    </row>
    <row r="27" spans="4:19" ht="15" thickBot="1" x14ac:dyDescent="0.4">
      <c r="D27" s="40"/>
      <c r="E27" s="41"/>
      <c r="F27" s="41"/>
      <c r="G27" s="41"/>
      <c r="H27" s="41"/>
      <c r="I27" s="41"/>
      <c r="J27" s="42"/>
      <c r="K27" s="40"/>
      <c r="L27" s="41"/>
      <c r="M27" s="41"/>
      <c r="N27" s="41"/>
      <c r="O27" s="41"/>
      <c r="P27" s="41"/>
      <c r="Q27" s="42"/>
    </row>
    <row r="30" spans="4:19" x14ac:dyDescent="0.35">
      <c r="I30">
        <f>D26*1.25</f>
        <v>2024875000</v>
      </c>
    </row>
    <row r="32" spans="4:19" x14ac:dyDescent="0.35">
      <c r="D32" t="s">
        <v>24</v>
      </c>
      <c r="G32" t="s">
        <v>28</v>
      </c>
    </row>
    <row r="34" spans="4:7" x14ac:dyDescent="0.35">
      <c r="D34" t="s">
        <v>25</v>
      </c>
      <c r="G34" t="s">
        <v>29</v>
      </c>
    </row>
    <row r="36" spans="4:7" x14ac:dyDescent="0.35">
      <c r="D36" t="s">
        <v>26</v>
      </c>
      <c r="G36" t="s">
        <v>30</v>
      </c>
    </row>
    <row r="38" spans="4:7" x14ac:dyDescent="0.35">
      <c r="D38" t="s">
        <v>35</v>
      </c>
      <c r="G38" t="s">
        <v>31</v>
      </c>
    </row>
    <row r="40" spans="4:7" x14ac:dyDescent="0.35">
      <c r="D40" t="s">
        <v>32</v>
      </c>
      <c r="G40" t="s">
        <v>33</v>
      </c>
    </row>
    <row r="42" spans="4:7" x14ac:dyDescent="0.35">
      <c r="D42" t="s">
        <v>36</v>
      </c>
      <c r="G42" t="s">
        <v>34</v>
      </c>
    </row>
    <row r="44" spans="4:7" x14ac:dyDescent="0.35">
      <c r="D44" t="s">
        <v>27</v>
      </c>
      <c r="G44" t="s">
        <v>37</v>
      </c>
    </row>
  </sheetData>
  <mergeCells count="10">
    <mergeCell ref="D26:J27"/>
    <mergeCell ref="H10:J10"/>
    <mergeCell ref="D10:G10"/>
    <mergeCell ref="E25:G25"/>
    <mergeCell ref="H25:J25"/>
    <mergeCell ref="K10:N10"/>
    <mergeCell ref="O10:Q10"/>
    <mergeCell ref="L25:N25"/>
    <mergeCell ref="O25:Q25"/>
    <mergeCell ref="K26:Q27"/>
  </mergeCells>
  <pageMargins left="0.7" right="0.7" top="0.75" bottom="0.75" header="0.3" footer="0.3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41E7-72D9-430A-9DA0-C49D8636D013}">
  <dimension ref="D2:L23"/>
  <sheetViews>
    <sheetView topLeftCell="B1" zoomScale="70" zoomScaleNormal="70" workbookViewId="0">
      <selection activeCell="D8" sqref="D8:J20"/>
    </sheetView>
  </sheetViews>
  <sheetFormatPr defaultRowHeight="14.5" x14ac:dyDescent="0.35"/>
  <cols>
    <col min="4" max="4" width="46.81640625" bestFit="1" customWidth="1"/>
    <col min="5" max="5" width="21.453125" bestFit="1" customWidth="1"/>
    <col min="6" max="6" width="26.1796875" customWidth="1"/>
    <col min="7" max="8" width="19.7265625" bestFit="1" customWidth="1"/>
    <col min="9" max="9" width="26.26953125" customWidth="1"/>
    <col min="10" max="10" width="23.81640625" customWidth="1"/>
    <col min="11" max="11" width="20.453125" customWidth="1"/>
    <col min="12" max="12" width="19.26953125" customWidth="1"/>
  </cols>
  <sheetData>
    <row r="2" spans="4:12" ht="18.5" x14ac:dyDescent="0.45">
      <c r="D2" s="1"/>
      <c r="E2" s="1"/>
      <c r="F2" s="1"/>
      <c r="G2" s="1"/>
      <c r="H2" s="1"/>
      <c r="I2" s="1"/>
      <c r="J2" s="1"/>
    </row>
    <row r="3" spans="4:12" ht="18.5" x14ac:dyDescent="0.45">
      <c r="D3" s="2" t="s">
        <v>0</v>
      </c>
      <c r="E3" s="1"/>
      <c r="F3" s="1"/>
      <c r="G3" s="1"/>
      <c r="H3" s="1"/>
      <c r="I3" s="1"/>
      <c r="J3" s="1"/>
    </row>
    <row r="4" spans="4:12" ht="18.5" x14ac:dyDescent="0.45">
      <c r="D4" s="3" t="s">
        <v>38</v>
      </c>
      <c r="E4" s="1"/>
      <c r="F4" s="1"/>
      <c r="G4" s="1"/>
      <c r="H4" s="1"/>
      <c r="I4" s="1"/>
      <c r="J4" s="1"/>
    </row>
    <row r="5" spans="4:12" ht="19" thickBot="1" x14ac:dyDescent="0.5">
      <c r="D5" s="4"/>
      <c r="E5" s="1"/>
      <c r="F5" s="1"/>
      <c r="G5" s="1"/>
      <c r="H5" s="1"/>
      <c r="I5" s="1"/>
      <c r="J5" s="1"/>
    </row>
    <row r="6" spans="4:12" ht="19" thickBot="1" x14ac:dyDescent="0.4">
      <c r="D6" s="25" t="s">
        <v>1</v>
      </c>
      <c r="E6" s="26"/>
      <c r="F6" s="26"/>
      <c r="G6" s="27"/>
      <c r="H6" s="28" t="s">
        <v>2</v>
      </c>
      <c r="I6" s="29"/>
      <c r="J6" s="30"/>
    </row>
    <row r="7" spans="4:12" ht="19" thickBot="1" x14ac:dyDescent="0.4">
      <c r="D7" s="5" t="s">
        <v>3</v>
      </c>
      <c r="E7" s="6" t="s">
        <v>20</v>
      </c>
      <c r="F7" s="6" t="s">
        <v>21</v>
      </c>
      <c r="G7" s="6" t="s">
        <v>22</v>
      </c>
      <c r="H7" s="7" t="s">
        <v>4</v>
      </c>
      <c r="I7" s="7" t="s">
        <v>5</v>
      </c>
      <c r="J7" s="7" t="s">
        <v>22</v>
      </c>
    </row>
    <row r="8" spans="4:12" ht="19" thickBot="1" x14ac:dyDescent="0.4">
      <c r="D8" s="8" t="s">
        <v>6</v>
      </c>
      <c r="E8" s="17">
        <v>30000000</v>
      </c>
      <c r="F8" s="18">
        <v>35000000</v>
      </c>
      <c r="G8" s="18">
        <v>20000000</v>
      </c>
      <c r="H8" s="18">
        <v>4500000</v>
      </c>
      <c r="I8" s="18">
        <v>8000000</v>
      </c>
      <c r="J8" s="18">
        <v>6000000</v>
      </c>
      <c r="K8" s="19"/>
      <c r="L8" s="20">
        <f>F8+G8+H8+I8+J8+E8</f>
        <v>103500000</v>
      </c>
    </row>
    <row r="9" spans="4:12" ht="19" thickBot="1" x14ac:dyDescent="0.4">
      <c r="D9" s="8" t="s">
        <v>7</v>
      </c>
      <c r="E9" s="17">
        <v>35000000</v>
      </c>
      <c r="F9" s="18">
        <v>37000000</v>
      </c>
      <c r="G9" s="18">
        <v>20000000</v>
      </c>
      <c r="H9" s="18">
        <v>5000000</v>
      </c>
      <c r="I9" s="18">
        <v>10000000</v>
      </c>
      <c r="J9" s="18">
        <v>6000000</v>
      </c>
      <c r="K9" s="19"/>
      <c r="L9" s="20">
        <f t="shared" ref="L9:L19" si="0">F9+G9+H9+I9+J9+E9</f>
        <v>113000000</v>
      </c>
    </row>
    <row r="10" spans="4:12" ht="19" thickBot="1" x14ac:dyDescent="0.4">
      <c r="D10" s="8" t="s">
        <v>8</v>
      </c>
      <c r="E10" s="17">
        <v>42000000</v>
      </c>
      <c r="F10" s="18">
        <v>45000000</v>
      </c>
      <c r="G10" s="18">
        <v>25000000</v>
      </c>
      <c r="H10" s="18">
        <v>5500000</v>
      </c>
      <c r="I10" s="18">
        <v>11000000</v>
      </c>
      <c r="J10" s="18">
        <v>6000000</v>
      </c>
      <c r="K10" s="19"/>
      <c r="L10" s="20">
        <f t="shared" si="0"/>
        <v>134500000</v>
      </c>
    </row>
    <row r="11" spans="4:12" ht="19" thickBot="1" x14ac:dyDescent="0.4">
      <c r="D11" s="8" t="s">
        <v>9</v>
      </c>
      <c r="E11" s="9">
        <v>45000000</v>
      </c>
      <c r="F11" s="10">
        <v>50000000</v>
      </c>
      <c r="G11" s="10">
        <v>30000000</v>
      </c>
      <c r="H11" s="11">
        <v>6000000</v>
      </c>
      <c r="I11" s="11">
        <v>13000000</v>
      </c>
      <c r="J11" s="11">
        <v>7000000</v>
      </c>
      <c r="K11" s="19"/>
      <c r="L11" s="20">
        <f>F11+G11+H11+I11+J11+E11</f>
        <v>151000000</v>
      </c>
    </row>
    <row r="12" spans="4:12" ht="19" thickBot="1" x14ac:dyDescent="0.4">
      <c r="D12" s="8" t="s">
        <v>10</v>
      </c>
      <c r="E12" s="9">
        <v>50000000</v>
      </c>
      <c r="F12" s="10">
        <v>52000000</v>
      </c>
      <c r="G12" s="10">
        <v>32000000</v>
      </c>
      <c r="H12" s="11">
        <v>6500000</v>
      </c>
      <c r="I12" s="11">
        <v>15000000</v>
      </c>
      <c r="J12" s="11">
        <v>7000000</v>
      </c>
      <c r="K12" s="19"/>
      <c r="L12" s="20">
        <f t="shared" si="0"/>
        <v>162500000</v>
      </c>
    </row>
    <row r="13" spans="4:12" ht="19" thickBot="1" x14ac:dyDescent="0.4">
      <c r="D13" s="8" t="s">
        <v>11</v>
      </c>
      <c r="E13" s="9">
        <v>56000000</v>
      </c>
      <c r="F13" s="10">
        <v>57000000</v>
      </c>
      <c r="G13" s="10">
        <v>35000000</v>
      </c>
      <c r="H13" s="11">
        <v>7000000</v>
      </c>
      <c r="I13" s="11">
        <v>17000000</v>
      </c>
      <c r="J13" s="11">
        <v>8000000</v>
      </c>
      <c r="K13" s="19"/>
      <c r="L13" s="20">
        <f t="shared" si="0"/>
        <v>180000000</v>
      </c>
    </row>
    <row r="14" spans="4:12" ht="19" thickBot="1" x14ac:dyDescent="0.4">
      <c r="D14" s="8" t="s">
        <v>12</v>
      </c>
      <c r="E14" s="9">
        <v>56000000</v>
      </c>
      <c r="F14" s="10">
        <v>60000000</v>
      </c>
      <c r="G14" s="10">
        <v>39000000</v>
      </c>
      <c r="H14" s="11">
        <v>8000000</v>
      </c>
      <c r="I14" s="11">
        <v>18000000</v>
      </c>
      <c r="J14" s="11">
        <v>9000000</v>
      </c>
      <c r="K14" s="19"/>
      <c r="L14" s="20">
        <f t="shared" si="0"/>
        <v>190000000</v>
      </c>
    </row>
    <row r="15" spans="4:12" ht="19" thickBot="1" x14ac:dyDescent="0.4">
      <c r="D15" s="8" t="s">
        <v>13</v>
      </c>
      <c r="E15" s="9">
        <v>56000000</v>
      </c>
      <c r="F15" s="10">
        <v>62000000</v>
      </c>
      <c r="G15" s="10">
        <v>43000000</v>
      </c>
      <c r="H15" s="11">
        <v>10000000</v>
      </c>
      <c r="I15" s="11">
        <v>20000000</v>
      </c>
      <c r="J15" s="11">
        <v>11000000</v>
      </c>
      <c r="K15" s="19"/>
      <c r="L15" s="20">
        <f t="shared" si="0"/>
        <v>202000000</v>
      </c>
    </row>
    <row r="16" spans="4:12" ht="19" thickBot="1" x14ac:dyDescent="0.4">
      <c r="D16" s="8" t="s">
        <v>14</v>
      </c>
      <c r="E16" s="9">
        <v>65000000</v>
      </c>
      <c r="F16" s="10">
        <v>65000000</v>
      </c>
      <c r="G16" s="10">
        <v>50000000</v>
      </c>
      <c r="H16" s="11">
        <v>12000000</v>
      </c>
      <c r="I16" s="11">
        <v>20000000</v>
      </c>
      <c r="J16" s="11">
        <v>12000000</v>
      </c>
      <c r="K16" s="19"/>
      <c r="L16" s="20">
        <f t="shared" si="0"/>
        <v>224000000</v>
      </c>
    </row>
    <row r="17" spans="4:12" ht="19" thickBot="1" x14ac:dyDescent="0.4">
      <c r="D17" s="8" t="s">
        <v>15</v>
      </c>
      <c r="E17" s="9">
        <v>60000000</v>
      </c>
      <c r="F17" s="10">
        <v>65000000</v>
      </c>
      <c r="G17" s="10">
        <v>50000000</v>
      </c>
      <c r="H17" s="11">
        <v>12000000</v>
      </c>
      <c r="I17" s="11">
        <v>20000000</v>
      </c>
      <c r="J17" s="11">
        <v>14000000</v>
      </c>
      <c r="K17" s="19"/>
      <c r="L17" s="20">
        <f t="shared" si="0"/>
        <v>221000000</v>
      </c>
    </row>
    <row r="18" spans="4:12" ht="19" thickBot="1" x14ac:dyDescent="0.4">
      <c r="D18" s="8" t="s">
        <v>16</v>
      </c>
      <c r="E18" s="9">
        <v>53000000</v>
      </c>
      <c r="F18" s="10">
        <v>58000000</v>
      </c>
      <c r="G18" s="10">
        <v>45000000</v>
      </c>
      <c r="H18" s="11">
        <v>9000000</v>
      </c>
      <c r="I18" s="11">
        <v>18000000</v>
      </c>
      <c r="J18" s="11">
        <v>12000000</v>
      </c>
      <c r="K18" s="19"/>
      <c r="L18" s="20">
        <f t="shared" si="0"/>
        <v>195000000</v>
      </c>
    </row>
    <row r="19" spans="4:12" ht="19" thickBot="1" x14ac:dyDescent="0.4">
      <c r="D19" s="8" t="s">
        <v>17</v>
      </c>
      <c r="E19" s="9">
        <v>49000000</v>
      </c>
      <c r="F19" s="10">
        <v>55000000</v>
      </c>
      <c r="G19" s="10">
        <v>40000000</v>
      </c>
      <c r="H19" s="11">
        <v>8000000</v>
      </c>
      <c r="I19" s="11">
        <v>16000000</v>
      </c>
      <c r="J19" s="11">
        <v>10500000</v>
      </c>
      <c r="K19" s="19"/>
      <c r="L19" s="20">
        <f t="shared" si="0"/>
        <v>178500000</v>
      </c>
    </row>
    <row r="20" spans="4:12" ht="19" thickBot="1" x14ac:dyDescent="0.4">
      <c r="D20" s="5" t="s">
        <v>18</v>
      </c>
      <c r="E20" s="12">
        <f t="shared" ref="E20:J20" si="1">SUM(E8:E19)</f>
        <v>597000000</v>
      </c>
      <c r="F20" s="12">
        <f t="shared" si="1"/>
        <v>641000000</v>
      </c>
      <c r="G20" s="12">
        <f t="shared" si="1"/>
        <v>429000000</v>
      </c>
      <c r="H20" s="13">
        <f t="shared" si="1"/>
        <v>93500000</v>
      </c>
      <c r="I20" s="14">
        <f t="shared" si="1"/>
        <v>186000000</v>
      </c>
      <c r="J20" s="14">
        <f t="shared" si="1"/>
        <v>108500000</v>
      </c>
    </row>
    <row r="21" spans="4:12" ht="19" thickBot="1" x14ac:dyDescent="0.4">
      <c r="D21" s="5" t="s">
        <v>39</v>
      </c>
      <c r="E21" s="31">
        <f>SUM(E20+F20+G20)</f>
        <v>1667000000</v>
      </c>
      <c r="F21" s="32"/>
      <c r="G21" s="33"/>
      <c r="H21" s="34">
        <f>SUM(H20+J20+I20)</f>
        <v>388000000</v>
      </c>
      <c r="I21" s="35"/>
      <c r="J21" s="36"/>
      <c r="K21" s="19">
        <f>SUM(K8:K20)</f>
        <v>0</v>
      </c>
      <c r="L21" s="20">
        <f>L8+L9+L10+L11+L12+L13+L14+L15+L16+L17+L18+L19</f>
        <v>2055000000</v>
      </c>
    </row>
    <row r="22" spans="4:12" x14ac:dyDescent="0.35">
      <c r="D22" s="37">
        <f>SUM(E21+H21)</f>
        <v>2055000000</v>
      </c>
      <c r="E22" s="38"/>
      <c r="F22" s="38"/>
      <c r="G22" s="38"/>
      <c r="H22" s="38"/>
      <c r="I22" s="38"/>
      <c r="J22" s="39"/>
    </row>
    <row r="23" spans="4:12" ht="15" thickBot="1" x14ac:dyDescent="0.4">
      <c r="D23" s="40"/>
      <c r="E23" s="41"/>
      <c r="F23" s="41"/>
      <c r="G23" s="41"/>
      <c r="H23" s="41"/>
      <c r="I23" s="41"/>
      <c r="J23" s="42"/>
    </row>
  </sheetData>
  <mergeCells count="5">
    <mergeCell ref="D6:G6"/>
    <mergeCell ref="H6:J6"/>
    <mergeCell ref="E21:G21"/>
    <mergeCell ref="H21:J21"/>
    <mergeCell ref="D22:J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CED6-2B43-4053-99CF-F3F4F327F062}">
  <dimension ref="D5:Q21"/>
  <sheetViews>
    <sheetView tabSelected="1" topLeftCell="A2" zoomScale="70" workbookViewId="0">
      <selection activeCell="W22" sqref="W22"/>
    </sheetView>
  </sheetViews>
  <sheetFormatPr defaultRowHeight="14.5" x14ac:dyDescent="0.35"/>
  <cols>
    <col min="4" max="4" width="17.36328125" customWidth="1"/>
    <col min="5" max="5" width="10.81640625" bestFit="1" customWidth="1"/>
    <col min="6" max="7" width="9.81640625" bestFit="1" customWidth="1"/>
    <col min="8" max="8" width="10.08984375" bestFit="1" customWidth="1"/>
    <col min="9" max="9" width="9.81640625" bestFit="1" customWidth="1"/>
    <col min="10" max="10" width="9.54296875" customWidth="1"/>
    <col min="11" max="11" width="16.54296875" customWidth="1"/>
    <col min="12" max="14" width="9.81640625" bestFit="1" customWidth="1"/>
    <col min="15" max="15" width="10.08984375" bestFit="1" customWidth="1"/>
    <col min="16" max="17" width="9.81640625" bestFit="1" customWidth="1"/>
  </cols>
  <sheetData>
    <row r="5" spans="4:17" x14ac:dyDescent="0.35">
      <c r="D5" s="44">
        <v>2025</v>
      </c>
      <c r="E5" s="45"/>
      <c r="F5" s="45"/>
      <c r="G5" s="45"/>
      <c r="H5" s="45"/>
      <c r="I5" s="45"/>
      <c r="J5" s="46"/>
      <c r="K5" s="57">
        <v>2026</v>
      </c>
      <c r="L5" s="58"/>
      <c r="M5" s="58"/>
      <c r="N5" s="58"/>
      <c r="O5" s="58"/>
      <c r="P5" s="58"/>
      <c r="Q5" s="59"/>
    </row>
    <row r="6" spans="4:17" x14ac:dyDescent="0.35">
      <c r="D6" s="47"/>
      <c r="E6" s="48" t="s">
        <v>41</v>
      </c>
      <c r="F6" s="48"/>
      <c r="G6" s="48"/>
      <c r="H6" s="48" t="s">
        <v>2</v>
      </c>
      <c r="I6" s="48"/>
      <c r="J6" s="49"/>
      <c r="K6" s="47"/>
      <c r="L6" s="48" t="s">
        <v>41</v>
      </c>
      <c r="M6" s="48"/>
      <c r="N6" s="48"/>
      <c r="O6" s="48" t="s">
        <v>2</v>
      </c>
      <c r="P6" s="48"/>
      <c r="Q6" s="49"/>
    </row>
    <row r="7" spans="4:17" x14ac:dyDescent="0.35">
      <c r="D7" s="47" t="s">
        <v>40</v>
      </c>
      <c r="E7" s="50" t="s">
        <v>20</v>
      </c>
      <c r="F7" s="50" t="s">
        <v>21</v>
      </c>
      <c r="G7" s="50" t="s">
        <v>22</v>
      </c>
      <c r="H7" s="50" t="s">
        <v>4</v>
      </c>
      <c r="I7" s="50" t="s">
        <v>5</v>
      </c>
      <c r="J7" s="51" t="s">
        <v>22</v>
      </c>
      <c r="K7" s="47" t="s">
        <v>40</v>
      </c>
      <c r="L7" s="50" t="s">
        <v>20</v>
      </c>
      <c r="M7" s="50" t="s">
        <v>21</v>
      </c>
      <c r="N7" s="50" t="s">
        <v>22</v>
      </c>
      <c r="O7" s="50" t="s">
        <v>4</v>
      </c>
      <c r="P7" s="50" t="s">
        <v>5</v>
      </c>
      <c r="Q7" s="51" t="s">
        <v>22</v>
      </c>
    </row>
    <row r="8" spans="4:17" x14ac:dyDescent="0.35">
      <c r="D8" s="47" t="s">
        <v>6</v>
      </c>
      <c r="E8" s="52">
        <v>27000000</v>
      </c>
      <c r="F8" s="52">
        <v>32000000</v>
      </c>
      <c r="G8" s="52">
        <v>6000000</v>
      </c>
      <c r="H8" s="52">
        <v>2000000</v>
      </c>
      <c r="I8" s="52">
        <v>6500000</v>
      </c>
      <c r="J8" s="53">
        <v>2500000</v>
      </c>
      <c r="K8" s="47" t="s">
        <v>6</v>
      </c>
      <c r="L8" s="52">
        <v>30000000</v>
      </c>
      <c r="M8" s="52">
        <v>35000000</v>
      </c>
      <c r="N8" s="52">
        <v>20000000</v>
      </c>
      <c r="O8" s="52">
        <v>4500000</v>
      </c>
      <c r="P8" s="52">
        <v>8000000</v>
      </c>
      <c r="Q8" s="53">
        <v>6000000</v>
      </c>
    </row>
    <row r="9" spans="4:17" x14ac:dyDescent="0.35">
      <c r="D9" s="47" t="s">
        <v>7</v>
      </c>
      <c r="E9" s="52">
        <v>32250000</v>
      </c>
      <c r="F9" s="52">
        <v>28000000</v>
      </c>
      <c r="G9" s="52">
        <v>6000000</v>
      </c>
      <c r="H9" s="52">
        <v>2500000</v>
      </c>
      <c r="I9" s="52">
        <v>7000000</v>
      </c>
      <c r="J9" s="53">
        <v>2750000</v>
      </c>
      <c r="K9" s="47" t="s">
        <v>7</v>
      </c>
      <c r="L9" s="52">
        <v>35000000</v>
      </c>
      <c r="M9" s="52">
        <v>37000000</v>
      </c>
      <c r="N9" s="52">
        <v>20000000</v>
      </c>
      <c r="O9" s="52">
        <v>5000000</v>
      </c>
      <c r="P9" s="52">
        <v>10000000</v>
      </c>
      <c r="Q9" s="53">
        <v>6000000</v>
      </c>
    </row>
    <row r="10" spans="4:17" x14ac:dyDescent="0.35">
      <c r="D10" s="47" t="s">
        <v>8</v>
      </c>
      <c r="E10" s="52">
        <v>40400000</v>
      </c>
      <c r="F10" s="52">
        <v>45000000</v>
      </c>
      <c r="G10" s="52">
        <v>6100000</v>
      </c>
      <c r="H10" s="52">
        <v>3000000</v>
      </c>
      <c r="I10" s="52">
        <v>9500000</v>
      </c>
      <c r="J10" s="53">
        <v>3000000</v>
      </c>
      <c r="K10" s="47" t="s">
        <v>8</v>
      </c>
      <c r="L10" s="52">
        <v>42000000</v>
      </c>
      <c r="M10" s="52">
        <v>45000000</v>
      </c>
      <c r="N10" s="52">
        <v>25000000</v>
      </c>
      <c r="O10" s="52">
        <v>5500000</v>
      </c>
      <c r="P10" s="52">
        <v>11000000</v>
      </c>
      <c r="Q10" s="53">
        <v>6000000</v>
      </c>
    </row>
    <row r="11" spans="4:17" x14ac:dyDescent="0.35">
      <c r="D11" s="47" t="s">
        <v>9</v>
      </c>
      <c r="E11" s="52">
        <v>45000000</v>
      </c>
      <c r="F11" s="52">
        <v>50500000</v>
      </c>
      <c r="G11" s="52">
        <v>7500000</v>
      </c>
      <c r="H11" s="52">
        <v>4000000</v>
      </c>
      <c r="I11" s="52">
        <v>13000000</v>
      </c>
      <c r="J11" s="53">
        <v>3500000</v>
      </c>
      <c r="K11" s="47" t="s">
        <v>9</v>
      </c>
      <c r="L11" s="52">
        <v>45000000</v>
      </c>
      <c r="M11" s="52">
        <v>50000000</v>
      </c>
      <c r="N11" s="52">
        <v>30000000</v>
      </c>
      <c r="O11" s="52">
        <v>6000000</v>
      </c>
      <c r="P11" s="52">
        <v>13000000</v>
      </c>
      <c r="Q11" s="53">
        <v>7000000</v>
      </c>
    </row>
    <row r="12" spans="4:17" x14ac:dyDescent="0.35">
      <c r="D12" s="47" t="s">
        <v>10</v>
      </c>
      <c r="E12" s="52">
        <v>50000000</v>
      </c>
      <c r="F12" s="52">
        <v>52000000</v>
      </c>
      <c r="G12" s="52">
        <v>7400000</v>
      </c>
      <c r="H12" s="52">
        <v>5000000</v>
      </c>
      <c r="I12" s="52">
        <v>15000000</v>
      </c>
      <c r="J12" s="53">
        <v>3600000</v>
      </c>
      <c r="K12" s="47" t="s">
        <v>10</v>
      </c>
      <c r="L12" s="52">
        <v>50000000</v>
      </c>
      <c r="M12" s="52">
        <v>52000000</v>
      </c>
      <c r="N12" s="52">
        <v>32000000</v>
      </c>
      <c r="O12" s="52">
        <v>6500000</v>
      </c>
      <c r="P12" s="52">
        <v>15000000</v>
      </c>
      <c r="Q12" s="53">
        <v>7000000</v>
      </c>
    </row>
    <row r="13" spans="4:17" x14ac:dyDescent="0.35">
      <c r="D13" s="47" t="s">
        <v>11</v>
      </c>
      <c r="E13" s="52">
        <v>56000000</v>
      </c>
      <c r="F13" s="52">
        <v>57000000</v>
      </c>
      <c r="G13" s="52">
        <v>9500000</v>
      </c>
      <c r="H13" s="52">
        <v>6000000</v>
      </c>
      <c r="I13" s="52">
        <v>16500000</v>
      </c>
      <c r="J13" s="53">
        <v>4000000</v>
      </c>
      <c r="K13" s="47" t="s">
        <v>11</v>
      </c>
      <c r="L13" s="52">
        <v>56000000</v>
      </c>
      <c r="M13" s="52">
        <v>57000000</v>
      </c>
      <c r="N13" s="52">
        <v>35000000</v>
      </c>
      <c r="O13" s="52">
        <v>7000000</v>
      </c>
      <c r="P13" s="52">
        <v>17000000</v>
      </c>
      <c r="Q13" s="53">
        <v>8000000</v>
      </c>
    </row>
    <row r="14" spans="4:17" x14ac:dyDescent="0.35">
      <c r="D14" s="47" t="s">
        <v>12</v>
      </c>
      <c r="E14" s="52">
        <v>56000000</v>
      </c>
      <c r="F14" s="52">
        <v>60000000</v>
      </c>
      <c r="G14" s="52">
        <v>13000000</v>
      </c>
      <c r="H14" s="52">
        <v>6500000</v>
      </c>
      <c r="I14" s="52">
        <v>17500000</v>
      </c>
      <c r="J14" s="53">
        <v>4500000</v>
      </c>
      <c r="K14" s="47" t="s">
        <v>12</v>
      </c>
      <c r="L14" s="52">
        <v>56000000</v>
      </c>
      <c r="M14" s="52">
        <v>60000000</v>
      </c>
      <c r="N14" s="52">
        <v>39000000</v>
      </c>
      <c r="O14" s="52">
        <v>8000000</v>
      </c>
      <c r="P14" s="52">
        <v>18000000</v>
      </c>
      <c r="Q14" s="53">
        <v>9000000</v>
      </c>
    </row>
    <row r="15" spans="4:17" x14ac:dyDescent="0.35">
      <c r="D15" s="47" t="s">
        <v>13</v>
      </c>
      <c r="E15" s="52">
        <v>56000000</v>
      </c>
      <c r="F15" s="52">
        <v>61500000</v>
      </c>
      <c r="G15" s="52">
        <v>14000000</v>
      </c>
      <c r="H15" s="52">
        <v>7500000</v>
      </c>
      <c r="I15" s="52">
        <v>20000000</v>
      </c>
      <c r="J15" s="53">
        <v>5400000</v>
      </c>
      <c r="K15" s="47" t="s">
        <v>13</v>
      </c>
      <c r="L15" s="52">
        <v>56000000</v>
      </c>
      <c r="M15" s="52">
        <v>62000000</v>
      </c>
      <c r="N15" s="52">
        <v>43000000</v>
      </c>
      <c r="O15" s="52">
        <v>10000000</v>
      </c>
      <c r="P15" s="52">
        <v>20000000</v>
      </c>
      <c r="Q15" s="53">
        <v>11000000</v>
      </c>
    </row>
    <row r="16" spans="4:17" x14ac:dyDescent="0.35">
      <c r="D16" s="47" t="s">
        <v>14</v>
      </c>
      <c r="E16" s="52">
        <v>58500000</v>
      </c>
      <c r="F16" s="52">
        <v>61500000</v>
      </c>
      <c r="G16" s="52">
        <v>15000000</v>
      </c>
      <c r="H16" s="52">
        <v>8500000</v>
      </c>
      <c r="I16" s="52">
        <v>22000000</v>
      </c>
      <c r="J16" s="53">
        <v>6000000</v>
      </c>
      <c r="K16" s="47" t="s">
        <v>14</v>
      </c>
      <c r="L16" s="52">
        <v>65000000</v>
      </c>
      <c r="M16" s="52">
        <v>65000000</v>
      </c>
      <c r="N16" s="52">
        <v>50000000</v>
      </c>
      <c r="O16" s="52">
        <v>12000000</v>
      </c>
      <c r="P16" s="52">
        <v>20000000</v>
      </c>
      <c r="Q16" s="53">
        <v>12000000</v>
      </c>
    </row>
    <row r="17" spans="4:17" x14ac:dyDescent="0.35">
      <c r="D17" s="47" t="s">
        <v>15</v>
      </c>
      <c r="E17" s="52">
        <v>58500000</v>
      </c>
      <c r="F17" s="52">
        <v>61500000</v>
      </c>
      <c r="G17" s="52">
        <v>18000000</v>
      </c>
      <c r="H17" s="52">
        <v>9000000</v>
      </c>
      <c r="I17" s="52">
        <v>19000000</v>
      </c>
      <c r="J17" s="53">
        <v>5500000</v>
      </c>
      <c r="K17" s="47" t="s">
        <v>15</v>
      </c>
      <c r="L17" s="52">
        <v>60000000</v>
      </c>
      <c r="M17" s="52">
        <v>65000000</v>
      </c>
      <c r="N17" s="52">
        <v>50000000</v>
      </c>
      <c r="O17" s="52">
        <v>12000000</v>
      </c>
      <c r="P17" s="52">
        <v>20000000</v>
      </c>
      <c r="Q17" s="53">
        <v>14000000</v>
      </c>
    </row>
    <row r="18" spans="4:17" x14ac:dyDescent="0.35">
      <c r="D18" s="47" t="s">
        <v>16</v>
      </c>
      <c r="E18" s="52">
        <v>53000000</v>
      </c>
      <c r="F18" s="52">
        <v>54000000</v>
      </c>
      <c r="G18" s="52">
        <v>15000000</v>
      </c>
      <c r="H18" s="52">
        <v>7000000</v>
      </c>
      <c r="I18" s="52">
        <v>16000000</v>
      </c>
      <c r="J18" s="53">
        <v>5000000</v>
      </c>
      <c r="K18" s="47" t="s">
        <v>16</v>
      </c>
      <c r="L18" s="52">
        <v>53000000</v>
      </c>
      <c r="M18" s="52">
        <v>58000000</v>
      </c>
      <c r="N18" s="52">
        <v>45000000</v>
      </c>
      <c r="O18" s="52">
        <v>9000000</v>
      </c>
      <c r="P18" s="52">
        <v>18000000</v>
      </c>
      <c r="Q18" s="53">
        <v>12000000</v>
      </c>
    </row>
    <row r="19" spans="4:17" x14ac:dyDescent="0.35">
      <c r="D19" s="47" t="s">
        <v>17</v>
      </c>
      <c r="E19" s="52">
        <v>49000000</v>
      </c>
      <c r="F19" s="52">
        <v>50500000</v>
      </c>
      <c r="G19" s="52">
        <v>13000000</v>
      </c>
      <c r="H19" s="52">
        <v>6000000</v>
      </c>
      <c r="I19" s="52">
        <v>15000000</v>
      </c>
      <c r="J19" s="53">
        <v>4500000</v>
      </c>
      <c r="K19" s="47" t="s">
        <v>17</v>
      </c>
      <c r="L19" s="52">
        <v>49000000</v>
      </c>
      <c r="M19" s="52">
        <v>55000000</v>
      </c>
      <c r="N19" s="52">
        <v>40000000</v>
      </c>
      <c r="O19" s="52">
        <v>8000000</v>
      </c>
      <c r="P19" s="52">
        <v>16000000</v>
      </c>
      <c r="Q19" s="53">
        <v>10500000</v>
      </c>
    </row>
    <row r="20" spans="4:17" x14ac:dyDescent="0.35">
      <c r="D20" s="54" t="s">
        <v>18</v>
      </c>
      <c r="E20" s="55">
        <v>581650000</v>
      </c>
      <c r="F20" s="55">
        <v>613500000</v>
      </c>
      <c r="G20" s="55">
        <v>130500000</v>
      </c>
      <c r="H20" s="55">
        <v>67000000</v>
      </c>
      <c r="I20" s="55">
        <v>177000000</v>
      </c>
      <c r="J20" s="56">
        <v>50250000</v>
      </c>
      <c r="K20" s="54" t="s">
        <v>18</v>
      </c>
      <c r="L20" s="55">
        <v>597000000</v>
      </c>
      <c r="M20" s="55">
        <v>641000000</v>
      </c>
      <c r="N20" s="55">
        <v>429000000</v>
      </c>
      <c r="O20" s="55">
        <v>93500000</v>
      </c>
      <c r="P20" s="55">
        <v>186000000</v>
      </c>
      <c r="Q20" s="56">
        <v>108500000</v>
      </c>
    </row>
    <row r="21" spans="4:17" x14ac:dyDescent="0.35">
      <c r="E21" s="43">
        <f>SUM(E20:J20)</f>
        <v>1619900000</v>
      </c>
      <c r="F21" s="43"/>
      <c r="G21" s="43"/>
      <c r="H21" s="43"/>
      <c r="I21" s="43"/>
      <c r="J21" s="43"/>
      <c r="L21" s="43">
        <f>SUM(L20:Q20)</f>
        <v>2055000000</v>
      </c>
      <c r="M21" s="43"/>
      <c r="N21" s="43"/>
      <c r="O21" s="43"/>
      <c r="P21" s="43"/>
      <c r="Q21" s="43"/>
    </row>
  </sheetData>
  <mergeCells count="8">
    <mergeCell ref="D5:J5"/>
    <mergeCell ref="K5:Q5"/>
    <mergeCell ref="E6:G6"/>
    <mergeCell ref="H6:J6"/>
    <mergeCell ref="E21:J21"/>
    <mergeCell ref="L21:Q21"/>
    <mergeCell ref="L6:N6"/>
    <mergeCell ref="O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2025</vt:lpstr>
      <vt:lpstr>2026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Горбачёв</dc:creator>
  <cp:lastModifiedBy>Yulia Laktionova</cp:lastModifiedBy>
  <cp:lastPrinted>2025-02-04T00:36:06Z</cp:lastPrinted>
  <dcterms:created xsi:type="dcterms:W3CDTF">2024-11-25T00:56:34Z</dcterms:created>
  <dcterms:modified xsi:type="dcterms:W3CDTF">2026-09-22T12:14:01Z</dcterms:modified>
</cp:coreProperties>
</file>