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\\FS1\m.saruhanova\Desktop\ОТЧЕТ по остаткам\Неликвиды\"/>
    </mc:Choice>
  </mc:AlternateContent>
  <xr:revisionPtr revIDLastSave="0" documentId="13_ncr:1_{79C24EEA-76BA-4D06-A61E-B3A133F3E78E}" xr6:coauthVersionLast="47" xr6:coauthVersionMax="47" xr10:uidLastSave="{00000000-0000-0000-0000-000000000000}"/>
  <bookViews>
    <workbookView xWindow="-120" yWindow="-120" windowWidth="38640" windowHeight="15840" tabRatio="881" xr2:uid="{00000000-000D-0000-FFFF-FFFF00000000}"/>
  </bookViews>
  <sheets>
    <sheet name="Лакония Headrock " sheetId="2" r:id="rId1"/>
    <sheet name="Янковский Headrock" sheetId="1" r:id="rId2"/>
    <sheet name="KRONbuild;ENKI Лакония " sheetId="4" r:id="rId3"/>
    <sheet name="KRONbuild;ENKI Янковский" sheetId="3" r:id="rId4"/>
    <sheet name="KRONbuild;ENKI Новосибирск" sheetId="56" r:id="rId5"/>
    <sheet name="Склад Новосибирск" sheetId="63" r:id="rId6"/>
    <sheet name="Сроки Лакония" sheetId="64" r:id="rId7"/>
    <sheet name="Сроки Янковский" sheetId="65" r:id="rId8"/>
  </sheets>
  <definedNames>
    <definedName name="_xlnm._FilterDatabase" localSheetId="2" hidden="1">'KRONbuild;ENKI Лакония '!$A$3:$S$131</definedName>
    <definedName name="_xlnm._FilterDatabase" localSheetId="4" hidden="1">'KRONbuild;ENKI Новосибирск'!$A$3:$S$126</definedName>
    <definedName name="_xlnm._FilterDatabase" localSheetId="3" hidden="1">'KRONbuild;ENKI Янковский'!$A$3:$S$126</definedName>
    <definedName name="_xlnm._FilterDatabase" localSheetId="0" hidden="1">'Лакония Headrock '!$A$3:$S$674</definedName>
    <definedName name="_xlnm._FilterDatabase" localSheetId="1" hidden="1">'Янковский Headrock'!$A$3:$S$676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4" i="4" l="1"/>
  <c r="T135" i="4"/>
  <c r="S134" i="4"/>
  <c r="S135" i="4"/>
  <c r="Q134" i="4"/>
  <c r="Q135" i="4"/>
  <c r="O134" i="4"/>
  <c r="O135" i="4"/>
  <c r="M134" i="4"/>
  <c r="M135" i="4"/>
  <c r="F49" i="4" l="1"/>
  <c r="G49" i="4"/>
  <c r="H49" i="4"/>
  <c r="I49" i="4"/>
  <c r="J49" i="4"/>
  <c r="K49" i="4"/>
  <c r="L49" i="4"/>
  <c r="M49" i="4"/>
  <c r="P49" i="4"/>
  <c r="Q49" i="4"/>
  <c r="F22" i="4"/>
  <c r="G22" i="4"/>
  <c r="H22" i="4"/>
  <c r="I22" i="4"/>
  <c r="J22" i="4"/>
  <c r="K22" i="4"/>
  <c r="L22" i="4"/>
  <c r="M22" i="4"/>
  <c r="P22" i="4"/>
  <c r="Q22" i="4"/>
  <c r="F4" i="4"/>
  <c r="F131" i="4" s="1"/>
  <c r="G4" i="4"/>
  <c r="G131" i="4" s="1"/>
  <c r="H4" i="4"/>
  <c r="H131" i="4" s="1"/>
  <c r="I4" i="4"/>
  <c r="I131" i="4" s="1"/>
  <c r="J4" i="4"/>
  <c r="J131" i="4" s="1"/>
  <c r="K4" i="4"/>
  <c r="K131" i="4" s="1"/>
  <c r="L4" i="4"/>
  <c r="L131" i="4" s="1"/>
  <c r="M4" i="4"/>
  <c r="M131" i="4" s="1"/>
  <c r="P4" i="4"/>
  <c r="P131" i="4" s="1"/>
  <c r="Q4" i="4"/>
  <c r="Q131" i="4" s="1"/>
  <c r="R108" i="4"/>
  <c r="S108" i="4" s="1"/>
  <c r="R106" i="4"/>
  <c r="S106" i="4" s="1"/>
  <c r="R105" i="4"/>
  <c r="S105" i="4" s="1"/>
  <c r="R104" i="4"/>
  <c r="S104" i="4" s="1"/>
  <c r="R102" i="4"/>
  <c r="S102" i="4" s="1"/>
  <c r="R101" i="4"/>
  <c r="S101" i="4" s="1"/>
  <c r="R98" i="4"/>
  <c r="S98" i="4" s="1"/>
  <c r="R97" i="4"/>
  <c r="S97" i="4" s="1"/>
  <c r="R94" i="4"/>
  <c r="S94" i="4" s="1"/>
  <c r="R93" i="4"/>
  <c r="S93" i="4" s="1"/>
  <c r="R92" i="4"/>
  <c r="S92" i="4" s="1"/>
  <c r="R87" i="4"/>
  <c r="S87" i="4" s="1"/>
  <c r="R86" i="4"/>
  <c r="S86" i="4" s="1"/>
  <c r="R81" i="4"/>
  <c r="S81" i="4" s="1"/>
  <c r="R79" i="4"/>
  <c r="S79" i="4" s="1"/>
  <c r="R70" i="4"/>
  <c r="S70" i="4" s="1"/>
  <c r="R66" i="4"/>
  <c r="S66" i="4" s="1"/>
  <c r="R65" i="4"/>
  <c r="S65" i="4" s="1"/>
  <c r="R51" i="4"/>
  <c r="R47" i="4"/>
  <c r="S47" i="4" s="1"/>
  <c r="R37" i="4"/>
  <c r="S37" i="4" s="1"/>
  <c r="R34" i="4"/>
  <c r="R19" i="4"/>
  <c r="S19" i="4" s="1"/>
  <c r="E171" i="56"/>
  <c r="T129" i="56"/>
  <c r="S129" i="56"/>
  <c r="Q129" i="56"/>
  <c r="O129" i="56"/>
  <c r="M129" i="56"/>
  <c r="F46" i="56"/>
  <c r="G46" i="56"/>
  <c r="H46" i="56"/>
  <c r="I46" i="56"/>
  <c r="J46" i="56"/>
  <c r="K46" i="56"/>
  <c r="L46" i="56"/>
  <c r="M46" i="56"/>
  <c r="P46" i="56"/>
  <c r="Q46" i="56"/>
  <c r="F22" i="56"/>
  <c r="G22" i="56"/>
  <c r="H22" i="56"/>
  <c r="I22" i="56"/>
  <c r="J22" i="56"/>
  <c r="K22" i="56"/>
  <c r="L22" i="56"/>
  <c r="M22" i="56"/>
  <c r="P22" i="56"/>
  <c r="Q22" i="56"/>
  <c r="R125" i="56"/>
  <c r="S125" i="56" s="1"/>
  <c r="R118" i="56"/>
  <c r="S118" i="56" s="1"/>
  <c r="R105" i="56"/>
  <c r="S105" i="56" s="1"/>
  <c r="R102" i="56"/>
  <c r="S102" i="56" s="1"/>
  <c r="R100" i="56"/>
  <c r="S100" i="56" s="1"/>
  <c r="R98" i="56"/>
  <c r="S98" i="56" s="1"/>
  <c r="R97" i="56"/>
  <c r="S97" i="56" s="1"/>
  <c r="R93" i="56"/>
  <c r="S93" i="56" s="1"/>
  <c r="R89" i="56"/>
  <c r="S89" i="56" s="1"/>
  <c r="R86" i="56"/>
  <c r="S86" i="56" s="1"/>
  <c r="R85" i="56"/>
  <c r="S85" i="56" s="1"/>
  <c r="R81" i="56"/>
  <c r="S81" i="56" s="1"/>
  <c r="R80" i="56"/>
  <c r="S80" i="56" s="1"/>
  <c r="R76" i="56"/>
  <c r="S76" i="56" s="1"/>
  <c r="R75" i="56"/>
  <c r="S75" i="56" s="1"/>
  <c r="R71" i="56"/>
  <c r="S71" i="56" s="1"/>
  <c r="R68" i="56"/>
  <c r="S68" i="56" s="1"/>
  <c r="R67" i="56"/>
  <c r="S67" i="56" s="1"/>
  <c r="R62" i="56"/>
  <c r="S62" i="56" s="1"/>
  <c r="R59" i="56"/>
  <c r="S59" i="56" s="1"/>
  <c r="R56" i="56"/>
  <c r="S56" i="56" s="1"/>
  <c r="R55" i="56"/>
  <c r="S55" i="56" s="1"/>
  <c r="R52" i="56"/>
  <c r="R43" i="56"/>
  <c r="S43" i="56" s="1"/>
  <c r="R42" i="56"/>
  <c r="S42" i="56" s="1"/>
  <c r="R40" i="56"/>
  <c r="S40" i="56" s="1"/>
  <c r="R39" i="56"/>
  <c r="S39" i="56" s="1"/>
  <c r="R31" i="56"/>
  <c r="S31" i="56" s="1"/>
  <c r="R29" i="56"/>
  <c r="S29" i="56" s="1"/>
  <c r="R25" i="56"/>
  <c r="S25" i="56" s="1"/>
  <c r="R23" i="56"/>
  <c r="R19" i="56"/>
  <c r="S19" i="56" s="1"/>
  <c r="R12" i="56"/>
  <c r="S12" i="56" s="1"/>
  <c r="E168" i="3"/>
  <c r="T129" i="3"/>
  <c r="S129" i="3"/>
  <c r="Q129" i="3"/>
  <c r="O129" i="3"/>
  <c r="M129" i="3"/>
  <c r="F46" i="3"/>
  <c r="G46" i="3"/>
  <c r="H46" i="3"/>
  <c r="I46" i="3"/>
  <c r="J46" i="3"/>
  <c r="K46" i="3"/>
  <c r="L46" i="3"/>
  <c r="M46" i="3"/>
  <c r="P46" i="3"/>
  <c r="Q46" i="3"/>
  <c r="F22" i="3"/>
  <c r="G22" i="3"/>
  <c r="H22" i="3"/>
  <c r="I22" i="3"/>
  <c r="J22" i="3"/>
  <c r="K22" i="3"/>
  <c r="L22" i="3"/>
  <c r="M22" i="3"/>
  <c r="P22" i="3"/>
  <c r="Q22" i="3"/>
  <c r="F4" i="3"/>
  <c r="F126" i="3" s="1"/>
  <c r="G4" i="3"/>
  <c r="G126" i="3" s="1"/>
  <c r="H4" i="3"/>
  <c r="H126" i="3" s="1"/>
  <c r="I4" i="3"/>
  <c r="I126" i="3" s="1"/>
  <c r="J4" i="3"/>
  <c r="J126" i="3" s="1"/>
  <c r="K4" i="3"/>
  <c r="K126" i="3" s="1"/>
  <c r="L4" i="3"/>
  <c r="L126" i="3" s="1"/>
  <c r="M4" i="3"/>
  <c r="M126" i="3" s="1"/>
  <c r="P4" i="3"/>
  <c r="P126" i="3" s="1"/>
  <c r="Q4" i="3"/>
  <c r="Q126" i="3" s="1"/>
  <c r="R125" i="3"/>
  <c r="S125" i="3" s="1"/>
  <c r="R122" i="3"/>
  <c r="S122" i="3" s="1"/>
  <c r="R118" i="3"/>
  <c r="S118" i="3" s="1"/>
  <c r="R117" i="3"/>
  <c r="S117" i="3" s="1"/>
  <c r="R114" i="3"/>
  <c r="S114" i="3" s="1"/>
  <c r="R113" i="3"/>
  <c r="S113" i="3" s="1"/>
  <c r="R106" i="3"/>
  <c r="S106" i="3" s="1"/>
  <c r="R105" i="3"/>
  <c r="S105" i="3" s="1"/>
  <c r="R104" i="3"/>
  <c r="S104" i="3" s="1"/>
  <c r="R103" i="3"/>
  <c r="S103" i="3" s="1"/>
  <c r="R102" i="3"/>
  <c r="S102" i="3" s="1"/>
  <c r="R101" i="3"/>
  <c r="S101" i="3" s="1"/>
  <c r="R100" i="3"/>
  <c r="S100" i="3" s="1"/>
  <c r="R99" i="3"/>
  <c r="S99" i="3" s="1"/>
  <c r="R98" i="3"/>
  <c r="S98" i="3" s="1"/>
  <c r="R97" i="3"/>
  <c r="S97" i="3" s="1"/>
  <c r="R96" i="3"/>
  <c r="S96" i="3" s="1"/>
  <c r="R95" i="3"/>
  <c r="S95" i="3" s="1"/>
  <c r="R94" i="3"/>
  <c r="S94" i="3" s="1"/>
  <c r="R93" i="3"/>
  <c r="S93" i="3" s="1"/>
  <c r="R92" i="3"/>
  <c r="S92" i="3" s="1"/>
  <c r="R90" i="3"/>
  <c r="S90" i="3" s="1"/>
  <c r="R89" i="3"/>
  <c r="S89" i="3" s="1"/>
  <c r="R88" i="3"/>
  <c r="S88" i="3" s="1"/>
  <c r="R87" i="3"/>
  <c r="S87" i="3" s="1"/>
  <c r="R86" i="3"/>
  <c r="S86" i="3" s="1"/>
  <c r="R85" i="3"/>
  <c r="S85" i="3" s="1"/>
  <c r="R84" i="3"/>
  <c r="S84" i="3" s="1"/>
  <c r="R83" i="3"/>
  <c r="S83" i="3" s="1"/>
  <c r="R82" i="3"/>
  <c r="S82" i="3" s="1"/>
  <c r="R81" i="3"/>
  <c r="S81" i="3" s="1"/>
  <c r="R80" i="3"/>
  <c r="S80" i="3" s="1"/>
  <c r="R78" i="3"/>
  <c r="S78" i="3" s="1"/>
  <c r="R77" i="3"/>
  <c r="S77" i="3" s="1"/>
  <c r="R76" i="3"/>
  <c r="S76" i="3" s="1"/>
  <c r="R75" i="3"/>
  <c r="S75" i="3" s="1"/>
  <c r="R74" i="3"/>
  <c r="S74" i="3" s="1"/>
  <c r="R73" i="3"/>
  <c r="S73" i="3" s="1"/>
  <c r="R72" i="3"/>
  <c r="S72" i="3" s="1"/>
  <c r="R71" i="3"/>
  <c r="S71" i="3" s="1"/>
  <c r="R70" i="3"/>
  <c r="S70" i="3" s="1"/>
  <c r="R68" i="3"/>
  <c r="S68" i="3" s="1"/>
  <c r="R67" i="3"/>
  <c r="S67" i="3" s="1"/>
  <c r="R66" i="3"/>
  <c r="S66" i="3" s="1"/>
  <c r="R65" i="3"/>
  <c r="S65" i="3" s="1"/>
  <c r="R64" i="3"/>
  <c r="S64" i="3" s="1"/>
  <c r="R63" i="3"/>
  <c r="S63" i="3" s="1"/>
  <c r="R60" i="3"/>
  <c r="S60" i="3" s="1"/>
  <c r="R59" i="3"/>
  <c r="S59" i="3" s="1"/>
  <c r="R58" i="3"/>
  <c r="S58" i="3" s="1"/>
  <c r="R55" i="3"/>
  <c r="S55" i="3" s="1"/>
  <c r="R54" i="3"/>
  <c r="S54" i="3" s="1"/>
  <c r="R53" i="3"/>
  <c r="S53" i="3" s="1"/>
  <c r="R52" i="3"/>
  <c r="S52" i="3" s="1"/>
  <c r="R51" i="3"/>
  <c r="S51" i="3" s="1"/>
  <c r="R50" i="3"/>
  <c r="S50" i="3" s="1"/>
  <c r="R49" i="3"/>
  <c r="S49" i="3" s="1"/>
  <c r="R47" i="3"/>
  <c r="R41" i="3"/>
  <c r="S41" i="3" s="1"/>
  <c r="R38" i="3"/>
  <c r="S38" i="3" s="1"/>
  <c r="R37" i="3"/>
  <c r="S37" i="3" s="1"/>
  <c r="R36" i="3"/>
  <c r="S36" i="3" s="1"/>
  <c r="R34" i="3"/>
  <c r="S34" i="3" s="1"/>
  <c r="R32" i="3"/>
  <c r="S32" i="3" s="1"/>
  <c r="R31" i="3"/>
  <c r="S31" i="3" s="1"/>
  <c r="R30" i="3"/>
  <c r="S30" i="3" s="1"/>
  <c r="R29" i="3"/>
  <c r="S29" i="3" s="1"/>
  <c r="R28" i="3"/>
  <c r="S28" i="3" s="1"/>
  <c r="R27" i="3"/>
  <c r="S27" i="3" s="1"/>
  <c r="R26" i="3"/>
  <c r="S26" i="3" s="1"/>
  <c r="R25" i="3"/>
  <c r="S25" i="3" s="1"/>
  <c r="R24" i="3"/>
  <c r="R21" i="3"/>
  <c r="S21" i="3" s="1"/>
  <c r="R16" i="3"/>
  <c r="S16" i="3" s="1"/>
  <c r="R14" i="3"/>
  <c r="S14" i="3" s="1"/>
  <c r="R11" i="3"/>
  <c r="S11" i="3" s="1"/>
  <c r="R8" i="3"/>
  <c r="S8" i="3" s="1"/>
  <c r="R7" i="3"/>
  <c r="E772" i="1"/>
  <c r="E731" i="2"/>
  <c r="F409" i="2"/>
  <c r="G409" i="2"/>
  <c r="H409" i="2"/>
  <c r="I409" i="2"/>
  <c r="J409" i="2"/>
  <c r="K409" i="2"/>
  <c r="L409" i="2"/>
  <c r="M409" i="2"/>
  <c r="P409" i="2"/>
  <c r="Q409" i="2"/>
  <c r="F221" i="2"/>
  <c r="G221" i="2"/>
  <c r="H221" i="2"/>
  <c r="I221" i="2"/>
  <c r="J221" i="2"/>
  <c r="K221" i="2"/>
  <c r="L221" i="2"/>
  <c r="M221" i="2"/>
  <c r="P221" i="2"/>
  <c r="Q221" i="2"/>
  <c r="F4" i="2"/>
  <c r="F674" i="2" s="1"/>
  <c r="G4" i="2"/>
  <c r="G674" i="2" s="1"/>
  <c r="H4" i="2"/>
  <c r="H674" i="2" s="1"/>
  <c r="I4" i="2"/>
  <c r="I674" i="2" s="1"/>
  <c r="J4" i="2"/>
  <c r="J674" i="2" s="1"/>
  <c r="K4" i="2"/>
  <c r="K674" i="2" s="1"/>
  <c r="L4" i="2"/>
  <c r="L674" i="2" s="1"/>
  <c r="M4" i="2"/>
  <c r="M674" i="2" s="1"/>
  <c r="P4" i="2"/>
  <c r="P674" i="2" s="1"/>
  <c r="Q4" i="2"/>
  <c r="Q674" i="2" s="1"/>
  <c r="T677" i="2"/>
  <c r="S677" i="2"/>
  <c r="Q677" i="2"/>
  <c r="O677" i="2"/>
  <c r="M677" i="2"/>
  <c r="R672" i="2"/>
  <c r="S672" i="2" s="1"/>
  <c r="R669" i="2"/>
  <c r="S669" i="2" s="1"/>
  <c r="R657" i="2"/>
  <c r="S657" i="2" s="1"/>
  <c r="R655" i="2"/>
  <c r="S655" i="2" s="1"/>
  <c r="R649" i="2"/>
  <c r="S649" i="2" s="1"/>
  <c r="R647" i="2"/>
  <c r="S647" i="2" s="1"/>
  <c r="R646" i="2"/>
  <c r="S646" i="2" s="1"/>
  <c r="R645" i="2"/>
  <c r="S645" i="2" s="1"/>
  <c r="R643" i="2"/>
  <c r="S643" i="2" s="1"/>
  <c r="R640" i="2"/>
  <c r="S640" i="2" s="1"/>
  <c r="R635" i="2"/>
  <c r="S635" i="2" s="1"/>
  <c r="R634" i="2"/>
  <c r="S634" i="2" s="1"/>
  <c r="R633" i="2"/>
  <c r="S633" i="2" s="1"/>
  <c r="R631" i="2"/>
  <c r="S631" i="2" s="1"/>
  <c r="R630" i="2"/>
  <c r="S630" i="2" s="1"/>
  <c r="R621" i="2"/>
  <c r="S621" i="2" s="1"/>
  <c r="R612" i="2"/>
  <c r="S612" i="2" s="1"/>
  <c r="R610" i="2"/>
  <c r="S610" i="2" s="1"/>
  <c r="R609" i="2"/>
  <c r="S609" i="2" s="1"/>
  <c r="R607" i="2"/>
  <c r="S607" i="2" s="1"/>
  <c r="R604" i="2"/>
  <c r="S604" i="2" s="1"/>
  <c r="R602" i="2"/>
  <c r="S602" i="2" s="1"/>
  <c r="R597" i="2"/>
  <c r="S597" i="2" s="1"/>
  <c r="R595" i="2"/>
  <c r="S595" i="2" s="1"/>
  <c r="R592" i="2"/>
  <c r="S592" i="2" s="1"/>
  <c r="R588" i="2"/>
  <c r="S588" i="2" s="1"/>
  <c r="R586" i="2"/>
  <c r="S586" i="2" s="1"/>
  <c r="R581" i="2"/>
  <c r="S581" i="2" s="1"/>
  <c r="R573" i="2"/>
  <c r="S573" i="2" s="1"/>
  <c r="R571" i="2"/>
  <c r="S571" i="2" s="1"/>
  <c r="R567" i="2"/>
  <c r="S567" i="2" s="1"/>
  <c r="R566" i="2"/>
  <c r="S566" i="2" s="1"/>
  <c r="R565" i="2"/>
  <c r="S565" i="2" s="1"/>
  <c r="R559" i="2"/>
  <c r="S559" i="2" s="1"/>
  <c r="R552" i="2"/>
  <c r="S552" i="2" s="1"/>
  <c r="R551" i="2"/>
  <c r="S551" i="2" s="1"/>
  <c r="R550" i="2"/>
  <c r="S550" i="2" s="1"/>
  <c r="R549" i="2"/>
  <c r="S549" i="2" s="1"/>
  <c r="R548" i="2"/>
  <c r="S548" i="2" s="1"/>
  <c r="R546" i="2"/>
  <c r="S546" i="2" s="1"/>
  <c r="R544" i="2"/>
  <c r="S544" i="2" s="1"/>
  <c r="R541" i="2"/>
  <c r="S541" i="2" s="1"/>
  <c r="R540" i="2"/>
  <c r="S540" i="2" s="1"/>
  <c r="R538" i="2"/>
  <c r="S538" i="2" s="1"/>
  <c r="R537" i="2"/>
  <c r="S537" i="2" s="1"/>
  <c r="R536" i="2"/>
  <c r="S536" i="2" s="1"/>
  <c r="R532" i="2"/>
  <c r="S532" i="2" s="1"/>
  <c r="R531" i="2"/>
  <c r="S531" i="2" s="1"/>
  <c r="R530" i="2"/>
  <c r="S530" i="2" s="1"/>
  <c r="R528" i="2"/>
  <c r="S528" i="2" s="1"/>
  <c r="R525" i="2"/>
  <c r="S525" i="2" s="1"/>
  <c r="R524" i="2"/>
  <c r="S524" i="2" s="1"/>
  <c r="R520" i="2"/>
  <c r="S520" i="2" s="1"/>
  <c r="R519" i="2"/>
  <c r="S519" i="2" s="1"/>
  <c r="R517" i="2"/>
  <c r="S517" i="2" s="1"/>
  <c r="R516" i="2"/>
  <c r="S516" i="2" s="1"/>
  <c r="R513" i="2"/>
  <c r="S513" i="2" s="1"/>
  <c r="R510" i="2"/>
  <c r="S510" i="2" s="1"/>
  <c r="R508" i="2"/>
  <c r="S508" i="2" s="1"/>
  <c r="R507" i="2"/>
  <c r="S507" i="2" s="1"/>
  <c r="R503" i="2"/>
  <c r="S503" i="2" s="1"/>
  <c r="R500" i="2"/>
  <c r="S500" i="2" s="1"/>
  <c r="R498" i="2"/>
  <c r="S498" i="2" s="1"/>
  <c r="R490" i="2"/>
  <c r="S490" i="2" s="1"/>
  <c r="R484" i="2"/>
  <c r="S484" i="2" s="1"/>
  <c r="R483" i="2"/>
  <c r="S483" i="2" s="1"/>
  <c r="R482" i="2"/>
  <c r="S482" i="2" s="1"/>
  <c r="R478" i="2"/>
  <c r="S478" i="2" s="1"/>
  <c r="R475" i="2"/>
  <c r="S475" i="2" s="1"/>
  <c r="R472" i="2"/>
  <c r="S472" i="2" s="1"/>
  <c r="R470" i="2"/>
  <c r="S470" i="2" s="1"/>
  <c r="R469" i="2"/>
  <c r="S469" i="2" s="1"/>
  <c r="R467" i="2"/>
  <c r="S467" i="2" s="1"/>
  <c r="R466" i="2"/>
  <c r="S466" i="2" s="1"/>
  <c r="R465" i="2"/>
  <c r="S465" i="2" s="1"/>
  <c r="R464" i="2"/>
  <c r="S464" i="2" s="1"/>
  <c r="R461" i="2"/>
  <c r="S461" i="2" s="1"/>
  <c r="R456" i="2"/>
  <c r="S456" i="2" s="1"/>
  <c r="R455" i="2"/>
  <c r="S455" i="2" s="1"/>
  <c r="R454" i="2"/>
  <c r="S454" i="2" s="1"/>
  <c r="R451" i="2"/>
  <c r="S451" i="2" s="1"/>
  <c r="R444" i="2"/>
  <c r="S444" i="2" s="1"/>
  <c r="R439" i="2"/>
  <c r="S439" i="2" s="1"/>
  <c r="R438" i="2"/>
  <c r="S438" i="2" s="1"/>
  <c r="R437" i="2"/>
  <c r="S437" i="2" s="1"/>
  <c r="R436" i="2"/>
  <c r="S436" i="2" s="1"/>
  <c r="R434" i="2"/>
  <c r="S434" i="2" s="1"/>
  <c r="R433" i="2"/>
  <c r="S433" i="2" s="1"/>
  <c r="R432" i="2"/>
  <c r="S432" i="2" s="1"/>
  <c r="R430" i="2"/>
  <c r="S430" i="2" s="1"/>
  <c r="R426" i="2"/>
  <c r="S426" i="2" s="1"/>
  <c r="R422" i="2"/>
  <c r="S422" i="2" s="1"/>
  <c r="R420" i="2"/>
  <c r="S420" i="2" s="1"/>
  <c r="R419" i="2"/>
  <c r="S419" i="2" s="1"/>
  <c r="R418" i="2"/>
  <c r="S418" i="2" s="1"/>
  <c r="R417" i="2"/>
  <c r="S417" i="2" s="1"/>
  <c r="R412" i="2"/>
  <c r="R408" i="2"/>
  <c r="S408" i="2" s="1"/>
  <c r="R406" i="2"/>
  <c r="S406" i="2" s="1"/>
  <c r="R402" i="2"/>
  <c r="S402" i="2" s="1"/>
  <c r="R401" i="2"/>
  <c r="S401" i="2" s="1"/>
  <c r="R398" i="2"/>
  <c r="S398" i="2" s="1"/>
  <c r="R396" i="2"/>
  <c r="S396" i="2" s="1"/>
  <c r="R393" i="2"/>
  <c r="S393" i="2" s="1"/>
  <c r="R387" i="2"/>
  <c r="S387" i="2" s="1"/>
  <c r="R383" i="2"/>
  <c r="S383" i="2" s="1"/>
  <c r="R381" i="2"/>
  <c r="S381" i="2" s="1"/>
  <c r="R378" i="2"/>
  <c r="S378" i="2" s="1"/>
  <c r="R377" i="2"/>
  <c r="S377" i="2" s="1"/>
  <c r="R376" i="2"/>
  <c r="S376" i="2" s="1"/>
  <c r="R372" i="2"/>
  <c r="S372" i="2" s="1"/>
  <c r="R369" i="2"/>
  <c r="S369" i="2" s="1"/>
  <c r="R367" i="2"/>
  <c r="S367" i="2" s="1"/>
  <c r="R366" i="2"/>
  <c r="S366" i="2" s="1"/>
  <c r="R356" i="2"/>
  <c r="S356" i="2" s="1"/>
  <c r="R354" i="2"/>
  <c r="S354" i="2" s="1"/>
  <c r="R353" i="2"/>
  <c r="S353" i="2" s="1"/>
  <c r="R352" i="2"/>
  <c r="S352" i="2" s="1"/>
  <c r="R349" i="2"/>
  <c r="S349" i="2" s="1"/>
  <c r="R348" i="2"/>
  <c r="S348" i="2" s="1"/>
  <c r="R347" i="2"/>
  <c r="S347" i="2" s="1"/>
  <c r="R338" i="2"/>
  <c r="S338" i="2" s="1"/>
  <c r="R336" i="2"/>
  <c r="S336" i="2" s="1"/>
  <c r="R335" i="2"/>
  <c r="S335" i="2" s="1"/>
  <c r="R334" i="2"/>
  <c r="S334" i="2" s="1"/>
  <c r="R331" i="2"/>
  <c r="S331" i="2" s="1"/>
  <c r="R330" i="2"/>
  <c r="S330" i="2" s="1"/>
  <c r="R329" i="2"/>
  <c r="S329" i="2" s="1"/>
  <c r="R328" i="2"/>
  <c r="S328" i="2" s="1"/>
  <c r="R327" i="2"/>
  <c r="S327" i="2" s="1"/>
  <c r="R325" i="2"/>
  <c r="S325" i="2" s="1"/>
  <c r="R319" i="2"/>
  <c r="S319" i="2" s="1"/>
  <c r="R316" i="2"/>
  <c r="S316" i="2" s="1"/>
  <c r="R313" i="2"/>
  <c r="S313" i="2" s="1"/>
  <c r="R312" i="2"/>
  <c r="S312" i="2" s="1"/>
  <c r="R309" i="2"/>
  <c r="S309" i="2" s="1"/>
  <c r="R308" i="2"/>
  <c r="S308" i="2" s="1"/>
  <c r="R305" i="2"/>
  <c r="S305" i="2" s="1"/>
  <c r="R303" i="2"/>
  <c r="S303" i="2" s="1"/>
  <c r="R302" i="2"/>
  <c r="S302" i="2" s="1"/>
  <c r="R301" i="2"/>
  <c r="S301" i="2" s="1"/>
  <c r="R299" i="2"/>
  <c r="S299" i="2" s="1"/>
  <c r="R296" i="2"/>
  <c r="S296" i="2" s="1"/>
  <c r="R295" i="2"/>
  <c r="S295" i="2" s="1"/>
  <c r="R289" i="2"/>
  <c r="S289" i="2" s="1"/>
  <c r="R281" i="2"/>
  <c r="S281" i="2" s="1"/>
  <c r="R279" i="2"/>
  <c r="S279" i="2" s="1"/>
  <c r="R278" i="2"/>
  <c r="S278" i="2" s="1"/>
  <c r="R277" i="2"/>
  <c r="S277" i="2" s="1"/>
  <c r="R276" i="2"/>
  <c r="S276" i="2" s="1"/>
  <c r="R275" i="2"/>
  <c r="S275" i="2" s="1"/>
  <c r="R273" i="2"/>
  <c r="S273" i="2" s="1"/>
  <c r="R272" i="2"/>
  <c r="S272" i="2" s="1"/>
  <c r="R271" i="2"/>
  <c r="S271" i="2" s="1"/>
  <c r="R266" i="2"/>
  <c r="S266" i="2" s="1"/>
  <c r="R261" i="2"/>
  <c r="S261" i="2" s="1"/>
  <c r="R250" i="2"/>
  <c r="S250" i="2" s="1"/>
  <c r="R246" i="2"/>
  <c r="S246" i="2" s="1"/>
  <c r="R237" i="2"/>
  <c r="S237" i="2" s="1"/>
  <c r="R236" i="2"/>
  <c r="S236" i="2" s="1"/>
  <c r="R234" i="2"/>
  <c r="S234" i="2" s="1"/>
  <c r="R233" i="2"/>
  <c r="S233" i="2" s="1"/>
  <c r="R232" i="2"/>
  <c r="S232" i="2" s="1"/>
  <c r="R231" i="2"/>
  <c r="S231" i="2" s="1"/>
  <c r="R228" i="2"/>
  <c r="S228" i="2" s="1"/>
  <c r="R226" i="2"/>
  <c r="S226" i="2" s="1"/>
  <c r="R225" i="2"/>
  <c r="S225" i="2" s="1"/>
  <c r="R220" i="2"/>
  <c r="S220" i="2" s="1"/>
  <c r="R216" i="2"/>
  <c r="S216" i="2" s="1"/>
  <c r="R214" i="2"/>
  <c r="S214" i="2" s="1"/>
  <c r="R210" i="2"/>
  <c r="S210" i="2" s="1"/>
  <c r="R208" i="2"/>
  <c r="S208" i="2" s="1"/>
  <c r="R207" i="2"/>
  <c r="S207" i="2" s="1"/>
  <c r="R203" i="2"/>
  <c r="S203" i="2" s="1"/>
  <c r="R201" i="2"/>
  <c r="S201" i="2" s="1"/>
  <c r="R196" i="2"/>
  <c r="S196" i="2" s="1"/>
  <c r="R194" i="2"/>
  <c r="S194" i="2" s="1"/>
  <c r="R192" i="2"/>
  <c r="S192" i="2" s="1"/>
  <c r="R186" i="2"/>
  <c r="S186" i="2" s="1"/>
  <c r="R185" i="2"/>
  <c r="S185" i="2" s="1"/>
  <c r="R182" i="2"/>
  <c r="S182" i="2" s="1"/>
  <c r="R181" i="2"/>
  <c r="S181" i="2" s="1"/>
  <c r="R180" i="2"/>
  <c r="S180" i="2" s="1"/>
  <c r="R179" i="2"/>
  <c r="S179" i="2" s="1"/>
  <c r="R178" i="2"/>
  <c r="S178" i="2" s="1"/>
  <c r="R173" i="2"/>
  <c r="S173" i="2" s="1"/>
  <c r="R171" i="2"/>
  <c r="S171" i="2" s="1"/>
  <c r="R170" i="2"/>
  <c r="S170" i="2" s="1"/>
  <c r="R168" i="2"/>
  <c r="S168" i="2" s="1"/>
  <c r="R165" i="2"/>
  <c r="S165" i="2" s="1"/>
  <c r="R164" i="2"/>
  <c r="S164" i="2" s="1"/>
  <c r="R163" i="2"/>
  <c r="S163" i="2" s="1"/>
  <c r="R155" i="2"/>
  <c r="S155" i="2" s="1"/>
  <c r="R148" i="2"/>
  <c r="S148" i="2" s="1"/>
  <c r="R145" i="2"/>
  <c r="S145" i="2" s="1"/>
  <c r="R144" i="2"/>
  <c r="S144" i="2" s="1"/>
  <c r="R134" i="2"/>
  <c r="S134" i="2" s="1"/>
  <c r="R132" i="2"/>
  <c r="S132" i="2" s="1"/>
  <c r="R128" i="2"/>
  <c r="S128" i="2" s="1"/>
  <c r="R121" i="2"/>
  <c r="S121" i="2" s="1"/>
  <c r="R114" i="2"/>
  <c r="S114" i="2" s="1"/>
  <c r="R113" i="2"/>
  <c r="S113" i="2" s="1"/>
  <c r="R112" i="2"/>
  <c r="S112" i="2" s="1"/>
  <c r="R107" i="2"/>
  <c r="S107" i="2" s="1"/>
  <c r="R106" i="2"/>
  <c r="S106" i="2" s="1"/>
  <c r="R105" i="2"/>
  <c r="S105" i="2" s="1"/>
  <c r="R104" i="2"/>
  <c r="S104" i="2" s="1"/>
  <c r="R103" i="2"/>
  <c r="S103" i="2" s="1"/>
  <c r="R100" i="2"/>
  <c r="S100" i="2" s="1"/>
  <c r="R98" i="2"/>
  <c r="S98" i="2" s="1"/>
  <c r="R93" i="2"/>
  <c r="S93" i="2" s="1"/>
  <c r="R92" i="2"/>
  <c r="S92" i="2" s="1"/>
  <c r="R90" i="2"/>
  <c r="S90" i="2" s="1"/>
  <c r="R88" i="2"/>
  <c r="S88" i="2" s="1"/>
  <c r="R78" i="2"/>
  <c r="S78" i="2" s="1"/>
  <c r="R73" i="2"/>
  <c r="S73" i="2" s="1"/>
  <c r="R67" i="2"/>
  <c r="S67" i="2" s="1"/>
  <c r="R66" i="2"/>
  <c r="S66" i="2" s="1"/>
  <c r="R62" i="2"/>
  <c r="S62" i="2" s="1"/>
  <c r="R61" i="2"/>
  <c r="S61" i="2" s="1"/>
  <c r="R54" i="2"/>
  <c r="S54" i="2" s="1"/>
  <c r="R44" i="2"/>
  <c r="S44" i="2" s="1"/>
  <c r="R40" i="2"/>
  <c r="S40" i="2" s="1"/>
  <c r="R35" i="2"/>
  <c r="S35" i="2" s="1"/>
  <c r="R15" i="2"/>
  <c r="T680" i="1"/>
  <c r="S680" i="1"/>
  <c r="Q680" i="1"/>
  <c r="O680" i="1"/>
  <c r="M680" i="1"/>
  <c r="F424" i="1"/>
  <c r="G424" i="1"/>
  <c r="H424" i="1"/>
  <c r="I424" i="1"/>
  <c r="J424" i="1"/>
  <c r="K424" i="1"/>
  <c r="L424" i="1"/>
  <c r="M424" i="1"/>
  <c r="P424" i="1"/>
  <c r="Q424" i="1"/>
  <c r="F221" i="1"/>
  <c r="G221" i="1"/>
  <c r="H221" i="1"/>
  <c r="I221" i="1"/>
  <c r="J221" i="1"/>
  <c r="K221" i="1"/>
  <c r="L221" i="1"/>
  <c r="M221" i="1"/>
  <c r="P221" i="1"/>
  <c r="Q221" i="1"/>
  <c r="F4" i="1"/>
  <c r="F676" i="1" s="1"/>
  <c r="G4" i="1"/>
  <c r="G676" i="1" s="1"/>
  <c r="H4" i="1"/>
  <c r="H676" i="1" s="1"/>
  <c r="I4" i="1"/>
  <c r="I676" i="1" s="1"/>
  <c r="J4" i="1"/>
  <c r="J676" i="1" s="1"/>
  <c r="K4" i="1"/>
  <c r="K676" i="1" s="1"/>
  <c r="L4" i="1"/>
  <c r="L676" i="1" s="1"/>
  <c r="M4" i="1"/>
  <c r="M676" i="1" s="1"/>
  <c r="P4" i="1"/>
  <c r="P676" i="1" s="1"/>
  <c r="Q4" i="1"/>
  <c r="Q676" i="1" s="1"/>
  <c r="R675" i="1"/>
  <c r="S675" i="1" s="1"/>
  <c r="R674" i="1"/>
  <c r="S674" i="1" s="1"/>
  <c r="R673" i="1"/>
  <c r="S673" i="1" s="1"/>
  <c r="R672" i="1"/>
  <c r="S672" i="1" s="1"/>
  <c r="R671" i="1"/>
  <c r="S671" i="1" s="1"/>
  <c r="R669" i="1"/>
  <c r="S669" i="1" s="1"/>
  <c r="R668" i="1"/>
  <c r="S668" i="1" s="1"/>
  <c r="R667" i="1"/>
  <c r="S667" i="1" s="1"/>
  <c r="R664" i="1"/>
  <c r="S664" i="1" s="1"/>
  <c r="R662" i="1"/>
  <c r="S662" i="1" s="1"/>
  <c r="R661" i="1"/>
  <c r="S661" i="1" s="1"/>
  <c r="R660" i="1"/>
  <c r="S660" i="1" s="1"/>
  <c r="R659" i="1"/>
  <c r="S659" i="1" s="1"/>
  <c r="R658" i="1"/>
  <c r="S658" i="1" s="1"/>
  <c r="R657" i="1"/>
  <c r="S657" i="1" s="1"/>
  <c r="R655" i="1"/>
  <c r="S655" i="1" s="1"/>
  <c r="R652" i="1"/>
  <c r="S652" i="1" s="1"/>
  <c r="R651" i="1"/>
  <c r="S651" i="1" s="1"/>
  <c r="R649" i="1"/>
  <c r="S649" i="1" s="1"/>
  <c r="R648" i="1"/>
  <c r="S648" i="1" s="1"/>
  <c r="R645" i="1"/>
  <c r="S645" i="1" s="1"/>
  <c r="R643" i="1"/>
  <c r="S643" i="1" s="1"/>
  <c r="R642" i="1"/>
  <c r="S642" i="1" s="1"/>
  <c r="R641" i="1"/>
  <c r="S641" i="1" s="1"/>
  <c r="R636" i="1"/>
  <c r="S636" i="1" s="1"/>
  <c r="R635" i="1"/>
  <c r="S635" i="1" s="1"/>
  <c r="R634" i="1"/>
  <c r="S634" i="1" s="1"/>
  <c r="R632" i="1"/>
  <c r="S632" i="1" s="1"/>
  <c r="R631" i="1"/>
  <c r="S631" i="1" s="1"/>
  <c r="R630" i="1"/>
  <c r="S630" i="1" s="1"/>
  <c r="R628" i="1"/>
  <c r="S628" i="1" s="1"/>
  <c r="R627" i="1"/>
  <c r="S627" i="1" s="1"/>
  <c r="R625" i="1"/>
  <c r="S625" i="1" s="1"/>
  <c r="R624" i="1"/>
  <c r="S624" i="1" s="1"/>
  <c r="R623" i="1"/>
  <c r="S623" i="1" s="1"/>
  <c r="R622" i="1"/>
  <c r="S622" i="1" s="1"/>
  <c r="R621" i="1"/>
  <c r="S621" i="1" s="1"/>
  <c r="R620" i="1"/>
  <c r="S620" i="1" s="1"/>
  <c r="R619" i="1"/>
  <c r="S619" i="1" s="1"/>
  <c r="R618" i="1"/>
  <c r="S618" i="1" s="1"/>
  <c r="R617" i="1"/>
  <c r="S617" i="1" s="1"/>
  <c r="R614" i="1"/>
  <c r="S614" i="1" s="1"/>
  <c r="R613" i="1"/>
  <c r="S613" i="1" s="1"/>
  <c r="R612" i="1"/>
  <c r="S612" i="1" s="1"/>
  <c r="R611" i="1"/>
  <c r="S611" i="1" s="1"/>
  <c r="R610" i="1"/>
  <c r="S610" i="1" s="1"/>
  <c r="R609" i="1"/>
  <c r="S609" i="1" s="1"/>
  <c r="R608" i="1"/>
  <c r="S608" i="1" s="1"/>
  <c r="R607" i="1"/>
  <c r="S607" i="1" s="1"/>
  <c r="R606" i="1"/>
  <c r="S606" i="1" s="1"/>
  <c r="R605" i="1"/>
  <c r="S605" i="1" s="1"/>
  <c r="R604" i="1"/>
  <c r="S604" i="1" s="1"/>
  <c r="R603" i="1"/>
  <c r="S603" i="1" s="1"/>
  <c r="R602" i="1"/>
  <c r="S602" i="1" s="1"/>
  <c r="R601" i="1"/>
  <c r="S601" i="1" s="1"/>
  <c r="R600" i="1"/>
  <c r="S600" i="1" s="1"/>
  <c r="R599" i="1"/>
  <c r="S599" i="1" s="1"/>
  <c r="R598" i="1"/>
  <c r="S598" i="1" s="1"/>
  <c r="R597" i="1"/>
  <c r="S597" i="1" s="1"/>
  <c r="R595" i="1"/>
  <c r="S595" i="1" s="1"/>
  <c r="R594" i="1"/>
  <c r="S594" i="1" s="1"/>
  <c r="R591" i="1"/>
  <c r="S591" i="1" s="1"/>
  <c r="R590" i="1"/>
  <c r="S590" i="1" s="1"/>
  <c r="R589" i="1"/>
  <c r="S589" i="1" s="1"/>
  <c r="R588" i="1"/>
  <c r="S588" i="1" s="1"/>
  <c r="R587" i="1"/>
  <c r="S587" i="1" s="1"/>
  <c r="R585" i="1"/>
  <c r="S585" i="1" s="1"/>
  <c r="R584" i="1"/>
  <c r="S584" i="1" s="1"/>
  <c r="R582" i="1"/>
  <c r="S582" i="1" s="1"/>
  <c r="R581" i="1"/>
  <c r="S581" i="1" s="1"/>
  <c r="R579" i="1"/>
  <c r="S579" i="1" s="1"/>
  <c r="R578" i="1"/>
  <c r="S578" i="1" s="1"/>
  <c r="R577" i="1"/>
  <c r="S577" i="1" s="1"/>
  <c r="R576" i="1"/>
  <c r="S576" i="1" s="1"/>
  <c r="R575" i="1"/>
  <c r="S575" i="1" s="1"/>
  <c r="R574" i="1"/>
  <c r="S574" i="1" s="1"/>
  <c r="R573" i="1"/>
  <c r="S573" i="1" s="1"/>
  <c r="R572" i="1"/>
  <c r="S572" i="1" s="1"/>
  <c r="R571" i="1"/>
  <c r="S571" i="1" s="1"/>
  <c r="R570" i="1"/>
  <c r="S570" i="1" s="1"/>
  <c r="R568" i="1"/>
  <c r="S568" i="1" s="1"/>
  <c r="R567" i="1"/>
  <c r="S567" i="1" s="1"/>
  <c r="R566" i="1"/>
  <c r="S566" i="1" s="1"/>
  <c r="R565" i="1"/>
  <c r="S565" i="1" s="1"/>
  <c r="R563" i="1"/>
  <c r="S563" i="1" s="1"/>
  <c r="R562" i="1"/>
  <c r="S562" i="1" s="1"/>
  <c r="R561" i="1"/>
  <c r="S561" i="1" s="1"/>
  <c r="R559" i="1"/>
  <c r="S559" i="1" s="1"/>
  <c r="R557" i="1"/>
  <c r="S557" i="1" s="1"/>
  <c r="R556" i="1"/>
  <c r="S556" i="1" s="1"/>
  <c r="R555" i="1"/>
  <c r="S555" i="1" s="1"/>
  <c r="R554" i="1"/>
  <c r="S554" i="1" s="1"/>
  <c r="R553" i="1"/>
  <c r="S553" i="1" s="1"/>
  <c r="R551" i="1"/>
  <c r="S551" i="1" s="1"/>
  <c r="R550" i="1"/>
  <c r="S550" i="1" s="1"/>
  <c r="R549" i="1"/>
  <c r="S549" i="1" s="1"/>
  <c r="R548" i="1"/>
  <c r="S548" i="1" s="1"/>
  <c r="R547" i="1"/>
  <c r="S547" i="1" s="1"/>
  <c r="R546" i="1"/>
  <c r="S546" i="1" s="1"/>
  <c r="R545" i="1"/>
  <c r="S545" i="1" s="1"/>
  <c r="R544" i="1"/>
  <c r="S544" i="1" s="1"/>
  <c r="R543" i="1"/>
  <c r="S543" i="1" s="1"/>
  <c r="R542" i="1"/>
  <c r="S542" i="1" s="1"/>
  <c r="R540" i="1"/>
  <c r="S540" i="1" s="1"/>
  <c r="R539" i="1"/>
  <c r="S539" i="1" s="1"/>
  <c r="R538" i="1"/>
  <c r="S538" i="1" s="1"/>
  <c r="R535" i="1"/>
  <c r="S535" i="1" s="1"/>
  <c r="R534" i="1"/>
  <c r="S534" i="1" s="1"/>
  <c r="R533" i="1"/>
  <c r="S533" i="1" s="1"/>
  <c r="R532" i="1"/>
  <c r="S532" i="1" s="1"/>
  <c r="R530" i="1"/>
  <c r="S530" i="1" s="1"/>
  <c r="R529" i="1"/>
  <c r="S529" i="1" s="1"/>
  <c r="R526" i="1"/>
  <c r="S526" i="1" s="1"/>
  <c r="R525" i="1"/>
  <c r="S525" i="1" s="1"/>
  <c r="R524" i="1"/>
  <c r="S524" i="1" s="1"/>
  <c r="R523" i="1"/>
  <c r="S523" i="1" s="1"/>
  <c r="R522" i="1"/>
  <c r="S522" i="1" s="1"/>
  <c r="R521" i="1"/>
  <c r="S521" i="1" s="1"/>
  <c r="R520" i="1"/>
  <c r="S520" i="1" s="1"/>
  <c r="R519" i="1"/>
  <c r="S519" i="1" s="1"/>
  <c r="R518" i="1"/>
  <c r="S518" i="1" s="1"/>
  <c r="R517" i="1"/>
  <c r="S517" i="1" s="1"/>
  <c r="R516" i="1"/>
  <c r="S516" i="1" s="1"/>
  <c r="R514" i="1"/>
  <c r="S514" i="1" s="1"/>
  <c r="R513" i="1"/>
  <c r="S513" i="1" s="1"/>
  <c r="R511" i="1"/>
  <c r="S511" i="1" s="1"/>
  <c r="R510" i="1"/>
  <c r="S510" i="1" s="1"/>
  <c r="R509" i="1"/>
  <c r="S509" i="1" s="1"/>
  <c r="R508" i="1"/>
  <c r="S508" i="1" s="1"/>
  <c r="R507" i="1"/>
  <c r="S507" i="1" s="1"/>
  <c r="R506" i="1"/>
  <c r="S506" i="1" s="1"/>
  <c r="R504" i="1"/>
  <c r="S504" i="1" s="1"/>
  <c r="R503" i="1"/>
  <c r="S503" i="1" s="1"/>
  <c r="R502" i="1"/>
  <c r="S502" i="1" s="1"/>
  <c r="R501" i="1"/>
  <c r="S501" i="1" s="1"/>
  <c r="R500" i="1"/>
  <c r="S500" i="1" s="1"/>
  <c r="R498" i="1"/>
  <c r="S498" i="1" s="1"/>
  <c r="R497" i="1"/>
  <c r="S497" i="1" s="1"/>
  <c r="R496" i="1"/>
  <c r="S496" i="1" s="1"/>
  <c r="R495" i="1"/>
  <c r="S495" i="1" s="1"/>
  <c r="R493" i="1"/>
  <c r="S493" i="1" s="1"/>
  <c r="R491" i="1"/>
  <c r="S491" i="1" s="1"/>
  <c r="R490" i="1"/>
  <c r="S490" i="1" s="1"/>
  <c r="R487" i="1"/>
  <c r="S487" i="1" s="1"/>
  <c r="R486" i="1"/>
  <c r="S486" i="1" s="1"/>
  <c r="R485" i="1"/>
  <c r="S485" i="1" s="1"/>
  <c r="R483" i="1"/>
  <c r="S483" i="1" s="1"/>
  <c r="R482" i="1"/>
  <c r="S482" i="1" s="1"/>
  <c r="R481" i="1"/>
  <c r="S481" i="1" s="1"/>
  <c r="R480" i="1"/>
  <c r="S480" i="1" s="1"/>
  <c r="R479" i="1"/>
  <c r="S479" i="1" s="1"/>
  <c r="R478" i="1"/>
  <c r="S478" i="1" s="1"/>
  <c r="R477" i="1"/>
  <c r="S477" i="1" s="1"/>
  <c r="R476" i="1"/>
  <c r="S476" i="1" s="1"/>
  <c r="R475" i="1"/>
  <c r="S475" i="1" s="1"/>
  <c r="R473" i="1"/>
  <c r="S473" i="1" s="1"/>
  <c r="R471" i="1"/>
  <c r="S471" i="1" s="1"/>
  <c r="R470" i="1"/>
  <c r="S470" i="1" s="1"/>
  <c r="R469" i="1"/>
  <c r="S469" i="1" s="1"/>
  <c r="R468" i="1"/>
  <c r="S468" i="1" s="1"/>
  <c r="R467" i="1"/>
  <c r="S467" i="1" s="1"/>
  <c r="R466" i="1"/>
  <c r="S466" i="1" s="1"/>
  <c r="R465" i="1"/>
  <c r="S465" i="1" s="1"/>
  <c r="R464" i="1"/>
  <c r="S464" i="1" s="1"/>
  <c r="R463" i="1"/>
  <c r="S463" i="1" s="1"/>
  <c r="R462" i="1"/>
  <c r="S462" i="1" s="1"/>
  <c r="R461" i="1"/>
  <c r="S461" i="1" s="1"/>
  <c r="R459" i="1"/>
  <c r="S459" i="1" s="1"/>
  <c r="R457" i="1"/>
  <c r="S457" i="1" s="1"/>
  <c r="R456" i="1"/>
  <c r="S456" i="1" s="1"/>
  <c r="R454" i="1"/>
  <c r="S454" i="1" s="1"/>
  <c r="R453" i="1"/>
  <c r="S453" i="1" s="1"/>
  <c r="R452" i="1"/>
  <c r="S452" i="1" s="1"/>
  <c r="R451" i="1"/>
  <c r="S451" i="1" s="1"/>
  <c r="R448" i="1"/>
  <c r="S448" i="1" s="1"/>
  <c r="R447" i="1"/>
  <c r="S447" i="1" s="1"/>
  <c r="R445" i="1"/>
  <c r="S445" i="1" s="1"/>
  <c r="R444" i="1"/>
  <c r="S444" i="1" s="1"/>
  <c r="R443" i="1"/>
  <c r="S443" i="1" s="1"/>
  <c r="R442" i="1"/>
  <c r="S442" i="1" s="1"/>
  <c r="R441" i="1"/>
  <c r="S441" i="1" s="1"/>
  <c r="R440" i="1"/>
  <c r="S440" i="1" s="1"/>
  <c r="R437" i="1"/>
  <c r="S437" i="1" s="1"/>
  <c r="R435" i="1"/>
  <c r="S435" i="1" s="1"/>
  <c r="R434" i="1"/>
  <c r="S434" i="1" s="1"/>
  <c r="R433" i="1"/>
  <c r="S433" i="1" s="1"/>
  <c r="R431" i="1"/>
  <c r="S431" i="1" s="1"/>
  <c r="R430" i="1"/>
  <c r="S430" i="1" s="1"/>
  <c r="R428" i="1"/>
  <c r="S428" i="1" s="1"/>
  <c r="R426" i="1"/>
  <c r="S426" i="1" s="1"/>
  <c r="R423" i="1"/>
  <c r="S423" i="1" s="1"/>
  <c r="R422" i="1"/>
  <c r="S422" i="1" s="1"/>
  <c r="R421" i="1"/>
  <c r="S421" i="1" s="1"/>
  <c r="R420" i="1"/>
  <c r="S420" i="1" s="1"/>
  <c r="R417" i="1"/>
  <c r="S417" i="1" s="1"/>
  <c r="R416" i="1"/>
  <c r="S416" i="1" s="1"/>
  <c r="R415" i="1"/>
  <c r="S415" i="1" s="1"/>
  <c r="R412" i="1"/>
  <c r="S412" i="1" s="1"/>
  <c r="R409" i="1"/>
  <c r="S409" i="1" s="1"/>
  <c r="R408" i="1"/>
  <c r="S408" i="1" s="1"/>
  <c r="R407" i="1"/>
  <c r="S407" i="1" s="1"/>
  <c r="R406" i="1"/>
  <c r="S406" i="1" s="1"/>
  <c r="R405" i="1"/>
  <c r="S405" i="1" s="1"/>
  <c r="R404" i="1"/>
  <c r="S404" i="1" s="1"/>
  <c r="R403" i="1"/>
  <c r="S403" i="1" s="1"/>
  <c r="R402" i="1"/>
  <c r="S402" i="1" s="1"/>
  <c r="R401" i="1"/>
  <c r="S401" i="1" s="1"/>
  <c r="R400" i="1"/>
  <c r="S400" i="1" s="1"/>
  <c r="R397" i="1"/>
  <c r="S397" i="1" s="1"/>
  <c r="R396" i="1"/>
  <c r="S396" i="1" s="1"/>
  <c r="R395" i="1"/>
  <c r="S395" i="1" s="1"/>
  <c r="R394" i="1"/>
  <c r="S394" i="1" s="1"/>
  <c r="R393" i="1"/>
  <c r="S393" i="1" s="1"/>
  <c r="R391" i="1"/>
  <c r="S391" i="1" s="1"/>
  <c r="R390" i="1"/>
  <c r="S390" i="1" s="1"/>
  <c r="R389" i="1"/>
  <c r="S389" i="1" s="1"/>
  <c r="R388" i="1"/>
  <c r="S388" i="1" s="1"/>
  <c r="R387" i="1"/>
  <c r="S387" i="1" s="1"/>
  <c r="R385" i="1"/>
  <c r="S385" i="1" s="1"/>
  <c r="R383" i="1"/>
  <c r="S383" i="1" s="1"/>
  <c r="R382" i="1"/>
  <c r="S382" i="1" s="1"/>
  <c r="R381" i="1"/>
  <c r="S381" i="1" s="1"/>
  <c r="R378" i="1"/>
  <c r="S378" i="1" s="1"/>
  <c r="R377" i="1"/>
  <c r="S377" i="1" s="1"/>
  <c r="R375" i="1"/>
  <c r="S375" i="1" s="1"/>
  <c r="R373" i="1"/>
  <c r="S373" i="1" s="1"/>
  <c r="R371" i="1"/>
  <c r="S371" i="1" s="1"/>
  <c r="R370" i="1"/>
  <c r="S370" i="1" s="1"/>
  <c r="R368" i="1"/>
  <c r="S368" i="1" s="1"/>
  <c r="R367" i="1"/>
  <c r="S367" i="1" s="1"/>
  <c r="R366" i="1"/>
  <c r="S366" i="1" s="1"/>
  <c r="R364" i="1"/>
  <c r="S364" i="1" s="1"/>
  <c r="R361" i="1"/>
  <c r="S361" i="1" s="1"/>
  <c r="R360" i="1"/>
  <c r="S360" i="1" s="1"/>
  <c r="R359" i="1"/>
  <c r="S359" i="1" s="1"/>
  <c r="R358" i="1"/>
  <c r="S358" i="1" s="1"/>
  <c r="R357" i="1"/>
  <c r="S357" i="1" s="1"/>
  <c r="R355" i="1"/>
  <c r="S355" i="1" s="1"/>
  <c r="R353" i="1"/>
  <c r="S353" i="1" s="1"/>
  <c r="R352" i="1"/>
  <c r="S352" i="1" s="1"/>
  <c r="R351" i="1"/>
  <c r="S351" i="1" s="1"/>
  <c r="R350" i="1"/>
  <c r="S350" i="1" s="1"/>
  <c r="R347" i="1"/>
  <c r="S347" i="1" s="1"/>
  <c r="R346" i="1"/>
  <c r="S346" i="1" s="1"/>
  <c r="R343" i="1"/>
  <c r="S343" i="1" s="1"/>
  <c r="R342" i="1"/>
  <c r="S342" i="1" s="1"/>
  <c r="R341" i="1"/>
  <c r="S341" i="1" s="1"/>
  <c r="R340" i="1"/>
  <c r="S340" i="1" s="1"/>
  <c r="R338" i="1"/>
  <c r="S338" i="1" s="1"/>
  <c r="R337" i="1"/>
  <c r="S337" i="1" s="1"/>
  <c r="R336" i="1"/>
  <c r="S336" i="1" s="1"/>
  <c r="R335" i="1"/>
  <c r="S335" i="1" s="1"/>
  <c r="R334" i="1"/>
  <c r="S334" i="1" s="1"/>
  <c r="R333" i="1"/>
  <c r="S333" i="1" s="1"/>
  <c r="R332" i="1"/>
  <c r="S332" i="1" s="1"/>
  <c r="R331" i="1"/>
  <c r="S331" i="1" s="1"/>
  <c r="R330" i="1"/>
  <c r="S330" i="1" s="1"/>
  <c r="R329" i="1"/>
  <c r="S329" i="1" s="1"/>
  <c r="R327" i="1"/>
  <c r="S327" i="1" s="1"/>
  <c r="R326" i="1"/>
  <c r="S326" i="1" s="1"/>
  <c r="R325" i="1"/>
  <c r="S325" i="1" s="1"/>
  <c r="R322" i="1"/>
  <c r="S322" i="1" s="1"/>
  <c r="R321" i="1"/>
  <c r="S321" i="1" s="1"/>
  <c r="R320" i="1"/>
  <c r="S320" i="1" s="1"/>
  <c r="R319" i="1"/>
  <c r="S319" i="1" s="1"/>
  <c r="R318" i="1"/>
  <c r="S318" i="1" s="1"/>
  <c r="R315" i="1"/>
  <c r="S315" i="1" s="1"/>
  <c r="R314" i="1"/>
  <c r="S314" i="1" s="1"/>
  <c r="R313" i="1"/>
  <c r="S313" i="1" s="1"/>
  <c r="R312" i="1"/>
  <c r="S312" i="1" s="1"/>
  <c r="R311" i="1"/>
  <c r="S311" i="1" s="1"/>
  <c r="R310" i="1"/>
  <c r="S310" i="1" s="1"/>
  <c r="R309" i="1"/>
  <c r="S309" i="1" s="1"/>
  <c r="R308" i="1"/>
  <c r="S308" i="1" s="1"/>
  <c r="R307" i="1"/>
  <c r="S307" i="1" s="1"/>
  <c r="R306" i="1"/>
  <c r="S306" i="1" s="1"/>
  <c r="R305" i="1"/>
  <c r="S305" i="1" s="1"/>
  <c r="R302" i="1"/>
  <c r="S302" i="1" s="1"/>
  <c r="R301" i="1"/>
  <c r="S301" i="1" s="1"/>
  <c r="R300" i="1"/>
  <c r="S300" i="1" s="1"/>
  <c r="R299" i="1"/>
  <c r="S299" i="1" s="1"/>
  <c r="R297" i="1"/>
  <c r="S297" i="1" s="1"/>
  <c r="R296" i="1"/>
  <c r="S296" i="1" s="1"/>
  <c r="R295" i="1"/>
  <c r="S295" i="1" s="1"/>
  <c r="R288" i="1"/>
  <c r="S288" i="1" s="1"/>
  <c r="R286" i="1"/>
  <c r="S286" i="1" s="1"/>
  <c r="R285" i="1"/>
  <c r="S285" i="1" s="1"/>
  <c r="R284" i="1"/>
  <c r="S284" i="1" s="1"/>
  <c r="R282" i="1"/>
  <c r="S282" i="1" s="1"/>
  <c r="R279" i="1"/>
  <c r="S279" i="1" s="1"/>
  <c r="R277" i="1"/>
  <c r="S277" i="1" s="1"/>
  <c r="R275" i="1"/>
  <c r="S275" i="1" s="1"/>
  <c r="R270" i="1"/>
  <c r="S270" i="1" s="1"/>
  <c r="R269" i="1"/>
  <c r="S269" i="1" s="1"/>
  <c r="R267" i="1"/>
  <c r="S267" i="1" s="1"/>
  <c r="R265" i="1"/>
  <c r="S265" i="1" s="1"/>
  <c r="R264" i="1"/>
  <c r="S264" i="1" s="1"/>
  <c r="R263" i="1"/>
  <c r="S263" i="1" s="1"/>
  <c r="R262" i="1"/>
  <c r="S262" i="1" s="1"/>
  <c r="R261" i="1"/>
  <c r="S261" i="1" s="1"/>
  <c r="R260" i="1"/>
  <c r="S260" i="1" s="1"/>
  <c r="R258" i="1"/>
  <c r="S258" i="1" s="1"/>
  <c r="R256" i="1"/>
  <c r="S256" i="1" s="1"/>
  <c r="R255" i="1"/>
  <c r="S255" i="1" s="1"/>
  <c r="R254" i="1"/>
  <c r="S254" i="1" s="1"/>
  <c r="R253" i="1"/>
  <c r="S253" i="1" s="1"/>
  <c r="R251" i="1"/>
  <c r="S251" i="1" s="1"/>
  <c r="R249" i="1"/>
  <c r="S249" i="1" s="1"/>
  <c r="R248" i="1"/>
  <c r="S248" i="1" s="1"/>
  <c r="R247" i="1"/>
  <c r="S247" i="1" s="1"/>
  <c r="R245" i="1"/>
  <c r="S245" i="1" s="1"/>
  <c r="R243" i="1"/>
  <c r="S243" i="1" s="1"/>
  <c r="R242" i="1"/>
  <c r="S242" i="1" s="1"/>
  <c r="R241" i="1"/>
  <c r="S241" i="1" s="1"/>
  <c r="R239" i="1"/>
  <c r="S239" i="1" s="1"/>
  <c r="R237" i="1"/>
  <c r="S237" i="1" s="1"/>
  <c r="R235" i="1"/>
  <c r="S235" i="1" s="1"/>
  <c r="R233" i="1"/>
  <c r="S233" i="1" s="1"/>
  <c r="R232" i="1"/>
  <c r="S232" i="1" s="1"/>
  <c r="R231" i="1"/>
  <c r="S231" i="1" s="1"/>
  <c r="R230" i="1"/>
  <c r="S230" i="1" s="1"/>
  <c r="R228" i="1"/>
  <c r="S228" i="1" s="1"/>
  <c r="R226" i="1"/>
  <c r="S226" i="1" s="1"/>
  <c r="R223" i="1"/>
  <c r="S223" i="1" s="1"/>
  <c r="R222" i="1"/>
  <c r="R221" i="1" s="1"/>
  <c r="R7" i="1"/>
  <c r="S7" i="1"/>
  <c r="R8" i="1"/>
  <c r="S8" i="1"/>
  <c r="R9" i="1"/>
  <c r="S9" i="1"/>
  <c r="R13" i="1"/>
  <c r="S13" i="1"/>
  <c r="R14" i="1"/>
  <c r="S14" i="1"/>
  <c r="R15" i="1"/>
  <c r="S15" i="1"/>
  <c r="R17" i="1"/>
  <c r="S17" i="1"/>
  <c r="R18" i="1"/>
  <c r="S18" i="1"/>
  <c r="R19" i="1"/>
  <c r="S19" i="1"/>
  <c r="R21" i="1"/>
  <c r="S21" i="1"/>
  <c r="R23" i="1"/>
  <c r="S23" i="1"/>
  <c r="R28" i="1"/>
  <c r="S28" i="1"/>
  <c r="R30" i="1"/>
  <c r="S30" i="1"/>
  <c r="R33" i="1"/>
  <c r="S33" i="1"/>
  <c r="R37" i="1"/>
  <c r="S37" i="1"/>
  <c r="R38" i="1"/>
  <c r="S38" i="1"/>
  <c r="R48" i="1"/>
  <c r="S48" i="1"/>
  <c r="R49" i="1"/>
  <c r="S49" i="1"/>
  <c r="R53" i="1"/>
  <c r="S53" i="1"/>
  <c r="R54" i="1"/>
  <c r="S54" i="1"/>
  <c r="R58" i="1"/>
  <c r="S58" i="1"/>
  <c r="R61" i="1"/>
  <c r="S61" i="1"/>
  <c r="R62" i="1"/>
  <c r="S62" i="1"/>
  <c r="R64" i="1"/>
  <c r="S64" i="1"/>
  <c r="R72" i="1"/>
  <c r="S72" i="1"/>
  <c r="R75" i="1"/>
  <c r="S75" i="1"/>
  <c r="R76" i="1"/>
  <c r="S76" i="1"/>
  <c r="R79" i="1"/>
  <c r="S79" i="1"/>
  <c r="R82" i="1"/>
  <c r="S82" i="1"/>
  <c r="R83" i="1"/>
  <c r="S83" i="1"/>
  <c r="R86" i="1"/>
  <c r="S86" i="1"/>
  <c r="R88" i="1"/>
  <c r="S88" i="1"/>
  <c r="R89" i="1"/>
  <c r="S89" i="1"/>
  <c r="R90" i="1"/>
  <c r="S90" i="1"/>
  <c r="R91" i="1"/>
  <c r="S91" i="1"/>
  <c r="R92" i="1"/>
  <c r="S92" i="1"/>
  <c r="R96" i="1"/>
  <c r="S96" i="1"/>
  <c r="R98" i="1"/>
  <c r="S98" i="1"/>
  <c r="R100" i="1"/>
  <c r="S100" i="1"/>
  <c r="R101" i="1"/>
  <c r="S101" i="1"/>
  <c r="R102" i="1"/>
  <c r="S102" i="1"/>
  <c r="R103" i="1"/>
  <c r="S103" i="1"/>
  <c r="R105" i="1"/>
  <c r="S105" i="1"/>
  <c r="R106" i="1"/>
  <c r="S106" i="1"/>
  <c r="R108" i="1"/>
  <c r="S108" i="1"/>
  <c r="R109" i="1"/>
  <c r="S109" i="1"/>
  <c r="R111" i="1"/>
  <c r="S111" i="1"/>
  <c r="R112" i="1"/>
  <c r="S112" i="1"/>
  <c r="R118" i="1"/>
  <c r="S118" i="1"/>
  <c r="R120" i="1"/>
  <c r="S120" i="1"/>
  <c r="R121" i="1"/>
  <c r="S121" i="1"/>
  <c r="R122" i="1"/>
  <c r="S122" i="1"/>
  <c r="R124" i="1"/>
  <c r="S124" i="1"/>
  <c r="R125" i="1"/>
  <c r="S125" i="1"/>
  <c r="R126" i="1"/>
  <c r="S126" i="1"/>
  <c r="R129" i="1"/>
  <c r="S129" i="1"/>
  <c r="R130" i="1"/>
  <c r="S130" i="1"/>
  <c r="R131" i="1"/>
  <c r="S131" i="1"/>
  <c r="R133" i="1"/>
  <c r="S133" i="1"/>
  <c r="R135" i="1"/>
  <c r="S135" i="1"/>
  <c r="R136" i="1"/>
  <c r="S136" i="1"/>
  <c r="R137" i="1"/>
  <c r="S137" i="1"/>
  <c r="R139" i="1"/>
  <c r="S139" i="1"/>
  <c r="R140" i="1"/>
  <c r="S140" i="1"/>
  <c r="R141" i="1"/>
  <c r="S141" i="1"/>
  <c r="R142" i="1"/>
  <c r="S142" i="1"/>
  <c r="R143" i="1"/>
  <c r="S143" i="1"/>
  <c r="R144" i="1"/>
  <c r="S144" i="1"/>
  <c r="R145" i="1"/>
  <c r="S145" i="1"/>
  <c r="R148" i="1"/>
  <c r="S148" i="1"/>
  <c r="R150" i="1"/>
  <c r="S150" i="1"/>
  <c r="R157" i="1"/>
  <c r="S157" i="1"/>
  <c r="R160" i="1"/>
  <c r="S160" i="1"/>
  <c r="R162" i="1"/>
  <c r="S162" i="1"/>
  <c r="R164" i="1"/>
  <c r="S164" i="1"/>
  <c r="R167" i="1"/>
  <c r="S167" i="1"/>
  <c r="R168" i="1"/>
  <c r="S168" i="1"/>
  <c r="R170" i="1"/>
  <c r="S170" i="1"/>
  <c r="R171" i="1"/>
  <c r="S171" i="1"/>
  <c r="R172" i="1"/>
  <c r="S172" i="1"/>
  <c r="R174" i="1"/>
  <c r="S174" i="1"/>
  <c r="R175" i="1"/>
  <c r="S175" i="1"/>
  <c r="R178" i="1"/>
  <c r="S178" i="1"/>
  <c r="R179" i="1"/>
  <c r="S179" i="1"/>
  <c r="R180" i="1"/>
  <c r="S180" i="1"/>
  <c r="R181" i="1"/>
  <c r="S181" i="1"/>
  <c r="R186" i="1"/>
  <c r="S186" i="1"/>
  <c r="R190" i="1"/>
  <c r="S190" i="1"/>
  <c r="R193" i="1"/>
  <c r="S193" i="1"/>
  <c r="R194" i="1"/>
  <c r="S194" i="1"/>
  <c r="R195" i="1"/>
  <c r="S195" i="1"/>
  <c r="R197" i="1"/>
  <c r="S197" i="1"/>
  <c r="R198" i="1"/>
  <c r="S198" i="1"/>
  <c r="R200" i="1"/>
  <c r="S200" i="1"/>
  <c r="R201" i="1"/>
  <c r="S201" i="1"/>
  <c r="R202" i="1"/>
  <c r="S202" i="1"/>
  <c r="R203" i="1"/>
  <c r="S203" i="1"/>
  <c r="R204" i="1"/>
  <c r="S204" i="1"/>
  <c r="R205" i="1"/>
  <c r="S205" i="1"/>
  <c r="R206" i="1"/>
  <c r="S206" i="1"/>
  <c r="R209" i="1"/>
  <c r="S209" i="1"/>
  <c r="R211" i="1"/>
  <c r="S211" i="1"/>
  <c r="R212" i="1"/>
  <c r="S212" i="1"/>
  <c r="R213" i="1"/>
  <c r="S213" i="1"/>
  <c r="R214" i="1"/>
  <c r="S214" i="1"/>
  <c r="R215" i="1"/>
  <c r="S215" i="1"/>
  <c r="R216" i="1"/>
  <c r="S216" i="1"/>
  <c r="R218" i="1"/>
  <c r="S218" i="1"/>
  <c r="R219" i="1"/>
  <c r="S219" i="1"/>
  <c r="R220" i="1"/>
  <c r="S220" i="1"/>
  <c r="S34" i="4" l="1"/>
  <c r="R22" i="4"/>
  <c r="S51" i="4"/>
  <c r="R49" i="4"/>
  <c r="S23" i="56"/>
  <c r="R22" i="56"/>
  <c r="S52" i="56"/>
  <c r="R46" i="56"/>
  <c r="S7" i="3"/>
  <c r="S24" i="3"/>
  <c r="R22" i="3"/>
  <c r="S47" i="3"/>
  <c r="R46" i="3"/>
  <c r="S15" i="2"/>
  <c r="S412" i="2"/>
  <c r="S222" i="1"/>
  <c r="T681" i="1" l="1"/>
  <c r="T137" i="4"/>
  <c r="T136" i="4"/>
  <c r="T130" i="56"/>
  <c r="F4" i="56"/>
  <c r="F126" i="56" s="1"/>
  <c r="G4" i="56"/>
  <c r="G126" i="56" s="1"/>
  <c r="H4" i="56"/>
  <c r="H126" i="56" s="1"/>
  <c r="I4" i="56"/>
  <c r="I126" i="56" s="1"/>
  <c r="J4" i="56"/>
  <c r="J126" i="56" s="1"/>
  <c r="K4" i="56"/>
  <c r="K126" i="56" s="1"/>
  <c r="L4" i="56"/>
  <c r="L126" i="56" s="1"/>
  <c r="M4" i="56"/>
  <c r="M126" i="56" s="1"/>
  <c r="P4" i="56"/>
  <c r="P126" i="56" s="1"/>
  <c r="Q4" i="56"/>
  <c r="Q126" i="56" s="1"/>
  <c r="S130" i="3"/>
  <c r="Q130" i="3"/>
  <c r="M130" i="3"/>
  <c r="O130" i="3"/>
  <c r="T130" i="3"/>
  <c r="R17" i="3"/>
  <c r="T682" i="1"/>
  <c r="T678" i="2"/>
  <c r="S678" i="2"/>
  <c r="Q678" i="2"/>
  <c r="Q679" i="2"/>
  <c r="O678" i="2"/>
  <c r="M678" i="2"/>
  <c r="G710" i="2"/>
  <c r="R414" i="2"/>
  <c r="R409" i="2" s="1"/>
  <c r="R224" i="2"/>
  <c r="R221" i="2" s="1"/>
  <c r="R41" i="2"/>
  <c r="R4" i="2" s="1"/>
  <c r="R674" i="2" s="1"/>
  <c r="S17" i="3" l="1"/>
  <c r="R4" i="3"/>
  <c r="R126" i="3" s="1"/>
  <c r="S4" i="3"/>
  <c r="S41" i="2"/>
  <c r="S224" i="2"/>
  <c r="S414" i="2"/>
  <c r="S681" i="1"/>
  <c r="Q681" i="1"/>
  <c r="O681" i="1"/>
  <c r="M681" i="1"/>
  <c r="R425" i="1"/>
  <c r="R424" i="1" s="1"/>
  <c r="R5" i="1"/>
  <c r="R4" i="1" s="1"/>
  <c r="R676" i="1" s="1"/>
  <c r="S5" i="1"/>
  <c r="G144" i="56"/>
  <c r="N125" i="56"/>
  <c r="N124" i="56"/>
  <c r="O124" i="56" s="1"/>
  <c r="N123" i="56"/>
  <c r="O123" i="56" s="1"/>
  <c r="N122" i="56"/>
  <c r="O122" i="56" s="1"/>
  <c r="N121" i="56"/>
  <c r="O121" i="56" s="1"/>
  <c r="N120" i="56"/>
  <c r="O120" i="56" s="1"/>
  <c r="N119" i="56"/>
  <c r="O119" i="56" s="1"/>
  <c r="N118" i="56"/>
  <c r="O118" i="56" s="1"/>
  <c r="N117" i="56"/>
  <c r="O117" i="56" s="1"/>
  <c r="N116" i="56"/>
  <c r="O116" i="56" s="1"/>
  <c r="N115" i="56"/>
  <c r="O115" i="56" s="1"/>
  <c r="N114" i="56"/>
  <c r="O114" i="56" s="1"/>
  <c r="N113" i="56"/>
  <c r="O113" i="56" s="1"/>
  <c r="N112" i="56"/>
  <c r="O112" i="56" s="1"/>
  <c r="N111" i="56"/>
  <c r="O111" i="56" s="1"/>
  <c r="N110" i="56"/>
  <c r="O110" i="56" s="1"/>
  <c r="N109" i="56"/>
  <c r="O109" i="56" s="1"/>
  <c r="N108" i="56"/>
  <c r="O108" i="56" s="1"/>
  <c r="N107" i="56"/>
  <c r="O107" i="56" s="1"/>
  <c r="N106" i="56"/>
  <c r="O106" i="56" s="1"/>
  <c r="N105" i="56"/>
  <c r="O105" i="56" s="1"/>
  <c r="N104" i="56"/>
  <c r="O104" i="56" s="1"/>
  <c r="N103" i="56"/>
  <c r="O103" i="56" s="1"/>
  <c r="N102" i="56"/>
  <c r="O102" i="56" s="1"/>
  <c r="N101" i="56"/>
  <c r="O101" i="56" s="1"/>
  <c r="N100" i="56"/>
  <c r="O100" i="56" s="1"/>
  <c r="N99" i="56"/>
  <c r="O99" i="56" s="1"/>
  <c r="N98" i="56"/>
  <c r="O98" i="56" s="1"/>
  <c r="N97" i="56"/>
  <c r="O97" i="56" s="1"/>
  <c r="N96" i="56"/>
  <c r="O96" i="56" s="1"/>
  <c r="N95" i="56"/>
  <c r="O95" i="56" s="1"/>
  <c r="N94" i="56"/>
  <c r="O94" i="56" s="1"/>
  <c r="N93" i="56"/>
  <c r="O93" i="56" s="1"/>
  <c r="N92" i="56"/>
  <c r="O92" i="56" s="1"/>
  <c r="N91" i="56"/>
  <c r="O91" i="56" s="1"/>
  <c r="N90" i="56"/>
  <c r="O90" i="56" s="1"/>
  <c r="N89" i="56"/>
  <c r="O89" i="56" s="1"/>
  <c r="N88" i="56"/>
  <c r="O88" i="56" s="1"/>
  <c r="N87" i="56"/>
  <c r="O87" i="56" s="1"/>
  <c r="N86" i="56"/>
  <c r="O86" i="56" s="1"/>
  <c r="N85" i="56"/>
  <c r="O85" i="56" s="1"/>
  <c r="N84" i="56"/>
  <c r="O84" i="56" s="1"/>
  <c r="N83" i="56"/>
  <c r="O83" i="56" s="1"/>
  <c r="N82" i="56"/>
  <c r="O82" i="56" s="1"/>
  <c r="N81" i="56"/>
  <c r="O81" i="56" s="1"/>
  <c r="N80" i="56"/>
  <c r="O80" i="56" s="1"/>
  <c r="N79" i="56"/>
  <c r="O79" i="56" s="1"/>
  <c r="N78" i="56"/>
  <c r="O78" i="56" s="1"/>
  <c r="N77" i="56"/>
  <c r="O77" i="56" s="1"/>
  <c r="N76" i="56"/>
  <c r="O76" i="56" s="1"/>
  <c r="N75" i="56"/>
  <c r="O75" i="56" s="1"/>
  <c r="N74" i="56"/>
  <c r="O74" i="56" s="1"/>
  <c r="N73" i="56"/>
  <c r="O73" i="56" s="1"/>
  <c r="N72" i="56"/>
  <c r="O72" i="56" s="1"/>
  <c r="N71" i="56"/>
  <c r="O71" i="56" s="1"/>
  <c r="N70" i="56"/>
  <c r="O70" i="56" s="1"/>
  <c r="N69" i="56"/>
  <c r="O69" i="56" s="1"/>
  <c r="N68" i="56"/>
  <c r="O68" i="56" s="1"/>
  <c r="N67" i="56"/>
  <c r="O67" i="56" s="1"/>
  <c r="N66" i="56"/>
  <c r="O66" i="56" s="1"/>
  <c r="N65" i="56"/>
  <c r="O65" i="56" s="1"/>
  <c r="N64" i="56"/>
  <c r="O64" i="56" s="1"/>
  <c r="N63" i="56"/>
  <c r="O63" i="56" s="1"/>
  <c r="N62" i="56"/>
  <c r="O62" i="56" s="1"/>
  <c r="N61" i="56"/>
  <c r="O61" i="56" s="1"/>
  <c r="N60" i="56"/>
  <c r="O60" i="56" s="1"/>
  <c r="N59" i="56"/>
  <c r="O59" i="56" s="1"/>
  <c r="N58" i="56"/>
  <c r="O58" i="56" s="1"/>
  <c r="N57" i="56"/>
  <c r="O57" i="56" s="1"/>
  <c r="N56" i="56"/>
  <c r="O56" i="56" s="1"/>
  <c r="N55" i="56"/>
  <c r="O55" i="56" s="1"/>
  <c r="N54" i="56"/>
  <c r="O54" i="56" s="1"/>
  <c r="N53" i="56"/>
  <c r="O53" i="56" s="1"/>
  <c r="N52" i="56"/>
  <c r="O52" i="56" s="1"/>
  <c r="N51" i="56"/>
  <c r="O51" i="56" s="1"/>
  <c r="N50" i="56"/>
  <c r="O50" i="56" s="1"/>
  <c r="N49" i="56"/>
  <c r="O49" i="56" s="1"/>
  <c r="N48" i="56"/>
  <c r="O48" i="56" s="1"/>
  <c r="N47" i="56"/>
  <c r="S46" i="56"/>
  <c r="N45" i="56"/>
  <c r="O45" i="56" s="1"/>
  <c r="N44" i="56"/>
  <c r="O44" i="56" s="1"/>
  <c r="N43" i="56"/>
  <c r="O43" i="56" s="1"/>
  <c r="N42" i="56"/>
  <c r="O42" i="56" s="1"/>
  <c r="N41" i="56"/>
  <c r="O41" i="56" s="1"/>
  <c r="N40" i="56"/>
  <c r="O40" i="56" s="1"/>
  <c r="N39" i="56"/>
  <c r="O39" i="56" s="1"/>
  <c r="N38" i="56"/>
  <c r="O38" i="56" s="1"/>
  <c r="N37" i="56"/>
  <c r="O37" i="56" s="1"/>
  <c r="N36" i="56"/>
  <c r="O36" i="56" s="1"/>
  <c r="N35" i="56"/>
  <c r="O35" i="56" s="1"/>
  <c r="N34" i="56"/>
  <c r="O34" i="56" s="1"/>
  <c r="N33" i="56"/>
  <c r="O33" i="56" s="1"/>
  <c r="N32" i="56"/>
  <c r="O32" i="56" s="1"/>
  <c r="N31" i="56"/>
  <c r="O31" i="56" s="1"/>
  <c r="N30" i="56"/>
  <c r="O30" i="56" s="1"/>
  <c r="N29" i="56"/>
  <c r="O29" i="56" s="1"/>
  <c r="N28" i="56"/>
  <c r="O28" i="56" s="1"/>
  <c r="N27" i="56"/>
  <c r="O27" i="56" s="1"/>
  <c r="N26" i="56"/>
  <c r="O26" i="56" s="1"/>
  <c r="N25" i="56"/>
  <c r="O25" i="56" s="1"/>
  <c r="N24" i="56"/>
  <c r="O24" i="56" s="1"/>
  <c r="N23" i="56"/>
  <c r="N22" i="56" s="1"/>
  <c r="S22" i="56"/>
  <c r="N21" i="56"/>
  <c r="O21" i="56" s="1"/>
  <c r="N20" i="56"/>
  <c r="O20" i="56" s="1"/>
  <c r="N19" i="56"/>
  <c r="O19" i="56" s="1"/>
  <c r="N18" i="56"/>
  <c r="O18" i="56" s="1"/>
  <c r="N17" i="56"/>
  <c r="O17" i="56" s="1"/>
  <c r="N16" i="56"/>
  <c r="O16" i="56" s="1"/>
  <c r="N15" i="56"/>
  <c r="O15" i="56" s="1"/>
  <c r="N14" i="56"/>
  <c r="O14" i="56" s="1"/>
  <c r="N13" i="56"/>
  <c r="O13" i="56" s="1"/>
  <c r="N12" i="56"/>
  <c r="O12" i="56" s="1"/>
  <c r="N11" i="56"/>
  <c r="O11" i="56" s="1"/>
  <c r="N10" i="56"/>
  <c r="O10" i="56" s="1"/>
  <c r="N9" i="56"/>
  <c r="O9" i="56" s="1"/>
  <c r="N8" i="56"/>
  <c r="O8" i="56" s="1"/>
  <c r="N7" i="56"/>
  <c r="O7" i="56" s="1"/>
  <c r="R6" i="56"/>
  <c r="N6" i="56"/>
  <c r="O6" i="56" s="1"/>
  <c r="N5" i="56"/>
  <c r="T131" i="3"/>
  <c r="T679" i="2"/>
  <c r="S136" i="4"/>
  <c r="Q136" i="4"/>
  <c r="O136" i="4"/>
  <c r="M136" i="4"/>
  <c r="E176" i="4"/>
  <c r="S131" i="3"/>
  <c r="Q131" i="3"/>
  <c r="O131" i="3"/>
  <c r="S682" i="1"/>
  <c r="Q682" i="1"/>
  <c r="O682" i="1"/>
  <c r="M682" i="1"/>
  <c r="O47" i="56" l="1"/>
  <c r="N46" i="56"/>
  <c r="O5" i="56"/>
  <c r="O4" i="56" s="1"/>
  <c r="N4" i="56"/>
  <c r="N126" i="56" s="1"/>
  <c r="S6" i="56"/>
  <c r="S4" i="56" s="1"/>
  <c r="S126" i="56" s="1"/>
  <c r="R4" i="56"/>
  <c r="R126" i="56" s="1"/>
  <c r="O23" i="56"/>
  <c r="O22" i="56" s="1"/>
  <c r="O125" i="56"/>
  <c r="S425" i="1"/>
  <c r="S679" i="2"/>
  <c r="O679" i="2"/>
  <c r="M679" i="2"/>
  <c r="S137" i="4"/>
  <c r="Q137" i="4"/>
  <c r="O137" i="4"/>
  <c r="M137" i="4"/>
  <c r="R12" i="4"/>
  <c r="R4" i="4" s="1"/>
  <c r="R131" i="4" s="1"/>
  <c r="S132" i="3"/>
  <c r="Q132" i="3"/>
  <c r="O132" i="3"/>
  <c r="S680" i="2"/>
  <c r="Q680" i="2"/>
  <c r="O680" i="2"/>
  <c r="M680" i="2"/>
  <c r="S683" i="1"/>
  <c r="Q683" i="1"/>
  <c r="O683" i="1"/>
  <c r="M683" i="1"/>
  <c r="O46" i="56" l="1"/>
  <c r="O126" i="56" s="1"/>
  <c r="S12" i="4"/>
  <c r="S409" i="2"/>
  <c r="S221" i="2"/>
  <c r="S138" i="4"/>
  <c r="Q138" i="4"/>
  <c r="O138" i="4"/>
  <c r="M138" i="4"/>
  <c r="S133" i="3"/>
  <c r="Q133" i="3"/>
  <c r="Q134" i="3"/>
  <c r="O133" i="3"/>
  <c r="S681" i="2"/>
  <c r="Q681" i="2"/>
  <c r="O681" i="2"/>
  <c r="M681" i="2"/>
  <c r="S684" i="1"/>
  <c r="Q684" i="1"/>
  <c r="O684" i="1"/>
  <c r="M684" i="1"/>
  <c r="S139" i="4" l="1"/>
  <c r="Q139" i="4"/>
  <c r="O139" i="4"/>
  <c r="M139" i="4"/>
  <c r="O140" i="4"/>
  <c r="S134" i="3"/>
  <c r="S682" i="2"/>
  <c r="Q682" i="2"/>
  <c r="O682" i="2"/>
  <c r="M682" i="2"/>
  <c r="S22" i="3" l="1"/>
  <c r="S4" i="2"/>
  <c r="S674" i="2" s="1"/>
  <c r="S685" i="1"/>
  <c r="Q685" i="1"/>
  <c r="O685" i="1"/>
  <c r="M685" i="1"/>
  <c r="G167" i="4" l="1"/>
  <c r="S140" i="4"/>
  <c r="Q140" i="4"/>
  <c r="S135" i="3"/>
  <c r="Q135" i="3"/>
  <c r="O135" i="3"/>
  <c r="S683" i="2"/>
  <c r="Q683" i="2"/>
  <c r="O683" i="2"/>
  <c r="M683" i="2"/>
  <c r="G713" i="1"/>
  <c r="S686" i="1"/>
  <c r="Q686" i="1"/>
  <c r="O686" i="1"/>
  <c r="M686" i="1"/>
  <c r="S141" i="4"/>
  <c r="Q141" i="4"/>
  <c r="O141" i="4"/>
  <c r="S136" i="3"/>
  <c r="Q136" i="3"/>
  <c r="O136" i="3"/>
  <c r="S4" i="4" l="1"/>
  <c r="S22" i="4"/>
  <c r="S46" i="3"/>
  <c r="S126" i="3" s="1"/>
  <c r="S684" i="2"/>
  <c r="Q684" i="2"/>
  <c r="O684" i="2"/>
  <c r="M684" i="2"/>
  <c r="S687" i="1"/>
  <c r="Q687" i="1"/>
  <c r="O687" i="1"/>
  <c r="M687" i="1"/>
  <c r="S142" i="4"/>
  <c r="Q142" i="4"/>
  <c r="O143" i="4"/>
  <c r="S424" i="1" l="1"/>
  <c r="S221" i="1"/>
  <c r="S137" i="3"/>
  <c r="Q137" i="3"/>
  <c r="O137" i="3"/>
  <c r="O141" i="3"/>
  <c r="S685" i="2"/>
  <c r="Q685" i="2"/>
  <c r="O685" i="2"/>
  <c r="M685" i="2"/>
  <c r="S688" i="1"/>
  <c r="Q688" i="1"/>
  <c r="O688" i="1"/>
  <c r="M688" i="1"/>
  <c r="N533" i="1"/>
  <c r="O533" i="1" s="1"/>
  <c r="N124" i="1"/>
  <c r="O124" i="1" s="1"/>
  <c r="N217" i="1"/>
  <c r="O217" i="1" s="1"/>
  <c r="N120" i="1"/>
  <c r="O120" i="1" s="1"/>
  <c r="N183" i="1"/>
  <c r="O183" i="1" s="1"/>
  <c r="N48" i="1"/>
  <c r="O48" i="1" s="1"/>
  <c r="N275" i="1"/>
  <c r="O275" i="1" s="1"/>
  <c r="N207" i="1"/>
  <c r="O207" i="1" s="1"/>
  <c r="N490" i="1"/>
  <c r="O490" i="1" s="1"/>
  <c r="N630" i="1"/>
  <c r="O630" i="1" s="1"/>
  <c r="N323" i="1"/>
  <c r="O323" i="1" s="1"/>
  <c r="N159" i="1"/>
  <c r="O159" i="1" s="1"/>
  <c r="N497" i="1"/>
  <c r="O497" i="1" s="1"/>
  <c r="N420" i="1"/>
  <c r="O420" i="1" s="1"/>
  <c r="N408" i="1"/>
  <c r="O408" i="1" s="1"/>
  <c r="N525" i="1"/>
  <c r="O525" i="1" s="1"/>
  <c r="N205" i="1"/>
  <c r="O205" i="1" s="1"/>
  <c r="N352" i="1"/>
  <c r="O352" i="1" s="1"/>
  <c r="N270" i="1"/>
  <c r="O270" i="1" s="1"/>
  <c r="N201" i="1"/>
  <c r="O201" i="1" s="1"/>
  <c r="N345" i="1"/>
  <c r="O345" i="1" s="1"/>
  <c r="N33" i="1"/>
  <c r="O33" i="1" s="1"/>
  <c r="N518" i="1"/>
  <c r="O518" i="1" s="1"/>
  <c r="N191" i="1"/>
  <c r="O191" i="1" s="1"/>
  <c r="N376" i="1"/>
  <c r="O376" i="1" s="1"/>
  <c r="N77" i="1"/>
  <c r="O77" i="1" s="1"/>
  <c r="N173" i="1"/>
  <c r="O173" i="1" s="1"/>
  <c r="N397" i="1"/>
  <c r="O397" i="1" s="1"/>
  <c r="N281" i="1"/>
  <c r="O281" i="1" s="1"/>
  <c r="N554" i="1"/>
  <c r="O554" i="1" s="1"/>
  <c r="N254" i="1"/>
  <c r="O254" i="1" s="1"/>
  <c r="N608" i="1"/>
  <c r="O608" i="1" s="1"/>
  <c r="N605" i="1"/>
  <c r="O605" i="1" s="1"/>
  <c r="N358" i="1"/>
  <c r="O358" i="1" s="1"/>
  <c r="N357" i="1"/>
  <c r="O357" i="1" s="1"/>
  <c r="N334" i="1"/>
  <c r="O334" i="1" s="1"/>
  <c r="N545" i="1"/>
  <c r="O545" i="1" s="1"/>
  <c r="N250" i="1"/>
  <c r="O250" i="1" s="1"/>
  <c r="N548" i="1"/>
  <c r="O548" i="1" s="1"/>
  <c r="N494" i="1"/>
  <c r="O494" i="1" s="1"/>
  <c r="N328" i="1"/>
  <c r="O328" i="1" s="1"/>
  <c r="N316" i="1"/>
  <c r="O316" i="1" s="1"/>
  <c r="N600" i="1"/>
  <c r="O600" i="1" s="1"/>
  <c r="N663" i="1"/>
  <c r="O663" i="1" s="1"/>
  <c r="N231" i="1"/>
  <c r="O231" i="1" s="1"/>
  <c r="N477" i="1"/>
  <c r="O477" i="1" s="1"/>
  <c r="N453" i="1"/>
  <c r="O453" i="1" s="1"/>
  <c r="N447" i="1"/>
  <c r="O447" i="1" s="1"/>
  <c r="N129" i="1"/>
  <c r="O129" i="1" s="1"/>
  <c r="N131" i="1"/>
  <c r="O131" i="1" s="1"/>
  <c r="N521" i="1"/>
  <c r="O521" i="1" s="1"/>
  <c r="N274" i="1"/>
  <c r="O274" i="1" s="1"/>
  <c r="N501" i="1"/>
  <c r="O501" i="1" s="1"/>
  <c r="N432" i="1"/>
  <c r="O432" i="1" s="1"/>
  <c r="N163" i="1"/>
  <c r="O163" i="1" s="1"/>
  <c r="N550" i="1"/>
  <c r="O550" i="1" s="1"/>
  <c r="N279" i="1"/>
  <c r="O279" i="1" s="1"/>
  <c r="N359" i="1"/>
  <c r="O359" i="1" s="1"/>
  <c r="N150" i="1"/>
  <c r="O150" i="1" s="1"/>
  <c r="N273" i="1"/>
  <c r="O273" i="1" s="1"/>
  <c r="N611" i="1"/>
  <c r="O611" i="1" s="1"/>
  <c r="N232" i="1"/>
  <c r="O232" i="1" s="1"/>
  <c r="N269" i="1"/>
  <c r="O269" i="1" s="1"/>
  <c r="N325" i="1"/>
  <c r="O325" i="1" s="1"/>
  <c r="N596" i="1"/>
  <c r="O596" i="1" s="1"/>
  <c r="N412" i="1"/>
  <c r="O412" i="1" s="1"/>
  <c r="N456" i="1"/>
  <c r="O456" i="1" s="1"/>
  <c r="N340" i="1"/>
  <c r="O340" i="1" s="1"/>
  <c r="N211" i="1"/>
  <c r="O211" i="1" s="1"/>
  <c r="N513" i="1"/>
  <c r="O513" i="1" s="1"/>
  <c r="N303" i="1"/>
  <c r="O303" i="1" s="1"/>
  <c r="N121" i="1"/>
  <c r="O121" i="1" s="1"/>
  <c r="N498" i="1"/>
  <c r="O498" i="1" s="1"/>
  <c r="N336" i="1"/>
  <c r="O336" i="1" s="1"/>
  <c r="N249" i="1"/>
  <c r="O249" i="1" s="1"/>
  <c r="N127" i="1"/>
  <c r="O127" i="1" s="1"/>
  <c r="N640" i="1"/>
  <c r="O640" i="1" s="1"/>
  <c r="N246" i="1"/>
  <c r="O246" i="1" s="1"/>
  <c r="N143" i="1"/>
  <c r="O143" i="1" s="1"/>
  <c r="N158" i="1"/>
  <c r="O158" i="1" s="1"/>
  <c r="N213" i="1"/>
  <c r="O213" i="1" s="1"/>
  <c r="N566" i="1"/>
  <c r="O566" i="1" s="1"/>
  <c r="N540" i="1"/>
  <c r="O540" i="1" s="1"/>
  <c r="N267" i="1"/>
  <c r="O267" i="1" s="1"/>
  <c r="N126" i="1"/>
  <c r="O126" i="1" s="1"/>
  <c r="N257" i="1"/>
  <c r="O257" i="1" s="1"/>
  <c r="N528" i="1"/>
  <c r="O528" i="1" s="1"/>
  <c r="N524" i="1"/>
  <c r="O524" i="1" s="1"/>
  <c r="N174" i="1"/>
  <c r="O174" i="1" s="1"/>
  <c r="N551" i="1"/>
  <c r="O551" i="1" s="1"/>
  <c r="N222" i="1"/>
  <c r="N258" i="1"/>
  <c r="O258" i="1" s="1"/>
  <c r="N614" i="1"/>
  <c r="O614" i="1" s="1"/>
  <c r="N241" i="1"/>
  <c r="O241" i="1" s="1"/>
  <c r="N282" i="1"/>
  <c r="O282" i="1" s="1"/>
  <c r="N385" i="1"/>
  <c r="O385" i="1" s="1"/>
  <c r="N435" i="1"/>
  <c r="O435" i="1" s="1"/>
  <c r="N306" i="1"/>
  <c r="O306" i="1" s="1"/>
  <c r="N172" i="1"/>
  <c r="O172" i="1" s="1"/>
  <c r="N557" i="1"/>
  <c r="O557" i="1" s="1"/>
  <c r="N314" i="1"/>
  <c r="O314" i="1" s="1"/>
  <c r="N139" i="1"/>
  <c r="O139" i="1" s="1"/>
  <c r="N165" i="1"/>
  <c r="O165" i="1" s="1"/>
  <c r="N469" i="1"/>
  <c r="O469" i="1" s="1"/>
  <c r="N171" i="1"/>
  <c r="O171" i="1" s="1"/>
  <c r="N153" i="1"/>
  <c r="O153" i="1" s="1"/>
  <c r="N384" i="1"/>
  <c r="O384" i="1" s="1"/>
  <c r="N268" i="1"/>
  <c r="O268" i="1" s="1"/>
  <c r="N118" i="1"/>
  <c r="O118" i="1" s="1"/>
  <c r="N85" i="1"/>
  <c r="O85" i="1" s="1"/>
  <c r="N168" i="1"/>
  <c r="O168" i="1" s="1"/>
  <c r="N660" i="1"/>
  <c r="O660" i="1" s="1"/>
  <c r="N383" i="1"/>
  <c r="O383" i="1" s="1"/>
  <c r="N192" i="1"/>
  <c r="O192" i="1" s="1"/>
  <c r="N487" i="1"/>
  <c r="O487" i="1" s="1"/>
  <c r="N496" i="1"/>
  <c r="O496" i="1" s="1"/>
  <c r="N597" i="1"/>
  <c r="O597" i="1" s="1"/>
  <c r="N632" i="1"/>
  <c r="O632" i="1" s="1"/>
  <c r="N181" i="1"/>
  <c r="O181" i="1" s="1"/>
  <c r="N283" i="1"/>
  <c r="O283" i="1" s="1"/>
  <c r="N618" i="1"/>
  <c r="O618" i="1" s="1"/>
  <c r="N370" i="1"/>
  <c r="O370" i="1" s="1"/>
  <c r="N313" i="1"/>
  <c r="O313" i="1" s="1"/>
  <c r="N220" i="1"/>
  <c r="O220" i="1" s="1"/>
  <c r="N405" i="1"/>
  <c r="O405" i="1" s="1"/>
  <c r="N243" i="1"/>
  <c r="O243" i="1" s="1"/>
  <c r="N302" i="1"/>
  <c r="O302" i="1" s="1"/>
  <c r="N202" i="1"/>
  <c r="O202" i="1" s="1"/>
  <c r="N489" i="1"/>
  <c r="O489" i="1" s="1"/>
  <c r="N307" i="1"/>
  <c r="O307" i="1" s="1"/>
  <c r="N485" i="1"/>
  <c r="O485" i="1" s="1"/>
  <c r="N417" i="1"/>
  <c r="O417" i="1" s="1"/>
  <c r="N472" i="1"/>
  <c r="O472" i="1" s="1"/>
  <c r="N534" i="1"/>
  <c r="O534" i="1" s="1"/>
  <c r="N531" i="1"/>
  <c r="O531" i="1" s="1"/>
  <c r="N610" i="1"/>
  <c r="O610" i="1" s="1"/>
  <c r="N116" i="1"/>
  <c r="O116" i="1" s="1"/>
  <c r="N499" i="1"/>
  <c r="O499" i="1" s="1"/>
  <c r="N587" i="1"/>
  <c r="O587" i="1" s="1"/>
  <c r="N535" i="1"/>
  <c r="O535" i="1" s="1"/>
  <c r="N224" i="1"/>
  <c r="O224" i="1" s="1"/>
  <c r="N580" i="1"/>
  <c r="O580" i="1" s="1"/>
  <c r="N549" i="1"/>
  <c r="O549" i="1" s="1"/>
  <c r="N653" i="1"/>
  <c r="O653" i="1" s="1"/>
  <c r="N64" i="1"/>
  <c r="O64" i="1" s="1"/>
  <c r="N373" i="1"/>
  <c r="O373" i="1" s="1"/>
  <c r="N317" i="1"/>
  <c r="O317" i="1" s="1"/>
  <c r="N347" i="1"/>
  <c r="O347" i="1" s="1"/>
  <c r="N142" i="1"/>
  <c r="O142" i="1" s="1"/>
  <c r="N636" i="1"/>
  <c r="O636" i="1" s="1"/>
  <c r="N634" i="1"/>
  <c r="O634" i="1" s="1"/>
  <c r="N546" i="1"/>
  <c r="O546" i="1" s="1"/>
  <c r="N599" i="1"/>
  <c r="O599" i="1" s="1"/>
  <c r="N511" i="1"/>
  <c r="O511" i="1" s="1"/>
  <c r="N301" i="1"/>
  <c r="O301" i="1" s="1"/>
  <c r="N286" i="1"/>
  <c r="O286" i="1" s="1"/>
  <c r="N266" i="1"/>
  <c r="O266" i="1" s="1"/>
  <c r="N189" i="1"/>
  <c r="O189" i="1" s="1"/>
  <c r="N623" i="1"/>
  <c r="O623" i="1" s="1"/>
  <c r="N198" i="1"/>
  <c r="O198" i="1" s="1"/>
  <c r="N162" i="1"/>
  <c r="O162" i="1" s="1"/>
  <c r="N430" i="1"/>
  <c r="O430" i="1" s="1"/>
  <c r="N167" i="1"/>
  <c r="O167" i="1" s="1"/>
  <c r="N555" i="1"/>
  <c r="O555" i="1" s="1"/>
  <c r="N216" i="1"/>
  <c r="O216" i="1" s="1"/>
  <c r="N348" i="1"/>
  <c r="O348" i="1" s="1"/>
  <c r="N414" i="1"/>
  <c r="O414" i="1" s="1"/>
  <c r="N242" i="1"/>
  <c r="O242" i="1" s="1"/>
  <c r="N633" i="1"/>
  <c r="O633" i="1" s="1"/>
  <c r="N106" i="1"/>
  <c r="O106" i="1" s="1"/>
  <c r="N333" i="1"/>
  <c r="O333" i="1" s="1"/>
  <c r="N138" i="1"/>
  <c r="O138" i="1" s="1"/>
  <c r="N589" i="1"/>
  <c r="O589" i="1" s="1"/>
  <c r="N184" i="1"/>
  <c r="O184" i="1" s="1"/>
  <c r="N396" i="1"/>
  <c r="O396" i="1" s="1"/>
  <c r="N467" i="1"/>
  <c r="O467" i="1" s="1"/>
  <c r="N581" i="1"/>
  <c r="O581" i="1" s="1"/>
  <c r="N318" i="1"/>
  <c r="O318" i="1" s="1"/>
  <c r="N368" i="1"/>
  <c r="O368" i="1" s="1"/>
  <c r="N235" i="1"/>
  <c r="O235" i="1" s="1"/>
  <c r="N215" i="1"/>
  <c r="O215" i="1" s="1"/>
  <c r="N94" i="1"/>
  <c r="O94" i="1" s="1"/>
  <c r="N206" i="1"/>
  <c r="O206" i="1" s="1"/>
  <c r="N73" i="1"/>
  <c r="O73" i="1" s="1"/>
  <c r="N251" i="1"/>
  <c r="O251" i="1" s="1"/>
  <c r="N504" i="1"/>
  <c r="O504" i="1" s="1"/>
  <c r="N351" i="1"/>
  <c r="O351" i="1" s="1"/>
  <c r="N449" i="1"/>
  <c r="O449" i="1" s="1"/>
  <c r="N125" i="1"/>
  <c r="O125" i="1" s="1"/>
  <c r="N49" i="1"/>
  <c r="O49" i="1" s="1"/>
  <c r="N406" i="1"/>
  <c r="O406" i="1" s="1"/>
  <c r="N661" i="1"/>
  <c r="O661" i="1" s="1"/>
  <c r="N620" i="1"/>
  <c r="O620" i="1" s="1"/>
  <c r="N182" i="1"/>
  <c r="O182" i="1" s="1"/>
  <c r="N649" i="1"/>
  <c r="O649" i="1" s="1"/>
  <c r="N389" i="1"/>
  <c r="O389" i="1" s="1"/>
  <c r="N277" i="1"/>
  <c r="O277" i="1" s="1"/>
  <c r="N382" i="1"/>
  <c r="O382" i="1" s="1"/>
  <c r="N255" i="1"/>
  <c r="O255" i="1" s="1"/>
  <c r="N320" i="1"/>
  <c r="O320" i="1" s="1"/>
  <c r="N288" i="1"/>
  <c r="O288" i="1" s="1"/>
  <c r="N170" i="1"/>
  <c r="O170" i="1" s="1"/>
  <c r="N6" i="1"/>
  <c r="O6" i="1" s="1"/>
  <c r="S4" i="1" l="1"/>
  <c r="S676" i="1" s="1"/>
  <c r="S49" i="4"/>
  <c r="S131" i="4" s="1"/>
  <c r="O222" i="1"/>
  <c r="S143" i="4"/>
  <c r="Q143" i="4"/>
  <c r="S138" i="3"/>
  <c r="Q138" i="3"/>
  <c r="S686" i="2" l="1"/>
  <c r="Q686" i="2"/>
  <c r="O686" i="2"/>
  <c r="M686" i="2"/>
  <c r="S689" i="1"/>
  <c r="Q689" i="1"/>
  <c r="O689" i="1"/>
  <c r="M689" i="1"/>
  <c r="S144" i="4" l="1"/>
  <c r="Q144" i="4"/>
  <c r="O144" i="4"/>
  <c r="S139" i="3"/>
  <c r="Q139" i="3"/>
  <c r="S687" i="2"/>
  <c r="Q687" i="2"/>
  <c r="O687" i="2"/>
  <c r="M687" i="2"/>
  <c r="S690" i="1"/>
  <c r="Q690" i="1"/>
  <c r="O690" i="1"/>
  <c r="M690" i="1"/>
  <c r="N130" i="4" l="1"/>
  <c r="O130" i="4" s="1"/>
  <c r="N129" i="4"/>
  <c r="O129" i="4" s="1"/>
  <c r="N128" i="4"/>
  <c r="O128" i="4" s="1"/>
  <c r="N127" i="4"/>
  <c r="O127" i="4" s="1"/>
  <c r="N126" i="4"/>
  <c r="O126" i="4" s="1"/>
  <c r="N125" i="4"/>
  <c r="O125" i="4" s="1"/>
  <c r="N124" i="4"/>
  <c r="O124" i="4" s="1"/>
  <c r="N123" i="4"/>
  <c r="O123" i="4" s="1"/>
  <c r="N122" i="4"/>
  <c r="O122" i="4" s="1"/>
  <c r="N121" i="4"/>
  <c r="O121" i="4" s="1"/>
  <c r="N120" i="4"/>
  <c r="O120" i="4" s="1"/>
  <c r="N119" i="4"/>
  <c r="O119" i="4" s="1"/>
  <c r="N118" i="4"/>
  <c r="O118" i="4" s="1"/>
  <c r="N117" i="4"/>
  <c r="O117" i="4" s="1"/>
  <c r="N111" i="4"/>
  <c r="O111" i="4" s="1"/>
  <c r="N116" i="4"/>
  <c r="O116" i="4" s="1"/>
  <c r="N115" i="4"/>
  <c r="O115" i="4" s="1"/>
  <c r="N114" i="4"/>
  <c r="O114" i="4" s="1"/>
  <c r="N112" i="4"/>
  <c r="O112" i="4" s="1"/>
  <c r="N113" i="4"/>
  <c r="O113" i="4" s="1"/>
  <c r="N107" i="4"/>
  <c r="O107" i="4" s="1"/>
  <c r="N106" i="4"/>
  <c r="O106" i="4" s="1"/>
  <c r="N100" i="4"/>
  <c r="O100" i="4" s="1"/>
  <c r="N110" i="4"/>
  <c r="O110" i="4" s="1"/>
  <c r="N103" i="4"/>
  <c r="O103" i="4" s="1"/>
  <c r="N108" i="4"/>
  <c r="O108" i="4" s="1"/>
  <c r="N80" i="4"/>
  <c r="O80" i="4" s="1"/>
  <c r="N104" i="4"/>
  <c r="O104" i="4" s="1"/>
  <c r="N93" i="4"/>
  <c r="O93" i="4" s="1"/>
  <c r="N95" i="4"/>
  <c r="O95" i="4" s="1"/>
  <c r="N97" i="4"/>
  <c r="O97" i="4" s="1"/>
  <c r="N96" i="4"/>
  <c r="O96" i="4" s="1"/>
  <c r="N99" i="4"/>
  <c r="O99" i="4" s="1"/>
  <c r="N86" i="4"/>
  <c r="O86" i="4" s="1"/>
  <c r="N105" i="4"/>
  <c r="O105" i="4" s="1"/>
  <c r="N88" i="4"/>
  <c r="O88" i="4" s="1"/>
  <c r="N90" i="4"/>
  <c r="O90" i="4" s="1"/>
  <c r="N89" i="4"/>
  <c r="O89" i="4" s="1"/>
  <c r="N101" i="4"/>
  <c r="O101" i="4" s="1"/>
  <c r="N71" i="4"/>
  <c r="O71" i="4" s="1"/>
  <c r="N92" i="4"/>
  <c r="O92" i="4" s="1"/>
  <c r="N83" i="4"/>
  <c r="O83" i="4" s="1"/>
  <c r="N85" i="4"/>
  <c r="O85" i="4" s="1"/>
  <c r="N98" i="4"/>
  <c r="O98" i="4" s="1"/>
  <c r="N82" i="4"/>
  <c r="O82" i="4" s="1"/>
  <c r="N87" i="4"/>
  <c r="O87" i="4" s="1"/>
  <c r="N74" i="4"/>
  <c r="O74" i="4" s="1"/>
  <c r="N91" i="4"/>
  <c r="O91" i="4" s="1"/>
  <c r="N102" i="4"/>
  <c r="O102" i="4" s="1"/>
  <c r="N70" i="4"/>
  <c r="O70" i="4" s="1"/>
  <c r="N94" i="4"/>
  <c r="O94" i="4" s="1"/>
  <c r="N72" i="4"/>
  <c r="O72" i="4" s="1"/>
  <c r="N76" i="4"/>
  <c r="O76" i="4" s="1"/>
  <c r="N69" i="4"/>
  <c r="O69" i="4" s="1"/>
  <c r="N79" i="4"/>
  <c r="O79" i="4" s="1"/>
  <c r="N66" i="4"/>
  <c r="O66" i="4" s="1"/>
  <c r="N78" i="4"/>
  <c r="O78" i="4" s="1"/>
  <c r="N75" i="4"/>
  <c r="O75" i="4" s="1"/>
  <c r="N81" i="4"/>
  <c r="O81" i="4" s="1"/>
  <c r="N73" i="4"/>
  <c r="O73" i="4" s="1"/>
  <c r="N77" i="4"/>
  <c r="O77" i="4" s="1"/>
  <c r="N84" i="4"/>
  <c r="O84" i="4" s="1"/>
  <c r="N68" i="4"/>
  <c r="O68" i="4" s="1"/>
  <c r="N61" i="4"/>
  <c r="O61" i="4" s="1"/>
  <c r="N67" i="4"/>
  <c r="O67" i="4" s="1"/>
  <c r="N62" i="4"/>
  <c r="O62" i="4" s="1"/>
  <c r="N59" i="4"/>
  <c r="O59" i="4" s="1"/>
  <c r="N109" i="4"/>
  <c r="O109" i="4" s="1"/>
  <c r="N58" i="4"/>
  <c r="O58" i="4" s="1"/>
  <c r="N64" i="4"/>
  <c r="O64" i="4" s="1"/>
  <c r="N63" i="4"/>
  <c r="O63" i="4" s="1"/>
  <c r="N54" i="4"/>
  <c r="O54" i="4" s="1"/>
  <c r="N56" i="4"/>
  <c r="O56" i="4" s="1"/>
  <c r="N65" i="4"/>
  <c r="O65" i="4" s="1"/>
  <c r="N55" i="4"/>
  <c r="O55" i="4" s="1"/>
  <c r="N27" i="4"/>
  <c r="O27" i="4" s="1"/>
  <c r="N57" i="4"/>
  <c r="O57" i="4" s="1"/>
  <c r="N60" i="4"/>
  <c r="O60" i="4" s="1"/>
  <c r="N42" i="4"/>
  <c r="N48" i="4"/>
  <c r="O48" i="4" s="1"/>
  <c r="N53" i="4"/>
  <c r="O53" i="4" s="1"/>
  <c r="N43" i="4"/>
  <c r="N50" i="4"/>
  <c r="N45" i="4"/>
  <c r="O45" i="4" s="1"/>
  <c r="N40" i="4"/>
  <c r="O40" i="4" s="1"/>
  <c r="N47" i="4"/>
  <c r="O47" i="4" s="1"/>
  <c r="N33" i="4"/>
  <c r="O33" i="4" s="1"/>
  <c r="N19" i="4"/>
  <c r="O19" i="4" s="1"/>
  <c r="N52" i="4"/>
  <c r="O52" i="4" s="1"/>
  <c r="N41" i="4"/>
  <c r="O41" i="4" s="1"/>
  <c r="N51" i="4"/>
  <c r="O51" i="4" s="1"/>
  <c r="N32" i="4"/>
  <c r="O32" i="4" s="1"/>
  <c r="N37" i="4"/>
  <c r="O37" i="4" s="1"/>
  <c r="N46" i="4"/>
  <c r="O46" i="4" s="1"/>
  <c r="N44" i="4"/>
  <c r="O44" i="4" s="1"/>
  <c r="N31" i="4"/>
  <c r="O31" i="4" s="1"/>
  <c r="N36" i="4"/>
  <c r="O36" i="4" s="1"/>
  <c r="N38" i="4"/>
  <c r="O38" i="4" s="1"/>
  <c r="N29" i="4"/>
  <c r="O29" i="4" s="1"/>
  <c r="N30" i="4"/>
  <c r="O30" i="4" s="1"/>
  <c r="N24" i="4"/>
  <c r="O24" i="4" s="1"/>
  <c r="N26" i="4"/>
  <c r="O26" i="4" s="1"/>
  <c r="N28" i="4"/>
  <c r="O28" i="4" s="1"/>
  <c r="N20" i="4"/>
  <c r="O20" i="4" s="1"/>
  <c r="N23" i="4"/>
  <c r="N25" i="4"/>
  <c r="O25" i="4" s="1"/>
  <c r="N34" i="4"/>
  <c r="O34" i="4" s="1"/>
  <c r="N18" i="4"/>
  <c r="O18" i="4" s="1"/>
  <c r="N12" i="4"/>
  <c r="O12" i="4" s="1"/>
  <c r="N10" i="4"/>
  <c r="O10" i="4" s="1"/>
  <c r="N35" i="4"/>
  <c r="O35" i="4" s="1"/>
  <c r="N21" i="4"/>
  <c r="O21" i="4" s="1"/>
  <c r="N17" i="4"/>
  <c r="O17" i="4" s="1"/>
  <c r="N39" i="4"/>
  <c r="O39" i="4" s="1"/>
  <c r="N14" i="4"/>
  <c r="O14" i="4" s="1"/>
  <c r="N15" i="4"/>
  <c r="O15" i="4" s="1"/>
  <c r="N16" i="4"/>
  <c r="O16" i="4" s="1"/>
  <c r="N13" i="4"/>
  <c r="O13" i="4" s="1"/>
  <c r="N11" i="4"/>
  <c r="O11" i="4" s="1"/>
  <c r="N9" i="4"/>
  <c r="O9" i="4" s="1"/>
  <c r="N8" i="4"/>
  <c r="O8" i="4" s="1"/>
  <c r="N5" i="4"/>
  <c r="N7" i="4"/>
  <c r="O7" i="4" s="1"/>
  <c r="N6" i="4"/>
  <c r="N7" i="3"/>
  <c r="O7" i="3" s="1"/>
  <c r="N18" i="3"/>
  <c r="O18" i="3" s="1"/>
  <c r="N10" i="3"/>
  <c r="O10" i="3" s="1"/>
  <c r="N19" i="3"/>
  <c r="O19" i="3" s="1"/>
  <c r="N14" i="3"/>
  <c r="O14" i="3" s="1"/>
  <c r="N5" i="3"/>
  <c r="N39" i="3"/>
  <c r="O39" i="3" s="1"/>
  <c r="N33" i="3"/>
  <c r="O33" i="3" s="1"/>
  <c r="N55" i="3"/>
  <c r="O55" i="3" s="1"/>
  <c r="N75" i="3"/>
  <c r="O75" i="3" s="1"/>
  <c r="N9" i="3"/>
  <c r="O9" i="3" s="1"/>
  <c r="N8" i="3"/>
  <c r="N17" i="3"/>
  <c r="O17" i="3" s="1"/>
  <c r="N25" i="3"/>
  <c r="O25" i="3" s="1"/>
  <c r="N16" i="3"/>
  <c r="O16" i="3" s="1"/>
  <c r="N43" i="3"/>
  <c r="O43" i="3" s="1"/>
  <c r="N40" i="3"/>
  <c r="O40" i="3" s="1"/>
  <c r="N20" i="3"/>
  <c r="O20" i="3" s="1"/>
  <c r="N24" i="3"/>
  <c r="O24" i="3" s="1"/>
  <c r="N31" i="3"/>
  <c r="O31" i="3" s="1"/>
  <c r="N35" i="3"/>
  <c r="O35" i="3" s="1"/>
  <c r="N27" i="3"/>
  <c r="O27" i="3" s="1"/>
  <c r="N28" i="3"/>
  <c r="N12" i="3"/>
  <c r="O12" i="3" s="1"/>
  <c r="N11" i="3"/>
  <c r="O11" i="3" s="1"/>
  <c r="N32" i="3"/>
  <c r="O32" i="3" s="1"/>
  <c r="N42" i="3"/>
  <c r="O42" i="3" s="1"/>
  <c r="N36" i="3"/>
  <c r="O36" i="3" s="1"/>
  <c r="N30" i="3"/>
  <c r="O30" i="3" s="1"/>
  <c r="N26" i="3"/>
  <c r="O26" i="3" s="1"/>
  <c r="N23" i="3"/>
  <c r="N38" i="3"/>
  <c r="O38" i="3" s="1"/>
  <c r="N37" i="3"/>
  <c r="O37" i="3" s="1"/>
  <c r="N41" i="3"/>
  <c r="O41" i="3" s="1"/>
  <c r="N29" i="3"/>
  <c r="O29" i="3" s="1"/>
  <c r="N21" i="3"/>
  <c r="O21" i="3" s="1"/>
  <c r="N124" i="3"/>
  <c r="O124" i="3" s="1"/>
  <c r="N116" i="3"/>
  <c r="O116" i="3" s="1"/>
  <c r="N123" i="3"/>
  <c r="O123" i="3" s="1"/>
  <c r="N111" i="3"/>
  <c r="O111" i="3" s="1"/>
  <c r="N121" i="3"/>
  <c r="O121" i="3" s="1"/>
  <c r="N109" i="3"/>
  <c r="O109" i="3" s="1"/>
  <c r="N108" i="3"/>
  <c r="O108" i="3" s="1"/>
  <c r="N107" i="3"/>
  <c r="O107" i="3" s="1"/>
  <c r="N110" i="3"/>
  <c r="O110" i="3" s="1"/>
  <c r="N115" i="3"/>
  <c r="O115" i="3" s="1"/>
  <c r="N112" i="3"/>
  <c r="O112" i="3" s="1"/>
  <c r="N120" i="3"/>
  <c r="O120" i="3" s="1"/>
  <c r="N119" i="3"/>
  <c r="O119" i="3" s="1"/>
  <c r="N52" i="3"/>
  <c r="O52" i="3" s="1"/>
  <c r="N83" i="3"/>
  <c r="O83" i="3" s="1"/>
  <c r="N60" i="3"/>
  <c r="O60" i="3" s="1"/>
  <c r="N53" i="3"/>
  <c r="O53" i="3" s="1"/>
  <c r="N59" i="3"/>
  <c r="O59" i="3" s="1"/>
  <c r="N125" i="3"/>
  <c r="O125" i="3" s="1"/>
  <c r="N50" i="3"/>
  <c r="O50" i="3" s="1"/>
  <c r="N79" i="3"/>
  <c r="O79" i="3" s="1"/>
  <c r="N113" i="3"/>
  <c r="O113" i="3" s="1"/>
  <c r="N101" i="3"/>
  <c r="O101" i="3" s="1"/>
  <c r="N122" i="3"/>
  <c r="O122" i="3" s="1"/>
  <c r="N77" i="3"/>
  <c r="O77" i="3" s="1"/>
  <c r="N117" i="3"/>
  <c r="O117" i="3" s="1"/>
  <c r="N56" i="3"/>
  <c r="O56" i="3" s="1"/>
  <c r="N106" i="3"/>
  <c r="O106" i="3" s="1"/>
  <c r="N95" i="3"/>
  <c r="O95" i="3" s="1"/>
  <c r="N74" i="3"/>
  <c r="O74" i="3" s="1"/>
  <c r="N91" i="3"/>
  <c r="O91" i="3" s="1"/>
  <c r="N69" i="3"/>
  <c r="O69" i="3" s="1"/>
  <c r="N6" i="3"/>
  <c r="O6" i="3" s="1"/>
  <c r="N13" i="3"/>
  <c r="O13" i="3" s="1"/>
  <c r="N96" i="3"/>
  <c r="O96" i="3" s="1"/>
  <c r="N73" i="3"/>
  <c r="O73" i="3" s="1"/>
  <c r="N88" i="3"/>
  <c r="O88" i="3" s="1"/>
  <c r="N90" i="3"/>
  <c r="O90" i="3" s="1"/>
  <c r="N84" i="3"/>
  <c r="O84" i="3" s="1"/>
  <c r="N114" i="3"/>
  <c r="O114" i="3" s="1"/>
  <c r="N102" i="3"/>
  <c r="O102" i="3" s="1"/>
  <c r="N47" i="3"/>
  <c r="N80" i="3"/>
  <c r="O80" i="3" s="1"/>
  <c r="N105" i="3"/>
  <c r="O105" i="3" s="1"/>
  <c r="N86" i="3"/>
  <c r="O86" i="3" s="1"/>
  <c r="N118" i="3"/>
  <c r="O118" i="3" s="1"/>
  <c r="N93" i="3"/>
  <c r="O93" i="3" s="1"/>
  <c r="N103" i="3"/>
  <c r="O103" i="3" s="1"/>
  <c r="N94" i="3"/>
  <c r="O94" i="3" s="1"/>
  <c r="N72" i="3"/>
  <c r="O72" i="3" s="1"/>
  <c r="N97" i="3"/>
  <c r="O97" i="3" s="1"/>
  <c r="N85" i="3"/>
  <c r="O85" i="3" s="1"/>
  <c r="N98" i="3"/>
  <c r="O98" i="3" s="1"/>
  <c r="N92" i="3"/>
  <c r="O92" i="3" s="1"/>
  <c r="N54" i="3"/>
  <c r="O54" i="3" s="1"/>
  <c r="N67" i="3"/>
  <c r="O67" i="3" s="1"/>
  <c r="N44" i="3"/>
  <c r="O44" i="3" s="1"/>
  <c r="N62" i="3"/>
  <c r="O62" i="3" s="1"/>
  <c r="N100" i="3"/>
  <c r="O100" i="3" s="1"/>
  <c r="N81" i="3"/>
  <c r="O81" i="3" s="1"/>
  <c r="N99" i="3"/>
  <c r="O99" i="3" s="1"/>
  <c r="N104" i="3"/>
  <c r="O104" i="3" s="1"/>
  <c r="N78" i="3"/>
  <c r="O78" i="3" s="1"/>
  <c r="N76" i="3"/>
  <c r="O76" i="3" s="1"/>
  <c r="N82" i="3"/>
  <c r="O82" i="3" s="1"/>
  <c r="N64" i="3"/>
  <c r="O64" i="3" s="1"/>
  <c r="N68" i="3"/>
  <c r="O68" i="3" s="1"/>
  <c r="N57" i="3"/>
  <c r="O57" i="3" s="1"/>
  <c r="N61" i="3"/>
  <c r="O61" i="3" s="1"/>
  <c r="N89" i="3"/>
  <c r="O89" i="3" s="1"/>
  <c r="N70" i="3"/>
  <c r="O70" i="3" s="1"/>
  <c r="N71" i="3"/>
  <c r="O71" i="3" s="1"/>
  <c r="N87" i="3"/>
  <c r="O87" i="3" s="1"/>
  <c r="N58" i="3"/>
  <c r="O58" i="3" s="1"/>
  <c r="N65" i="3"/>
  <c r="O65" i="3" s="1"/>
  <c r="N66" i="3"/>
  <c r="O66" i="3" s="1"/>
  <c r="N48" i="3"/>
  <c r="O48" i="3" s="1"/>
  <c r="N45" i="3"/>
  <c r="O45" i="3" s="1"/>
  <c r="N63" i="3"/>
  <c r="O63" i="3" s="1"/>
  <c r="N51" i="3"/>
  <c r="O51" i="3" s="1"/>
  <c r="N49" i="3"/>
  <c r="O49" i="3" s="1"/>
  <c r="N34" i="3"/>
  <c r="O34" i="3" s="1"/>
  <c r="N15" i="3"/>
  <c r="O15" i="3" s="1"/>
  <c r="N298" i="2"/>
  <c r="O298" i="2" s="1"/>
  <c r="N102" i="2"/>
  <c r="O102" i="2" s="1"/>
  <c r="N193" i="2"/>
  <c r="O193" i="2" s="1"/>
  <c r="N32" i="2"/>
  <c r="O32" i="2" s="1"/>
  <c r="N356" i="2"/>
  <c r="O356" i="2" s="1"/>
  <c r="N44" i="2"/>
  <c r="O44" i="2" s="1"/>
  <c r="N189" i="2"/>
  <c r="O189" i="2" s="1"/>
  <c r="N96" i="2"/>
  <c r="O96" i="2" s="1"/>
  <c r="N141" i="2"/>
  <c r="O141" i="2" s="1"/>
  <c r="N184" i="2"/>
  <c r="O184" i="2" s="1"/>
  <c r="N209" i="2"/>
  <c r="O209" i="2" s="1"/>
  <c r="N304" i="2"/>
  <c r="O304" i="2" s="1"/>
  <c r="N73" i="2"/>
  <c r="O73" i="2" s="1"/>
  <c r="N52" i="2"/>
  <c r="O52" i="2" s="1"/>
  <c r="N124" i="2"/>
  <c r="O124" i="2" s="1"/>
  <c r="N97" i="2"/>
  <c r="O97" i="2" s="1"/>
  <c r="N211" i="2"/>
  <c r="O211" i="2" s="1"/>
  <c r="N142" i="2"/>
  <c r="O142" i="2" s="1"/>
  <c r="N53" i="2"/>
  <c r="O53" i="2" s="1"/>
  <c r="N50" i="2"/>
  <c r="O50" i="2" s="1"/>
  <c r="N202" i="2"/>
  <c r="O202" i="2" s="1"/>
  <c r="N129" i="2"/>
  <c r="O129" i="2" s="1"/>
  <c r="N132" i="2"/>
  <c r="O132" i="2" s="1"/>
  <c r="N36" i="2"/>
  <c r="O36" i="2" s="1"/>
  <c r="N42" i="2"/>
  <c r="O42" i="2" s="1"/>
  <c r="N431" i="2"/>
  <c r="O431" i="2" s="1"/>
  <c r="N183" i="2"/>
  <c r="O183" i="2" s="1"/>
  <c r="N610" i="2"/>
  <c r="O610" i="2" s="1"/>
  <c r="N307" i="2"/>
  <c r="O307" i="2" s="1"/>
  <c r="N13" i="2"/>
  <c r="O13" i="2" s="1"/>
  <c r="N64" i="2"/>
  <c r="O64" i="2" s="1"/>
  <c r="N109" i="2"/>
  <c r="O109" i="2" s="1"/>
  <c r="N247" i="2"/>
  <c r="O247" i="2" s="1"/>
  <c r="N283" i="2"/>
  <c r="O283" i="2" s="1"/>
  <c r="N169" i="2"/>
  <c r="O169" i="2" s="1"/>
  <c r="N93" i="2"/>
  <c r="O93" i="2" s="1"/>
  <c r="N241" i="2"/>
  <c r="O241" i="2" s="1"/>
  <c r="N317" i="2"/>
  <c r="O317" i="2" s="1"/>
  <c r="N86" i="2"/>
  <c r="O86" i="2" s="1"/>
  <c r="N21" i="2"/>
  <c r="O21" i="2" s="1"/>
  <c r="N33" i="2"/>
  <c r="O33" i="2" s="1"/>
  <c r="N83" i="2"/>
  <c r="O83" i="2" s="1"/>
  <c r="N627" i="2"/>
  <c r="O627" i="2" s="1"/>
  <c r="N85" i="2"/>
  <c r="O85" i="2" s="1"/>
  <c r="N150" i="2"/>
  <c r="O150" i="2" s="1"/>
  <c r="N116" i="2"/>
  <c r="O116" i="2" s="1"/>
  <c r="N37" i="2"/>
  <c r="O37" i="2" s="1"/>
  <c r="N154" i="2"/>
  <c r="O154" i="2" s="1"/>
  <c r="N365" i="2"/>
  <c r="O365" i="2" s="1"/>
  <c r="N16" i="2"/>
  <c r="O16" i="2" s="1"/>
  <c r="N65" i="2"/>
  <c r="O65" i="2" s="1"/>
  <c r="N34" i="2"/>
  <c r="O34" i="2" s="1"/>
  <c r="N198" i="2"/>
  <c r="O198" i="2" s="1"/>
  <c r="N28" i="2"/>
  <c r="O28" i="2" s="1"/>
  <c r="N288" i="2"/>
  <c r="O288" i="2" s="1"/>
  <c r="N82" i="2"/>
  <c r="O82" i="2" s="1"/>
  <c r="N17" i="2"/>
  <c r="O17" i="2" s="1"/>
  <c r="N56" i="2"/>
  <c r="O56" i="2" s="1"/>
  <c r="N57" i="2"/>
  <c r="O57" i="2" s="1"/>
  <c r="N215" i="2"/>
  <c r="O215" i="2" s="1"/>
  <c r="N133" i="2"/>
  <c r="O133" i="2" s="1"/>
  <c r="N145" i="2"/>
  <c r="O145" i="2" s="1"/>
  <c r="N534" i="2"/>
  <c r="O534" i="2" s="1"/>
  <c r="N248" i="2"/>
  <c r="O248" i="2" s="1"/>
  <c r="N212" i="2"/>
  <c r="O212" i="2" s="1"/>
  <c r="N239" i="2"/>
  <c r="O239" i="2" s="1"/>
  <c r="N254" i="2"/>
  <c r="O254" i="2" s="1"/>
  <c r="N661" i="2"/>
  <c r="O661" i="2" s="1"/>
  <c r="N91" i="2"/>
  <c r="O91" i="2" s="1"/>
  <c r="N81" i="2"/>
  <c r="O81" i="2" s="1"/>
  <c r="N75" i="2"/>
  <c r="O75" i="2" s="1"/>
  <c r="N157" i="2"/>
  <c r="O157" i="2" s="1"/>
  <c r="N39" i="2"/>
  <c r="O39" i="2" s="1"/>
  <c r="N23" i="2"/>
  <c r="O23" i="2" s="1"/>
  <c r="N137" i="2"/>
  <c r="O137" i="2" s="1"/>
  <c r="N68" i="2"/>
  <c r="O68" i="2" s="1"/>
  <c r="N205" i="2"/>
  <c r="O205" i="2" s="1"/>
  <c r="N55" i="2"/>
  <c r="O55" i="2" s="1"/>
  <c r="N47" i="2"/>
  <c r="O47" i="2" s="1"/>
  <c r="N257" i="2"/>
  <c r="O257" i="2" s="1"/>
  <c r="N197" i="2"/>
  <c r="O197" i="2" s="1"/>
  <c r="N156" i="2"/>
  <c r="O156" i="2" s="1"/>
  <c r="N344" i="2"/>
  <c r="O344" i="2" s="1"/>
  <c r="N140" i="2"/>
  <c r="O140" i="2" s="1"/>
  <c r="N62" i="2"/>
  <c r="O62" i="2" s="1"/>
  <c r="N655" i="2"/>
  <c r="O655" i="2" s="1"/>
  <c r="N10" i="2"/>
  <c r="O10" i="2" s="1"/>
  <c r="N5" i="2"/>
  <c r="N20" i="2"/>
  <c r="O20" i="2" s="1"/>
  <c r="N11" i="2"/>
  <c r="O11" i="2" s="1"/>
  <c r="N147" i="2"/>
  <c r="O147" i="2" s="1"/>
  <c r="N138" i="2"/>
  <c r="O138" i="2" s="1"/>
  <c r="N7" i="2"/>
  <c r="O7" i="2" s="1"/>
  <c r="N128" i="2"/>
  <c r="O128" i="2" s="1"/>
  <c r="N71" i="2"/>
  <c r="O71" i="2" s="1"/>
  <c r="N14" i="2"/>
  <c r="O14" i="2" s="1"/>
  <c r="N24" i="2"/>
  <c r="O24" i="2" s="1"/>
  <c r="N465" i="2"/>
  <c r="O465" i="2" s="1"/>
  <c r="N165" i="2"/>
  <c r="O165" i="2" s="1"/>
  <c r="N170" i="2"/>
  <c r="O170" i="2" s="1"/>
  <c r="N171" i="2"/>
  <c r="O171" i="2" s="1"/>
  <c r="N136" i="2"/>
  <c r="O136" i="2" s="1"/>
  <c r="N161" i="2"/>
  <c r="O161" i="2" s="1"/>
  <c r="N258" i="2"/>
  <c r="O258" i="2" s="1"/>
  <c r="N217" i="2"/>
  <c r="O217" i="2" s="1"/>
  <c r="N342" i="2"/>
  <c r="O342" i="2" s="1"/>
  <c r="N272" i="2"/>
  <c r="O272" i="2" s="1"/>
  <c r="N74" i="2"/>
  <c r="O74" i="2" s="1"/>
  <c r="N118" i="2"/>
  <c r="O118" i="2" s="1"/>
  <c r="N15" i="2"/>
  <c r="O15" i="2" s="1"/>
  <c r="N29" i="2"/>
  <c r="O29" i="2" s="1"/>
  <c r="N30" i="2"/>
  <c r="O30" i="2" s="1"/>
  <c r="N123" i="2"/>
  <c r="O123" i="2" s="1"/>
  <c r="N99" i="2"/>
  <c r="O99" i="2" s="1"/>
  <c r="N200" i="2"/>
  <c r="O200" i="2" s="1"/>
  <c r="N252" i="2"/>
  <c r="O252" i="2" s="1"/>
  <c r="N159" i="2"/>
  <c r="O159" i="2" s="1"/>
  <c r="N127" i="2"/>
  <c r="O127" i="2" s="1"/>
  <c r="N27" i="2"/>
  <c r="O27" i="2" s="1"/>
  <c r="N162" i="2"/>
  <c r="O162" i="2" s="1"/>
  <c r="N351" i="2"/>
  <c r="O351" i="2" s="1"/>
  <c r="N114" i="2"/>
  <c r="O114" i="2" s="1"/>
  <c r="N110" i="2"/>
  <c r="O110" i="2" s="1"/>
  <c r="N222" i="2"/>
  <c r="N48" i="2"/>
  <c r="O48" i="2" s="1"/>
  <c r="N45" i="2"/>
  <c r="O45" i="2" s="1"/>
  <c r="N26" i="2"/>
  <c r="O26" i="2" s="1"/>
  <c r="N9" i="2"/>
  <c r="O9" i="2" s="1"/>
  <c r="N25" i="2"/>
  <c r="O25" i="2" s="1"/>
  <c r="N63" i="2"/>
  <c r="O63" i="2" s="1"/>
  <c r="N76" i="2"/>
  <c r="O76" i="2" s="1"/>
  <c r="N151" i="2"/>
  <c r="O151" i="2" s="1"/>
  <c r="N176" i="2"/>
  <c r="O176" i="2" s="1"/>
  <c r="N108" i="2"/>
  <c r="O108" i="2" s="1"/>
  <c r="N192" i="2"/>
  <c r="O192" i="2" s="1"/>
  <c r="N87" i="2"/>
  <c r="O87" i="2" s="1"/>
  <c r="N18" i="2"/>
  <c r="O18" i="2" s="1"/>
  <c r="N40" i="2"/>
  <c r="O40" i="2" s="1"/>
  <c r="N89" i="2"/>
  <c r="O89" i="2" s="1"/>
  <c r="N46" i="2"/>
  <c r="O46" i="2" s="1"/>
  <c r="N58" i="2"/>
  <c r="O58" i="2" s="1"/>
  <c r="N19" i="2"/>
  <c r="O19" i="2" s="1"/>
  <c r="N79" i="2"/>
  <c r="O79" i="2" s="1"/>
  <c r="N95" i="2"/>
  <c r="O95" i="2" s="1"/>
  <c r="N8" i="2"/>
  <c r="O8" i="2" s="1"/>
  <c r="N220" i="2"/>
  <c r="O220" i="2" s="1"/>
  <c r="N139" i="2"/>
  <c r="O139" i="2" s="1"/>
  <c r="N38" i="2"/>
  <c r="O38" i="2" s="1"/>
  <c r="N12" i="2"/>
  <c r="O12" i="2" s="1"/>
  <c r="N35" i="2"/>
  <c r="O35" i="2" s="1"/>
  <c r="N43" i="2"/>
  <c r="O43" i="2" s="1"/>
  <c r="N22" i="2"/>
  <c r="O22" i="2" s="1"/>
  <c r="N121" i="2"/>
  <c r="O121" i="2" s="1"/>
  <c r="N271" i="2"/>
  <c r="O271" i="2" s="1"/>
  <c r="N70" i="2"/>
  <c r="O70" i="2" s="1"/>
  <c r="N196" i="2"/>
  <c r="O196" i="2" s="1"/>
  <c r="N543" i="2"/>
  <c r="O543" i="2" s="1"/>
  <c r="N6" i="2"/>
  <c r="O6" i="2" s="1"/>
  <c r="N311" i="2"/>
  <c r="O311" i="2" s="1"/>
  <c r="N267" i="2"/>
  <c r="O267" i="2" s="1"/>
  <c r="N246" i="2"/>
  <c r="O246" i="2" s="1"/>
  <c r="N172" i="2"/>
  <c r="O172" i="2" s="1"/>
  <c r="N152" i="2"/>
  <c r="O152" i="2" s="1"/>
  <c r="N656" i="2"/>
  <c r="O656" i="2" s="1"/>
  <c r="N657" i="2"/>
  <c r="O657" i="2" s="1"/>
  <c r="N423" i="2"/>
  <c r="O423" i="2" s="1"/>
  <c r="N586" i="2"/>
  <c r="O586" i="2" s="1"/>
  <c r="N177" i="2"/>
  <c r="O177" i="2" s="1"/>
  <c r="N122" i="2"/>
  <c r="O122" i="2" s="1"/>
  <c r="N261" i="2"/>
  <c r="O261" i="2" s="1"/>
  <c r="N105" i="2"/>
  <c r="O105" i="2" s="1"/>
  <c r="N230" i="2"/>
  <c r="O230" i="2" s="1"/>
  <c r="N296" i="2"/>
  <c r="O296" i="2" s="1"/>
  <c r="N545" i="2"/>
  <c r="O545" i="2" s="1"/>
  <c r="N495" i="2"/>
  <c r="O495" i="2" s="1"/>
  <c r="N585" i="2"/>
  <c r="O585" i="2" s="1"/>
  <c r="N613" i="2"/>
  <c r="O613" i="2" s="1"/>
  <c r="N135" i="2"/>
  <c r="O135" i="2" s="1"/>
  <c r="N234" i="2"/>
  <c r="O234" i="2" s="1"/>
  <c r="N61" i="2"/>
  <c r="O61" i="2" s="1"/>
  <c r="N115" i="2"/>
  <c r="O115" i="2" s="1"/>
  <c r="N361" i="2"/>
  <c r="O361" i="2" s="1"/>
  <c r="N167" i="2"/>
  <c r="O167" i="2" s="1"/>
  <c r="N348" i="2"/>
  <c r="O348" i="2" s="1"/>
  <c r="N134" i="2"/>
  <c r="O134" i="2" s="1"/>
  <c r="N153" i="2"/>
  <c r="O153" i="2" s="1"/>
  <c r="N373" i="2"/>
  <c r="O373" i="2" s="1"/>
  <c r="N380" i="2"/>
  <c r="O380" i="2" s="1"/>
  <c r="N321" i="2"/>
  <c r="O321" i="2" s="1"/>
  <c r="N77" i="2"/>
  <c r="O77" i="2" s="1"/>
  <c r="N49" i="2"/>
  <c r="O49" i="2" s="1"/>
  <c r="N104" i="2"/>
  <c r="O104" i="2" s="1"/>
  <c r="N238" i="2"/>
  <c r="O238" i="2" s="1"/>
  <c r="N54" i="2"/>
  <c r="O54" i="2" s="1"/>
  <c r="N67" i="2"/>
  <c r="O67" i="2" s="1"/>
  <c r="N494" i="2"/>
  <c r="O494" i="2" s="1"/>
  <c r="N565" i="2"/>
  <c r="O565" i="2" s="1"/>
  <c r="N384" i="2"/>
  <c r="O384" i="2" s="1"/>
  <c r="N509" i="2"/>
  <c r="O509" i="2" s="1"/>
  <c r="N476" i="2"/>
  <c r="O476" i="2" s="1"/>
  <c r="N249" i="2"/>
  <c r="O249" i="2" s="1"/>
  <c r="N333" i="2"/>
  <c r="O333" i="2" s="1"/>
  <c r="N300" i="2"/>
  <c r="O300" i="2" s="1"/>
  <c r="N214" i="2"/>
  <c r="O214" i="2" s="1"/>
  <c r="N245" i="2"/>
  <c r="O245" i="2" s="1"/>
  <c r="N492" i="2"/>
  <c r="O492" i="2" s="1"/>
  <c r="N251" i="2"/>
  <c r="O251" i="2" s="1"/>
  <c r="N504" i="2"/>
  <c r="O504" i="2" s="1"/>
  <c r="N577" i="2"/>
  <c r="O577" i="2" s="1"/>
  <c r="N598" i="2"/>
  <c r="O598" i="2" s="1"/>
  <c r="N639" i="2"/>
  <c r="O639" i="2" s="1"/>
  <c r="N623" i="2"/>
  <c r="O623" i="2" s="1"/>
  <c r="N256" i="2"/>
  <c r="O256" i="2" s="1"/>
  <c r="N266" i="2"/>
  <c r="O266" i="2" s="1"/>
  <c r="N533" i="2"/>
  <c r="O533" i="2" s="1"/>
  <c r="N253" i="2"/>
  <c r="O253" i="2" s="1"/>
  <c r="N281" i="2"/>
  <c r="O281" i="2" s="1"/>
  <c r="N180" i="2"/>
  <c r="O180" i="2" s="1"/>
  <c r="N363" i="2"/>
  <c r="O363" i="2" s="1"/>
  <c r="N337" i="2"/>
  <c r="O337" i="2" s="1"/>
  <c r="N329" i="2"/>
  <c r="O329" i="2" s="1"/>
  <c r="N259" i="2"/>
  <c r="O259" i="2" s="1"/>
  <c r="N599" i="2"/>
  <c r="O599" i="2" s="1"/>
  <c r="N231" i="2"/>
  <c r="O231" i="2" s="1"/>
  <c r="N645" i="2"/>
  <c r="O645" i="2" s="1"/>
  <c r="N106" i="2"/>
  <c r="O106" i="2" s="1"/>
  <c r="N131" i="2"/>
  <c r="O131" i="2" s="1"/>
  <c r="N80" i="2"/>
  <c r="O80" i="2" s="1"/>
  <c r="N125" i="2"/>
  <c r="O125" i="2" s="1"/>
  <c r="N362" i="2"/>
  <c r="O362" i="2" s="1"/>
  <c r="N542" i="2"/>
  <c r="O542" i="2" s="1"/>
  <c r="N229" i="2"/>
  <c r="O229" i="2" s="1"/>
  <c r="N574" i="2"/>
  <c r="O574" i="2" s="1"/>
  <c r="N394" i="2"/>
  <c r="O394" i="2" s="1"/>
  <c r="N459" i="2"/>
  <c r="O459" i="2" s="1"/>
  <c r="N350" i="2"/>
  <c r="O350" i="2" s="1"/>
  <c r="N358" i="2"/>
  <c r="O358" i="2" s="1"/>
  <c r="N553" i="2"/>
  <c r="O553" i="2" s="1"/>
  <c r="N411" i="2"/>
  <c r="O411" i="2" s="1"/>
  <c r="N478" i="2"/>
  <c r="O478" i="2" s="1"/>
  <c r="N644" i="2"/>
  <c r="O644" i="2" s="1"/>
  <c r="N557" i="2"/>
  <c r="O557" i="2" s="1"/>
  <c r="N428" i="2"/>
  <c r="O428" i="2" s="1"/>
  <c r="N355" i="2"/>
  <c r="O355" i="2" s="1"/>
  <c r="N471" i="2"/>
  <c r="O471" i="2" s="1"/>
  <c r="N512" i="2"/>
  <c r="O512" i="2" s="1"/>
  <c r="N178" i="2"/>
  <c r="O178" i="2" s="1"/>
  <c r="N395" i="2"/>
  <c r="O395" i="2" s="1"/>
  <c r="N269" i="2"/>
  <c r="O269" i="2" s="1"/>
  <c r="N244" i="2"/>
  <c r="O244" i="2" s="1"/>
  <c r="N187" i="2"/>
  <c r="O187" i="2" s="1"/>
  <c r="N130" i="2"/>
  <c r="O130" i="2" s="1"/>
  <c r="N163" i="2"/>
  <c r="O163" i="2" s="1"/>
  <c r="N242" i="2"/>
  <c r="O242" i="2" s="1"/>
  <c r="N371" i="2"/>
  <c r="O371" i="2" s="1"/>
  <c r="N199" i="2"/>
  <c r="O199" i="2" s="1"/>
  <c r="N31" i="2"/>
  <c r="O31" i="2" s="1"/>
  <c r="N143" i="2"/>
  <c r="O143" i="2" s="1"/>
  <c r="N323" i="2"/>
  <c r="O323" i="2" s="1"/>
  <c r="N390" i="2"/>
  <c r="O390" i="2" s="1"/>
  <c r="N302" i="2"/>
  <c r="O302" i="2" s="1"/>
  <c r="N418" i="2"/>
  <c r="O418" i="2" s="1"/>
  <c r="N546" i="2"/>
  <c r="O546" i="2" s="1"/>
  <c r="N531" i="2"/>
  <c r="O531" i="2" s="1"/>
  <c r="N528" i="2"/>
  <c r="O528" i="2" s="1"/>
  <c r="N306" i="2"/>
  <c r="O306" i="2" s="1"/>
  <c r="N289" i="2"/>
  <c r="O289" i="2" s="1"/>
  <c r="N204" i="2"/>
  <c r="O204" i="2" s="1"/>
  <c r="N340" i="2"/>
  <c r="O340" i="2" s="1"/>
  <c r="N517" i="2"/>
  <c r="O517" i="2" s="1"/>
  <c r="N278" i="2"/>
  <c r="O278" i="2" s="1"/>
  <c r="N378" i="2"/>
  <c r="O378" i="2" s="1"/>
  <c r="N594" i="2"/>
  <c r="O594" i="2" s="1"/>
  <c r="N484" i="2"/>
  <c r="O484" i="2" s="1"/>
  <c r="N510" i="2"/>
  <c r="O510" i="2" s="1"/>
  <c r="N651" i="2"/>
  <c r="O651" i="2" s="1"/>
  <c r="N624" i="2"/>
  <c r="O624" i="2" s="1"/>
  <c r="N290" i="2"/>
  <c r="O290" i="2" s="1"/>
  <c r="N265" i="2"/>
  <c r="O265" i="2" s="1"/>
  <c r="N425" i="2"/>
  <c r="O425" i="2" s="1"/>
  <c r="N345" i="2"/>
  <c r="O345" i="2" s="1"/>
  <c r="N497" i="2"/>
  <c r="O497" i="2" s="1"/>
  <c r="N240" i="2"/>
  <c r="O240" i="2" s="1"/>
  <c r="N400" i="2"/>
  <c r="O400" i="2" s="1"/>
  <c r="N463" i="2"/>
  <c r="O463" i="2" s="1"/>
  <c r="N429" i="2"/>
  <c r="O429" i="2" s="1"/>
  <c r="N477" i="2"/>
  <c r="O477" i="2" s="1"/>
  <c r="N628" i="2"/>
  <c r="O628" i="2" s="1"/>
  <c r="N658" i="2"/>
  <c r="O658" i="2" s="1"/>
  <c r="N566" i="2"/>
  <c r="O566" i="2" s="1"/>
  <c r="N589" i="2"/>
  <c r="O589" i="2" s="1"/>
  <c r="N641" i="2"/>
  <c r="O641" i="2" s="1"/>
  <c r="N659" i="2"/>
  <c r="O659" i="2" s="1"/>
  <c r="N335" i="2"/>
  <c r="O335" i="2" s="1"/>
  <c r="N262" i="2"/>
  <c r="O262" i="2" s="1"/>
  <c r="N195" i="2"/>
  <c r="O195" i="2" s="1"/>
  <c r="N391" i="2"/>
  <c r="O391" i="2" s="1"/>
  <c r="N274" i="2"/>
  <c r="O274" i="2" s="1"/>
  <c r="N101" i="2"/>
  <c r="O101" i="2" s="1"/>
  <c r="N326" i="2"/>
  <c r="O326" i="2" s="1"/>
  <c r="N268" i="2"/>
  <c r="O268" i="2" s="1"/>
  <c r="N530" i="2"/>
  <c r="O530" i="2" s="1"/>
  <c r="N219" i="2"/>
  <c r="O219" i="2" s="1"/>
  <c r="N366" i="2"/>
  <c r="O366" i="2" s="1"/>
  <c r="N316" i="2"/>
  <c r="O316" i="2" s="1"/>
  <c r="N284" i="2"/>
  <c r="O284" i="2" s="1"/>
  <c r="N303" i="2"/>
  <c r="O303" i="2" s="1"/>
  <c r="N338" i="2"/>
  <c r="O338" i="2" s="1"/>
  <c r="N375" i="2"/>
  <c r="O375" i="2" s="1"/>
  <c r="N367" i="2"/>
  <c r="O367" i="2" s="1"/>
  <c r="N467" i="2"/>
  <c r="O467" i="2" s="1"/>
  <c r="N441" i="2"/>
  <c r="O441" i="2" s="1"/>
  <c r="N472" i="2"/>
  <c r="O472" i="2" s="1"/>
  <c r="N592" i="2"/>
  <c r="O592" i="2" s="1"/>
  <c r="N609" i="2"/>
  <c r="O609" i="2" s="1"/>
  <c r="N518" i="2"/>
  <c r="O518" i="2" s="1"/>
  <c r="N166" i="2"/>
  <c r="O166" i="2" s="1"/>
  <c r="N117" i="2"/>
  <c r="O117" i="2" s="1"/>
  <c r="N98" i="2"/>
  <c r="O98" i="2" s="1"/>
  <c r="N377" i="2"/>
  <c r="O377" i="2" s="1"/>
  <c r="N359" i="2"/>
  <c r="O359" i="2" s="1"/>
  <c r="N194" i="2"/>
  <c r="O194" i="2" s="1"/>
  <c r="N174" i="2"/>
  <c r="O174" i="2" s="1"/>
  <c r="N313" i="2"/>
  <c r="O313" i="2" s="1"/>
  <c r="N66" i="2"/>
  <c r="O66" i="2" s="1"/>
  <c r="N94" i="2"/>
  <c r="O94" i="2" s="1"/>
  <c r="N346" i="2"/>
  <c r="O346" i="2" s="1"/>
  <c r="N386" i="2"/>
  <c r="O386" i="2" s="1"/>
  <c r="N332" i="2"/>
  <c r="O332" i="2" s="1"/>
  <c r="N662" i="2"/>
  <c r="O662" i="2" s="1"/>
  <c r="N640" i="2"/>
  <c r="O640" i="2" s="1"/>
  <c r="N434" i="2"/>
  <c r="O434" i="2" s="1"/>
  <c r="N435" i="2"/>
  <c r="O435" i="2" s="1"/>
  <c r="N398" i="2"/>
  <c r="O398" i="2" s="1"/>
  <c r="N255" i="2"/>
  <c r="O255" i="2" s="1"/>
  <c r="N223" i="2"/>
  <c r="O223" i="2" s="1"/>
  <c r="N424" i="2"/>
  <c r="O424" i="2" s="1"/>
  <c r="N225" i="2"/>
  <c r="O225" i="2" s="1"/>
  <c r="N279" i="2"/>
  <c r="O279" i="2" s="1"/>
  <c r="N144" i="2"/>
  <c r="O144" i="2" s="1"/>
  <c r="N78" i="2"/>
  <c r="O78" i="2" s="1"/>
  <c r="N643" i="2"/>
  <c r="O643" i="2" s="1"/>
  <c r="N182" i="2"/>
  <c r="O182" i="2" s="1"/>
  <c r="N51" i="2"/>
  <c r="O51" i="2" s="1"/>
  <c r="N41" i="2"/>
  <c r="O41" i="2" s="1"/>
  <c r="N282" i="2"/>
  <c r="O282" i="2" s="1"/>
  <c r="N331" i="2"/>
  <c r="O331" i="2" s="1"/>
  <c r="N507" i="2"/>
  <c r="O507" i="2" s="1"/>
  <c r="N59" i="2"/>
  <c r="O59" i="2" s="1"/>
  <c r="N213" i="2"/>
  <c r="O213" i="2" s="1"/>
  <c r="N119" i="2"/>
  <c r="O119" i="2" s="1"/>
  <c r="N201" i="2"/>
  <c r="O201" i="2" s="1"/>
  <c r="N88" i="2"/>
  <c r="O88" i="2" s="1"/>
  <c r="N92" i="2"/>
  <c r="O92" i="2" s="1"/>
  <c r="N297" i="2"/>
  <c r="N621" i="2"/>
  <c r="O621" i="2" s="1"/>
  <c r="N236" i="2"/>
  <c r="O236" i="2" s="1"/>
  <c r="N648" i="2"/>
  <c r="O648" i="2" s="1"/>
  <c r="N646" i="2"/>
  <c r="O646" i="2" s="1"/>
  <c r="N532" i="2"/>
  <c r="O532" i="2" s="1"/>
  <c r="N498" i="2"/>
  <c r="O498" i="2" s="1"/>
  <c r="N611" i="2"/>
  <c r="O611" i="2" s="1"/>
  <c r="N630" i="2"/>
  <c r="O630" i="2" s="1"/>
  <c r="N461" i="2"/>
  <c r="O461" i="2" s="1"/>
  <c r="N250" i="2"/>
  <c r="O250" i="2" s="1"/>
  <c r="N148" i="2"/>
  <c r="O148" i="2" s="1"/>
  <c r="N112" i="2"/>
  <c r="O112" i="2" s="1"/>
  <c r="N443" i="2"/>
  <c r="O443" i="2" s="1"/>
  <c r="N505" i="2"/>
  <c r="O505" i="2" s="1"/>
  <c r="N496" i="2"/>
  <c r="O496" i="2" s="1"/>
  <c r="N341" i="2"/>
  <c r="O341" i="2" s="1"/>
  <c r="N264" i="2"/>
  <c r="O264" i="2" s="1"/>
  <c r="N291" i="2"/>
  <c r="O291" i="2" s="1"/>
  <c r="N405" i="2"/>
  <c r="O405" i="2" s="1"/>
  <c r="N449" i="2"/>
  <c r="O449" i="2" s="1"/>
  <c r="N556" i="2"/>
  <c r="O556" i="2" s="1"/>
  <c r="N501" i="2"/>
  <c r="O501" i="2" s="1"/>
  <c r="N370" i="2"/>
  <c r="O370" i="2" s="1"/>
  <c r="N491" i="2"/>
  <c r="O491" i="2" s="1"/>
  <c r="N499" i="2"/>
  <c r="O499" i="2" s="1"/>
  <c r="N421" i="2"/>
  <c r="O421" i="2" s="1"/>
  <c r="N420" i="2"/>
  <c r="O420" i="2" s="1"/>
  <c r="N444" i="2"/>
  <c r="O444" i="2" s="1"/>
  <c r="N614" i="2"/>
  <c r="O614" i="2" s="1"/>
  <c r="N502" i="2"/>
  <c r="O502" i="2" s="1"/>
  <c r="N576" i="2"/>
  <c r="O576" i="2" s="1"/>
  <c r="N522" i="2"/>
  <c r="O522" i="2" s="1"/>
  <c r="N322" i="2"/>
  <c r="O322" i="2" s="1"/>
  <c r="N315" i="2"/>
  <c r="O315" i="2" s="1"/>
  <c r="N385" i="2"/>
  <c r="O385" i="2" s="1"/>
  <c r="N146" i="2"/>
  <c r="O146" i="2" s="1"/>
  <c r="N207" i="2"/>
  <c r="O207" i="2" s="1"/>
  <c r="N72" i="2"/>
  <c r="O72" i="2" s="1"/>
  <c r="N168" i="2"/>
  <c r="O168" i="2" s="1"/>
  <c r="N111" i="2"/>
  <c r="O111" i="2" s="1"/>
  <c r="N299" i="2"/>
  <c r="O299" i="2" s="1"/>
  <c r="N474" i="2"/>
  <c r="O474" i="2" s="1"/>
  <c r="N318" i="2"/>
  <c r="O318" i="2" s="1"/>
  <c r="N606" i="2"/>
  <c r="O606" i="2" s="1"/>
  <c r="N544" i="2"/>
  <c r="O544" i="2" s="1"/>
  <c r="N408" i="2"/>
  <c r="O408" i="2" s="1"/>
  <c r="N593" i="2"/>
  <c r="O593" i="2" s="1"/>
  <c r="N388" i="2"/>
  <c r="O388" i="2" s="1"/>
  <c r="N387" i="2"/>
  <c r="O387" i="2" s="1"/>
  <c r="N191" i="2"/>
  <c r="O191" i="2" s="1"/>
  <c r="N451" i="2"/>
  <c r="O451" i="2" s="1"/>
  <c r="N389" i="2"/>
  <c r="O389" i="2" s="1"/>
  <c r="N349" i="2"/>
  <c r="O349" i="2" s="1"/>
  <c r="N319" i="2"/>
  <c r="O319" i="2" s="1"/>
  <c r="N263" i="2"/>
  <c r="O263" i="2" s="1"/>
  <c r="N286" i="2"/>
  <c r="O286" i="2" s="1"/>
  <c r="N410" i="2"/>
  <c r="N310" i="2"/>
  <c r="O310" i="2" s="1"/>
  <c r="N228" i="2"/>
  <c r="O228" i="2" s="1"/>
  <c r="N339" i="2"/>
  <c r="O339" i="2" s="1"/>
  <c r="N260" i="2"/>
  <c r="O260" i="2" s="1"/>
  <c r="N243" i="2"/>
  <c r="O243" i="2" s="1"/>
  <c r="N469" i="2"/>
  <c r="O469" i="2" s="1"/>
  <c r="N473" i="2"/>
  <c r="O473" i="2" s="1"/>
  <c r="N480" i="2"/>
  <c r="O480" i="2" s="1"/>
  <c r="N620" i="2"/>
  <c r="O620" i="2" s="1"/>
  <c r="N625" i="2"/>
  <c r="O625" i="2" s="1"/>
  <c r="N650" i="2"/>
  <c r="O650" i="2" s="1"/>
  <c r="N663" i="2"/>
  <c r="O663" i="2" s="1"/>
  <c r="N235" i="2"/>
  <c r="O235" i="2" s="1"/>
  <c r="N419" i="2"/>
  <c r="O419" i="2" s="1"/>
  <c r="N555" i="2"/>
  <c r="O555" i="2" s="1"/>
  <c r="N570" i="2"/>
  <c r="O570" i="2" s="1"/>
  <c r="N647" i="2"/>
  <c r="O647" i="2" s="1"/>
  <c r="N569" i="2"/>
  <c r="O569" i="2" s="1"/>
  <c r="N619" i="2"/>
  <c r="O619" i="2" s="1"/>
  <c r="N652" i="2"/>
  <c r="O652" i="2" s="1"/>
  <c r="N649" i="2"/>
  <c r="O649" i="2" s="1"/>
  <c r="N460" i="2"/>
  <c r="O460" i="2" s="1"/>
  <c r="N436" i="2"/>
  <c r="O436" i="2" s="1"/>
  <c r="N529" i="2"/>
  <c r="O529" i="2" s="1"/>
  <c r="N466" i="2"/>
  <c r="O466" i="2" s="1"/>
  <c r="N440" i="2"/>
  <c r="O440" i="2" s="1"/>
  <c r="N537" i="2"/>
  <c r="O537" i="2" s="1"/>
  <c r="N399" i="2"/>
  <c r="O399" i="2" s="1"/>
  <c r="N615" i="2"/>
  <c r="O615" i="2" s="1"/>
  <c r="N603" i="2"/>
  <c r="O603" i="2" s="1"/>
  <c r="N583" i="2"/>
  <c r="O583" i="2" s="1"/>
  <c r="N605" i="2"/>
  <c r="O605" i="2" s="1"/>
  <c r="N396" i="2"/>
  <c r="O396" i="2" s="1"/>
  <c r="N525" i="2"/>
  <c r="O525" i="2" s="1"/>
  <c r="N554" i="2"/>
  <c r="O554" i="2" s="1"/>
  <c r="N539" i="2"/>
  <c r="O539" i="2" s="1"/>
  <c r="N458" i="2"/>
  <c r="O458" i="2" s="1"/>
  <c r="N226" i="2"/>
  <c r="O226" i="2" s="1"/>
  <c r="N457" i="2"/>
  <c r="O457" i="2" s="1"/>
  <c r="N357" i="2"/>
  <c r="O357" i="2" s="1"/>
  <c r="N353" i="2"/>
  <c r="O353" i="2" s="1"/>
  <c r="N506" i="2"/>
  <c r="O506" i="2" s="1"/>
  <c r="N567" i="2"/>
  <c r="O567" i="2" s="1"/>
  <c r="N487" i="2"/>
  <c r="O487" i="2" s="1"/>
  <c r="N540" i="2"/>
  <c r="O540" i="2" s="1"/>
  <c r="N514" i="2"/>
  <c r="O514" i="2" s="1"/>
  <c r="N468" i="2"/>
  <c r="O468" i="2" s="1"/>
  <c r="N464" i="2"/>
  <c r="O464" i="2" s="1"/>
  <c r="N521" i="2"/>
  <c r="O521" i="2" s="1"/>
  <c r="N549" i="2"/>
  <c r="O549" i="2" s="1"/>
  <c r="N515" i="2"/>
  <c r="O515" i="2" s="1"/>
  <c r="N446" i="2"/>
  <c r="O446" i="2" s="1"/>
  <c r="N486" i="2"/>
  <c r="O486" i="2" s="1"/>
  <c r="N535" i="2"/>
  <c r="O535" i="2" s="1"/>
  <c r="N364" i="2"/>
  <c r="O364" i="2" s="1"/>
  <c r="N270" i="2"/>
  <c r="O270" i="2" s="1"/>
  <c r="N590" i="2"/>
  <c r="O590" i="2" s="1"/>
  <c r="N382" i="2"/>
  <c r="O382" i="2" s="1"/>
  <c r="N347" i="2"/>
  <c r="O347" i="2" s="1"/>
  <c r="N203" i="2"/>
  <c r="O203" i="2" s="1"/>
  <c r="N208" i="2"/>
  <c r="O208" i="2" s="1"/>
  <c r="N107" i="2"/>
  <c r="O107" i="2" s="1"/>
  <c r="N336" i="2"/>
  <c r="O336" i="2" s="1"/>
  <c r="N325" i="2"/>
  <c r="O325" i="2" s="1"/>
  <c r="N158" i="2"/>
  <c r="O158" i="2" s="1"/>
  <c r="N287" i="2"/>
  <c r="O287" i="2" s="1"/>
  <c r="N602" i="2"/>
  <c r="O602" i="2" s="1"/>
  <c r="N513" i="2"/>
  <c r="O513" i="2" s="1"/>
  <c r="N406" i="2"/>
  <c r="O406" i="2" s="1"/>
  <c r="N414" i="2"/>
  <c r="O414" i="2" s="1"/>
  <c r="N383" i="2"/>
  <c r="O383" i="2" s="1"/>
  <c r="N482" i="2"/>
  <c r="O482" i="2" s="1"/>
  <c r="N237" i="2"/>
  <c r="O237" i="2" s="1"/>
  <c r="N206" i="2"/>
  <c r="O206" i="2" s="1"/>
  <c r="N328" i="2"/>
  <c r="O328" i="2" s="1"/>
  <c r="N397" i="2"/>
  <c r="O397" i="2" s="1"/>
  <c r="N560" i="2"/>
  <c r="O560" i="2" s="1"/>
  <c r="N456" i="2"/>
  <c r="O456" i="2" s="1"/>
  <c r="N442" i="2"/>
  <c r="O442" i="2" s="1"/>
  <c r="N550" i="2"/>
  <c r="O550" i="2" s="1"/>
  <c r="N433" i="2"/>
  <c r="O433" i="2" s="1"/>
  <c r="N422" i="2"/>
  <c r="O422" i="2" s="1"/>
  <c r="N587" i="2"/>
  <c r="O587" i="2" s="1"/>
  <c r="N403" i="2"/>
  <c r="O403" i="2" s="1"/>
  <c r="N564" i="2"/>
  <c r="O564" i="2" s="1"/>
  <c r="N612" i="2"/>
  <c r="O612" i="2" s="1"/>
  <c r="N500" i="2"/>
  <c r="O500" i="2" s="1"/>
  <c r="N536" i="2"/>
  <c r="O536" i="2" s="1"/>
  <c r="N273" i="2"/>
  <c r="O273" i="2" s="1"/>
  <c r="N301" i="2"/>
  <c r="O301" i="2" s="1"/>
  <c r="N376" i="2"/>
  <c r="O376" i="2" s="1"/>
  <c r="N437" i="2"/>
  <c r="O437" i="2" s="1"/>
  <c r="N295" i="2"/>
  <c r="O295" i="2" s="1"/>
  <c r="N292" i="2"/>
  <c r="O292" i="2" s="1"/>
  <c r="N597" i="2"/>
  <c r="O597" i="2" s="1"/>
  <c r="N488" i="2"/>
  <c r="O488" i="2" s="1"/>
  <c r="N489" i="2"/>
  <c r="O489" i="2" s="1"/>
  <c r="N511" i="2"/>
  <c r="O511" i="2" s="1"/>
  <c r="N462" i="2"/>
  <c r="O462" i="2" s="1"/>
  <c r="N490" i="2"/>
  <c r="O490" i="2" s="1"/>
  <c r="N548" i="2"/>
  <c r="O548" i="2" s="1"/>
  <c r="N573" i="2"/>
  <c r="O573" i="2" s="1"/>
  <c r="N571" i="2"/>
  <c r="O571" i="2" s="1"/>
  <c r="N654" i="2"/>
  <c r="O654" i="2" s="1"/>
  <c r="N568" i="2"/>
  <c r="O568" i="2" s="1"/>
  <c r="N416" i="2"/>
  <c r="O416" i="2" s="1"/>
  <c r="N445" i="2"/>
  <c r="O445" i="2" s="1"/>
  <c r="N275" i="2"/>
  <c r="O275" i="2" s="1"/>
  <c r="N483" i="2"/>
  <c r="O483" i="2" s="1"/>
  <c r="N60" i="2"/>
  <c r="O60" i="2" s="1"/>
  <c r="N69" i="2"/>
  <c r="O69" i="2" s="1"/>
  <c r="N516" i="2"/>
  <c r="O516" i="2" s="1"/>
  <c r="N354" i="2"/>
  <c r="O354" i="2" s="1"/>
  <c r="N588" i="2"/>
  <c r="O588" i="2" s="1"/>
  <c r="N503" i="2"/>
  <c r="O503" i="2" s="1"/>
  <c r="N541" i="2"/>
  <c r="O541" i="2" s="1"/>
  <c r="N584" i="2"/>
  <c r="O584" i="2" s="1"/>
  <c r="N324" i="2"/>
  <c r="O324" i="2" s="1"/>
  <c r="N181" i="2"/>
  <c r="O181" i="2" s="1"/>
  <c r="N642" i="2"/>
  <c r="O642" i="2" s="1"/>
  <c r="N519" i="2"/>
  <c r="O519" i="2" s="1"/>
  <c r="N470" i="2"/>
  <c r="O470" i="2" s="1"/>
  <c r="N454" i="2"/>
  <c r="O454" i="2" s="1"/>
  <c r="N493" i="2"/>
  <c r="O493" i="2" s="1"/>
  <c r="N475" i="2"/>
  <c r="O475" i="2" s="1"/>
  <c r="N563" i="2"/>
  <c r="O563" i="2" s="1"/>
  <c r="N432" i="2"/>
  <c r="O432" i="2" s="1"/>
  <c r="N551" i="2"/>
  <c r="O551" i="2" s="1"/>
  <c r="N520" i="2"/>
  <c r="O520" i="2" s="1"/>
  <c r="N527" i="2"/>
  <c r="O527" i="2" s="1"/>
  <c r="N280" i="2"/>
  <c r="O280" i="2" s="1"/>
  <c r="N559" i="2"/>
  <c r="O559" i="2" s="1"/>
  <c r="N596" i="2"/>
  <c r="O596" i="2" s="1"/>
  <c r="N430" i="2"/>
  <c r="O430" i="2" s="1"/>
  <c r="N369" i="2"/>
  <c r="O369" i="2" s="1"/>
  <c r="N600" i="2"/>
  <c r="O600" i="2" s="1"/>
  <c r="N412" i="2"/>
  <c r="O412" i="2" s="1"/>
  <c r="N455" i="2"/>
  <c r="O455" i="2" s="1"/>
  <c r="N374" i="2"/>
  <c r="N581" i="2"/>
  <c r="O581" i="2" s="1"/>
  <c r="N392" i="2"/>
  <c r="O392" i="2" s="1"/>
  <c r="N404" i="2"/>
  <c r="O404" i="2" s="1"/>
  <c r="N595" i="2"/>
  <c r="O595" i="2" s="1"/>
  <c r="N629" i="2"/>
  <c r="O629" i="2" s="1"/>
  <c r="N343" i="2"/>
  <c r="O343" i="2" s="1"/>
  <c r="N453" i="2"/>
  <c r="O453" i="2" s="1"/>
  <c r="N309" i="2"/>
  <c r="O309" i="2" s="1"/>
  <c r="N523" i="2"/>
  <c r="O523" i="2" s="1"/>
  <c r="N330" i="2"/>
  <c r="O330" i="2" s="1"/>
  <c r="N558" i="2"/>
  <c r="O558" i="2" s="1"/>
  <c r="N447" i="2"/>
  <c r="O447" i="2" s="1"/>
  <c r="N190" i="2"/>
  <c r="O190" i="2" s="1"/>
  <c r="N562" i="2"/>
  <c r="O562" i="2" s="1"/>
  <c r="N368" i="2"/>
  <c r="O368" i="2" s="1"/>
  <c r="N372" i="2"/>
  <c r="O372" i="2" s="1"/>
  <c r="N285" i="2"/>
  <c r="O285" i="2" s="1"/>
  <c r="N224" i="2"/>
  <c r="O224" i="2" s="1"/>
  <c r="N173" i="2"/>
  <c r="O173" i="2" s="1"/>
  <c r="N160" i="2"/>
  <c r="O160" i="2" s="1"/>
  <c r="N360" i="2"/>
  <c r="O360" i="2" s="1"/>
  <c r="N277" i="2"/>
  <c r="O277" i="2" s="1"/>
  <c r="N381" i="2"/>
  <c r="O381" i="2" s="1"/>
  <c r="N561" i="2"/>
  <c r="O561" i="2" s="1"/>
  <c r="N314" i="2"/>
  <c r="O314" i="2" s="1"/>
  <c r="N379" i="2"/>
  <c r="O379" i="2" s="1"/>
  <c r="N90" i="2"/>
  <c r="O90" i="2" s="1"/>
  <c r="N622" i="2"/>
  <c r="O622" i="2" s="1"/>
  <c r="N402" i="2"/>
  <c r="O402" i="2" s="1"/>
  <c r="N308" i="2"/>
  <c r="O308" i="2" s="1"/>
  <c r="N426" i="2"/>
  <c r="O426" i="2" s="1"/>
  <c r="N538" i="2"/>
  <c r="O538" i="2" s="1"/>
  <c r="N579" i="2"/>
  <c r="O579" i="2" s="1"/>
  <c r="N452" i="2"/>
  <c r="O452" i="2" s="1"/>
  <c r="N448" i="2"/>
  <c r="O448" i="2" s="1"/>
  <c r="N632" i="2"/>
  <c r="O632" i="2" s="1"/>
  <c r="N633" i="2"/>
  <c r="O633" i="2" s="1"/>
  <c r="N634" i="2"/>
  <c r="O634" i="2" s="1"/>
  <c r="N636" i="2"/>
  <c r="O636" i="2" s="1"/>
  <c r="N604" i="2"/>
  <c r="O604" i="2" s="1"/>
  <c r="N637" i="2"/>
  <c r="O637" i="2" s="1"/>
  <c r="N582" i="2"/>
  <c r="O582" i="2" s="1"/>
  <c r="N617" i="2"/>
  <c r="O617" i="2" s="1"/>
  <c r="N635" i="2"/>
  <c r="O635" i="2" s="1"/>
  <c r="N626" i="2"/>
  <c r="O626" i="2" s="1"/>
  <c r="N547" i="2"/>
  <c r="O547" i="2" s="1"/>
  <c r="N575" i="2"/>
  <c r="O575" i="2" s="1"/>
  <c r="N578" i="2"/>
  <c r="O578" i="2" s="1"/>
  <c r="N591" i="2"/>
  <c r="O591" i="2" s="1"/>
  <c r="N327" i="2"/>
  <c r="O327" i="2" s="1"/>
  <c r="N438" i="2"/>
  <c r="O438" i="2" s="1"/>
  <c r="N233" i="2"/>
  <c r="O233" i="2" s="1"/>
  <c r="N334" i="2"/>
  <c r="O334" i="2" s="1"/>
  <c r="N232" i="2"/>
  <c r="O232" i="2" s="1"/>
  <c r="N175" i="2"/>
  <c r="O175" i="2" s="1"/>
  <c r="N149" i="2"/>
  <c r="O149" i="2" s="1"/>
  <c r="N179" i="2"/>
  <c r="O179" i="2" s="1"/>
  <c r="N185" i="2"/>
  <c r="O185" i="2" s="1"/>
  <c r="N352" i="2"/>
  <c r="O352" i="2" s="1"/>
  <c r="N401" i="2"/>
  <c r="O401" i="2" s="1"/>
  <c r="N305" i="2"/>
  <c r="O305" i="2" s="1"/>
  <c r="N293" i="2"/>
  <c r="O293" i="2" s="1"/>
  <c r="N664" i="2"/>
  <c r="O664" i="2" s="1"/>
  <c r="N665" i="2"/>
  <c r="O665" i="2" s="1"/>
  <c r="N580" i="2"/>
  <c r="O580" i="2" s="1"/>
  <c r="N666" i="2"/>
  <c r="O666" i="2" s="1"/>
  <c r="N667" i="2"/>
  <c r="O667" i="2" s="1"/>
  <c r="N618" i="2"/>
  <c r="O618" i="2" s="1"/>
  <c r="N668" i="2"/>
  <c r="O668" i="2" s="1"/>
  <c r="N669" i="2"/>
  <c r="O669" i="2" s="1"/>
  <c r="N670" i="2"/>
  <c r="O670" i="2" s="1"/>
  <c r="N660" i="2"/>
  <c r="O660" i="2" s="1"/>
  <c r="N552" i="2"/>
  <c r="O552" i="2" s="1"/>
  <c r="N508" i="2"/>
  <c r="O508" i="2" s="1"/>
  <c r="N526" i="2"/>
  <c r="O526" i="2" s="1"/>
  <c r="N572" i="2"/>
  <c r="O572" i="2" s="1"/>
  <c r="N485" i="2"/>
  <c r="O485" i="2" s="1"/>
  <c r="N427" i="2"/>
  <c r="O427" i="2" s="1"/>
  <c r="N413" i="2"/>
  <c r="O413" i="2" s="1"/>
  <c r="N320" i="2"/>
  <c r="O320" i="2" s="1"/>
  <c r="N671" i="2"/>
  <c r="O671" i="2" s="1"/>
  <c r="N407" i="2"/>
  <c r="O407" i="2" s="1"/>
  <c r="N481" i="2"/>
  <c r="O481" i="2" s="1"/>
  <c r="N631" i="2"/>
  <c r="O631" i="2" s="1"/>
  <c r="N607" i="2"/>
  <c r="O607" i="2" s="1"/>
  <c r="N417" i="2"/>
  <c r="O417" i="2" s="1"/>
  <c r="N601" i="2"/>
  <c r="O601" i="2" s="1"/>
  <c r="N653" i="2"/>
  <c r="O653" i="2" s="1"/>
  <c r="N524" i="2"/>
  <c r="O524" i="2" s="1"/>
  <c r="N616" i="2"/>
  <c r="O616" i="2" s="1"/>
  <c r="N312" i="2"/>
  <c r="O312" i="2" s="1"/>
  <c r="N672" i="2"/>
  <c r="O672" i="2" s="1"/>
  <c r="N186" i="2"/>
  <c r="O186" i="2" s="1"/>
  <c r="N439" i="2"/>
  <c r="O439" i="2" s="1"/>
  <c r="N415" i="2"/>
  <c r="O415" i="2" s="1"/>
  <c r="N673" i="2"/>
  <c r="O673" i="2" s="1"/>
  <c r="N218" i="2"/>
  <c r="O218" i="2" s="1"/>
  <c r="N210" i="2"/>
  <c r="O210" i="2" s="1"/>
  <c r="N100" i="2"/>
  <c r="O100" i="2" s="1"/>
  <c r="N113" i="2"/>
  <c r="O113" i="2" s="1"/>
  <c r="N103" i="2"/>
  <c r="O103" i="2" s="1"/>
  <c r="N164" i="2"/>
  <c r="O164" i="2" s="1"/>
  <c r="N126" i="2"/>
  <c r="O126" i="2" s="1"/>
  <c r="N276" i="2"/>
  <c r="O276" i="2" s="1"/>
  <c r="N227" i="2"/>
  <c r="O227" i="2" s="1"/>
  <c r="N294" i="2"/>
  <c r="O294" i="2" s="1"/>
  <c r="N479" i="2"/>
  <c r="O479" i="2" s="1"/>
  <c r="N216" i="2"/>
  <c r="O216" i="2" s="1"/>
  <c r="N155" i="2"/>
  <c r="O155" i="2" s="1"/>
  <c r="N120" i="2"/>
  <c r="O120" i="2" s="1"/>
  <c r="N84" i="2"/>
  <c r="O84" i="2" s="1"/>
  <c r="N608" i="2"/>
  <c r="O608" i="2" s="1"/>
  <c r="N638" i="2"/>
  <c r="O638" i="2" s="1"/>
  <c r="N450" i="2"/>
  <c r="O450" i="2" s="1"/>
  <c r="N393" i="2"/>
  <c r="O393" i="2" s="1"/>
  <c r="N188" i="2"/>
  <c r="O188" i="2" s="1"/>
  <c r="N4" i="4" l="1"/>
  <c r="N22" i="4"/>
  <c r="N49" i="4"/>
  <c r="N46" i="3"/>
  <c r="N22" i="3"/>
  <c r="N4" i="3"/>
  <c r="N126" i="3" s="1"/>
  <c r="N409" i="2"/>
  <c r="N221" i="2"/>
  <c r="N4" i="2"/>
  <c r="N674" i="2" s="1"/>
  <c r="O5" i="4"/>
  <c r="O23" i="4"/>
  <c r="O50" i="4"/>
  <c r="O49" i="4" s="1"/>
  <c r="O47" i="3"/>
  <c r="O46" i="3" s="1"/>
  <c r="O23" i="3"/>
  <c r="O5" i="3"/>
  <c r="O410" i="2"/>
  <c r="O409" i="2" s="1"/>
  <c r="O222" i="2"/>
  <c r="O5" i="2"/>
  <c r="O4" i="2" s="1"/>
  <c r="O43" i="4"/>
  <c r="O6" i="4"/>
  <c r="O8" i="3"/>
  <c r="O28" i="3"/>
  <c r="O297" i="2"/>
  <c r="O374" i="2"/>
  <c r="O42" i="4"/>
  <c r="N664" i="1"/>
  <c r="O664" i="1" s="1"/>
  <c r="N12" i="1"/>
  <c r="O12" i="1" s="1"/>
  <c r="N43" i="1"/>
  <c r="O43" i="1" s="1"/>
  <c r="N35" i="1"/>
  <c r="O35" i="1" s="1"/>
  <c r="N92" i="1"/>
  <c r="O92" i="1" s="1"/>
  <c r="N123" i="1"/>
  <c r="O123" i="1" s="1"/>
  <c r="N17" i="1"/>
  <c r="O17" i="1" s="1"/>
  <c r="N5" i="1"/>
  <c r="N10" i="1"/>
  <c r="O10" i="1" s="1"/>
  <c r="N62" i="1"/>
  <c r="O62" i="1" s="1"/>
  <c r="N11" i="1"/>
  <c r="O11" i="1" s="1"/>
  <c r="N41" i="1"/>
  <c r="O41" i="1" s="1"/>
  <c r="N25" i="1"/>
  <c r="O25" i="1" s="1"/>
  <c r="N20" i="1"/>
  <c r="O20" i="1" s="1"/>
  <c r="N45" i="1"/>
  <c r="O45" i="1" s="1"/>
  <c r="N8" i="1"/>
  <c r="O8" i="1" s="1"/>
  <c r="N22" i="1"/>
  <c r="O22" i="1" s="1"/>
  <c r="N29" i="1"/>
  <c r="O29" i="1" s="1"/>
  <c r="N67" i="1"/>
  <c r="O67" i="1" s="1"/>
  <c r="N32" i="1"/>
  <c r="O32" i="1" s="1"/>
  <c r="N14" i="1"/>
  <c r="O14" i="1" s="1"/>
  <c r="N34" i="1"/>
  <c r="O34" i="1" s="1"/>
  <c r="N16" i="1"/>
  <c r="O16" i="1" s="1"/>
  <c r="N24" i="1"/>
  <c r="O24" i="1" s="1"/>
  <c r="N280" i="1"/>
  <c r="O280" i="1" s="1"/>
  <c r="N55" i="1"/>
  <c r="O55" i="1" s="1"/>
  <c r="N72" i="1"/>
  <c r="O72" i="1" s="1"/>
  <c r="N264" i="1"/>
  <c r="O264" i="1" s="1"/>
  <c r="N15" i="1"/>
  <c r="O15" i="1" s="1"/>
  <c r="N79" i="1"/>
  <c r="O79" i="1" s="1"/>
  <c r="N51" i="1"/>
  <c r="O51" i="1" s="1"/>
  <c r="N82" i="1"/>
  <c r="O82" i="1" s="1"/>
  <c r="N59" i="1"/>
  <c r="O59" i="1" s="1"/>
  <c r="N44" i="1"/>
  <c r="O44" i="1" s="1"/>
  <c r="N344" i="1"/>
  <c r="O344" i="1" s="1"/>
  <c r="N68" i="1"/>
  <c r="O68" i="1" s="1"/>
  <c r="N407" i="1"/>
  <c r="O407" i="1" s="1"/>
  <c r="N154" i="1"/>
  <c r="O154" i="1" s="1"/>
  <c r="N365" i="1"/>
  <c r="O365" i="1" s="1"/>
  <c r="N42" i="1"/>
  <c r="O42" i="1" s="1"/>
  <c r="N75" i="1"/>
  <c r="O75" i="1" s="1"/>
  <c r="N26" i="1"/>
  <c r="O26" i="1" s="1"/>
  <c r="N272" i="1"/>
  <c r="O272" i="1" s="1"/>
  <c r="N110" i="1"/>
  <c r="O110" i="1" s="1"/>
  <c r="N30" i="1"/>
  <c r="O30" i="1" s="1"/>
  <c r="N429" i="1"/>
  <c r="O429" i="1" s="1"/>
  <c r="N311" i="1"/>
  <c r="O311" i="1" s="1"/>
  <c r="N107" i="1"/>
  <c r="O107" i="1" s="1"/>
  <c r="N74" i="1"/>
  <c r="O74" i="1" s="1"/>
  <c r="N413" i="1"/>
  <c r="O413" i="1" s="1"/>
  <c r="N38" i="1"/>
  <c r="O38" i="1" s="1"/>
  <c r="N234" i="1"/>
  <c r="O234" i="1" s="1"/>
  <c r="N169" i="1"/>
  <c r="O169" i="1" s="1"/>
  <c r="N160" i="1"/>
  <c r="O160" i="1" s="1"/>
  <c r="N63" i="1"/>
  <c r="O63" i="1" s="1"/>
  <c r="N410" i="1"/>
  <c r="O410" i="1" s="1"/>
  <c r="N374" i="1"/>
  <c r="O374" i="1" s="1"/>
  <c r="N39" i="1"/>
  <c r="O39" i="1" s="1"/>
  <c r="N141" i="1"/>
  <c r="O141" i="1" s="1"/>
  <c r="N148" i="1"/>
  <c r="O148" i="1" s="1"/>
  <c r="N102" i="1"/>
  <c r="O102" i="1" s="1"/>
  <c r="N31" i="1"/>
  <c r="O31" i="1" s="1"/>
  <c r="N134" i="1"/>
  <c r="O134" i="1" s="1"/>
  <c r="N27" i="1"/>
  <c r="O27" i="1" s="1"/>
  <c r="N135" i="1"/>
  <c r="O135" i="1" s="1"/>
  <c r="N95" i="1"/>
  <c r="O95" i="1" s="1"/>
  <c r="N136" i="1"/>
  <c r="O136" i="1" s="1"/>
  <c r="N299" i="1"/>
  <c r="O299" i="1" s="1"/>
  <c r="N227" i="1"/>
  <c r="O227" i="1" s="1"/>
  <c r="N69" i="1"/>
  <c r="O69" i="1" s="1"/>
  <c r="N474" i="1"/>
  <c r="O474" i="1" s="1"/>
  <c r="N60" i="1"/>
  <c r="O60" i="1" s="1"/>
  <c r="N28" i="1"/>
  <c r="O28" i="1" s="1"/>
  <c r="N58" i="1"/>
  <c r="O58" i="1" s="1"/>
  <c r="N80" i="1"/>
  <c r="O80" i="1" s="1"/>
  <c r="N98" i="1"/>
  <c r="O98" i="1" s="1"/>
  <c r="N458" i="1"/>
  <c r="O458" i="1" s="1"/>
  <c r="N84" i="1"/>
  <c r="O84" i="1" s="1"/>
  <c r="N428" i="1"/>
  <c r="O428" i="1" s="1"/>
  <c r="N178" i="1"/>
  <c r="O178" i="1" s="1"/>
  <c r="N665" i="1"/>
  <c r="O665" i="1" s="1"/>
  <c r="N109" i="1"/>
  <c r="O109" i="1" s="1"/>
  <c r="N140" i="1"/>
  <c r="O140" i="1" s="1"/>
  <c r="N193" i="1"/>
  <c r="O193" i="1" s="1"/>
  <c r="N70" i="1"/>
  <c r="O70" i="1" s="1"/>
  <c r="N375" i="1"/>
  <c r="O375" i="1" s="1"/>
  <c r="N9" i="1"/>
  <c r="O9" i="1" s="1"/>
  <c r="N78" i="1"/>
  <c r="O78" i="1" s="1"/>
  <c r="N177" i="1"/>
  <c r="O177" i="1" s="1"/>
  <c r="N93" i="1"/>
  <c r="O93" i="1" s="1"/>
  <c r="N19" i="1"/>
  <c r="O19" i="1" s="1"/>
  <c r="N164" i="1"/>
  <c r="O164" i="1" s="1"/>
  <c r="N56" i="1"/>
  <c r="O56" i="1" s="1"/>
  <c r="N119" i="1"/>
  <c r="O119" i="1" s="1"/>
  <c r="N380" i="1"/>
  <c r="O380" i="1" s="1"/>
  <c r="N203" i="1"/>
  <c r="O203" i="1" s="1"/>
  <c r="N13" i="1"/>
  <c r="O13" i="1" s="1"/>
  <c r="N111" i="1"/>
  <c r="O111" i="1" s="1"/>
  <c r="N7" i="1"/>
  <c r="O7" i="1" s="1"/>
  <c r="N228" i="1"/>
  <c r="O228" i="1" s="1"/>
  <c r="N294" i="1"/>
  <c r="O294" i="1" s="1"/>
  <c r="N544" i="1"/>
  <c r="O544" i="1" s="1"/>
  <c r="N349" i="1"/>
  <c r="O349" i="1" s="1"/>
  <c r="N409" i="1"/>
  <c r="O409" i="1" s="1"/>
  <c r="N156" i="1"/>
  <c r="O156" i="1" s="1"/>
  <c r="N261" i="1"/>
  <c r="O261" i="1" s="1"/>
  <c r="N537" i="1"/>
  <c r="O537" i="1" s="1"/>
  <c r="N65" i="1"/>
  <c r="O65" i="1" s="1"/>
  <c r="N23" i="1"/>
  <c r="O23" i="1" s="1"/>
  <c r="N50" i="1"/>
  <c r="O50" i="1" s="1"/>
  <c r="N560" i="1"/>
  <c r="O560" i="1" s="1"/>
  <c r="N113" i="1"/>
  <c r="O113" i="1" s="1"/>
  <c r="N81" i="1"/>
  <c r="O81" i="1" s="1"/>
  <c r="N388" i="1"/>
  <c r="O388" i="1" s="1"/>
  <c r="N284" i="1"/>
  <c r="O284" i="1" s="1"/>
  <c r="N371" i="1"/>
  <c r="O371" i="1" s="1"/>
  <c r="N21" i="1"/>
  <c r="O21" i="1" s="1"/>
  <c r="N639" i="1"/>
  <c r="O639" i="1" s="1"/>
  <c r="N157" i="1"/>
  <c r="O157" i="1" s="1"/>
  <c r="N364" i="1"/>
  <c r="O364" i="1" s="1"/>
  <c r="N57" i="1"/>
  <c r="O57" i="1" s="1"/>
  <c r="N399" i="1"/>
  <c r="O399" i="1" s="1"/>
  <c r="N329" i="1"/>
  <c r="O329" i="1" s="1"/>
  <c r="N194" i="1"/>
  <c r="O194" i="1" s="1"/>
  <c r="N46" i="1"/>
  <c r="O46" i="1" s="1"/>
  <c r="N459" i="1"/>
  <c r="O459" i="1" s="1"/>
  <c r="N18" i="1"/>
  <c r="O18" i="1" s="1"/>
  <c r="N152" i="1"/>
  <c r="O152" i="1" s="1"/>
  <c r="N238" i="1"/>
  <c r="O238" i="1" s="1"/>
  <c r="N137" i="1"/>
  <c r="O137" i="1" s="1"/>
  <c r="N195" i="1"/>
  <c r="O195" i="1" s="1"/>
  <c r="N298" i="1"/>
  <c r="O298" i="1" s="1"/>
  <c r="N644" i="1"/>
  <c r="O644" i="1" s="1"/>
  <c r="N104" i="1"/>
  <c r="O104" i="1" s="1"/>
  <c r="N53" i="1"/>
  <c r="O53" i="1" s="1"/>
  <c r="N629" i="1"/>
  <c r="O629" i="1" s="1"/>
  <c r="N103" i="1"/>
  <c r="O103" i="1" s="1"/>
  <c r="N37" i="1"/>
  <c r="O37" i="1" s="1"/>
  <c r="N47" i="1"/>
  <c r="O47" i="1" s="1"/>
  <c r="N233" i="1"/>
  <c r="O233" i="1" s="1"/>
  <c r="N161" i="1"/>
  <c r="O161" i="1" s="1"/>
  <c r="N100" i="1"/>
  <c r="O100" i="1" s="1"/>
  <c r="N309" i="1"/>
  <c r="O309" i="1" s="1"/>
  <c r="N196" i="1"/>
  <c r="O196" i="1" s="1"/>
  <c r="N149" i="1"/>
  <c r="O149" i="1" s="1"/>
  <c r="N230" i="1"/>
  <c r="O230" i="1" s="1"/>
  <c r="N36" i="1"/>
  <c r="O36" i="1" s="1"/>
  <c r="N470" i="1"/>
  <c r="O470" i="1" s="1"/>
  <c r="N89" i="1"/>
  <c r="O89" i="1" s="1"/>
  <c r="N226" i="1"/>
  <c r="O226" i="1" s="1"/>
  <c r="N561" i="1"/>
  <c r="O561" i="1" s="1"/>
  <c r="N562" i="1"/>
  <c r="O562" i="1" s="1"/>
  <c r="N539" i="1"/>
  <c r="O539" i="1" s="1"/>
  <c r="N208" i="1"/>
  <c r="O208" i="1" s="1"/>
  <c r="N108" i="1"/>
  <c r="O108" i="1" s="1"/>
  <c r="N564" i="1"/>
  <c r="O564" i="1" s="1"/>
  <c r="N390" i="1"/>
  <c r="O390" i="1" s="1"/>
  <c r="N331" i="1"/>
  <c r="O331" i="1" s="1"/>
  <c r="N327" i="1"/>
  <c r="O327" i="1" s="1"/>
  <c r="N133" i="1"/>
  <c r="O133" i="1" s="1"/>
  <c r="N199" i="1"/>
  <c r="O199" i="1" s="1"/>
  <c r="N87" i="1"/>
  <c r="O87" i="1" s="1"/>
  <c r="N508" i="1"/>
  <c r="O508" i="1" s="1"/>
  <c r="N76" i="1"/>
  <c r="O76" i="1" s="1"/>
  <c r="N471" i="1"/>
  <c r="O471" i="1" s="1"/>
  <c r="N115" i="1"/>
  <c r="O115" i="1" s="1"/>
  <c r="N128" i="1"/>
  <c r="O128" i="1" s="1"/>
  <c r="N88" i="1"/>
  <c r="O88" i="1" s="1"/>
  <c r="N296" i="1"/>
  <c r="O296" i="1" s="1"/>
  <c r="N122" i="1"/>
  <c r="O122" i="1" s="1"/>
  <c r="N287" i="1"/>
  <c r="O287" i="1" s="1"/>
  <c r="N290" i="1"/>
  <c r="O290" i="1" s="1"/>
  <c r="N86" i="1"/>
  <c r="O86" i="1" s="1"/>
  <c r="N339" i="1"/>
  <c r="O339" i="1" s="1"/>
  <c r="N265" i="1"/>
  <c r="O265" i="1" s="1"/>
  <c r="N114" i="1"/>
  <c r="O114" i="1" s="1"/>
  <c r="N332" i="1"/>
  <c r="O332" i="1" s="1"/>
  <c r="N132" i="1"/>
  <c r="O132" i="1" s="1"/>
  <c r="N200" i="1"/>
  <c r="O200" i="1" s="1"/>
  <c r="N567" i="1"/>
  <c r="O567" i="1" s="1"/>
  <c r="N105" i="1"/>
  <c r="O105" i="1" s="1"/>
  <c r="N659" i="1"/>
  <c r="O659" i="1" s="1"/>
  <c r="N219" i="1"/>
  <c r="O219" i="1" s="1"/>
  <c r="N260" i="1"/>
  <c r="O260" i="1" s="1"/>
  <c r="N343" i="1"/>
  <c r="O343" i="1" s="1"/>
  <c r="N252" i="1"/>
  <c r="O252" i="1" s="1"/>
  <c r="N155" i="1"/>
  <c r="O155" i="1" s="1"/>
  <c r="N117" i="1"/>
  <c r="O117" i="1" s="1"/>
  <c r="N96" i="1"/>
  <c r="O96" i="1" s="1"/>
  <c r="N40" i="1"/>
  <c r="O40" i="1" s="1"/>
  <c r="N101" i="1"/>
  <c r="O101" i="1" s="1"/>
  <c r="N248" i="1"/>
  <c r="O248" i="1" s="1"/>
  <c r="N256" i="1"/>
  <c r="O256" i="1" s="1"/>
  <c r="N166" i="1"/>
  <c r="O166" i="1" s="1"/>
  <c r="N423" i="1"/>
  <c r="O423" i="1" s="1"/>
  <c r="N455" i="1"/>
  <c r="O455" i="1" s="1"/>
  <c r="N97" i="1"/>
  <c r="O97" i="1" s="1"/>
  <c r="N342" i="1"/>
  <c r="O342" i="1" s="1"/>
  <c r="N54" i="1"/>
  <c r="O54" i="1" s="1"/>
  <c r="N144" i="1"/>
  <c r="O144" i="1" s="1"/>
  <c r="N360" i="1"/>
  <c r="O360" i="1" s="1"/>
  <c r="N607" i="1"/>
  <c r="O607" i="1" s="1"/>
  <c r="N214" i="1"/>
  <c r="O214" i="1" s="1"/>
  <c r="N510" i="1"/>
  <c r="O510" i="1" s="1"/>
  <c r="N61" i="1"/>
  <c r="O61" i="1" s="1"/>
  <c r="N377" i="1"/>
  <c r="O377" i="1" s="1"/>
  <c r="N626" i="1"/>
  <c r="O626" i="1" s="1"/>
  <c r="N99" i="1"/>
  <c r="O99" i="1" s="1"/>
  <c r="N387" i="1"/>
  <c r="O387" i="1" s="1"/>
  <c r="N130" i="1"/>
  <c r="O130" i="1" s="1"/>
  <c r="N83" i="1"/>
  <c r="O83" i="1" s="1"/>
  <c r="N401" i="1"/>
  <c r="O401" i="1" s="1"/>
  <c r="N295" i="1"/>
  <c r="O295" i="1" s="1"/>
  <c r="N66" i="1"/>
  <c r="O66" i="1" s="1"/>
  <c r="N353" i="1"/>
  <c r="O353" i="1" s="1"/>
  <c r="N276" i="1"/>
  <c r="O276" i="1" s="1"/>
  <c r="N253" i="1"/>
  <c r="O253" i="1" s="1"/>
  <c r="N488" i="1"/>
  <c r="O488" i="1" s="1"/>
  <c r="N582" i="1"/>
  <c r="O582" i="1" s="1"/>
  <c r="N91" i="1"/>
  <c r="O91" i="1" s="1"/>
  <c r="N151" i="1"/>
  <c r="O151" i="1" s="1"/>
  <c r="N452" i="1"/>
  <c r="O452" i="1" s="1"/>
  <c r="N595" i="1"/>
  <c r="O595" i="1" s="1"/>
  <c r="N187" i="1"/>
  <c r="O187" i="1" s="1"/>
  <c r="N321" i="1"/>
  <c r="O321" i="1" s="1"/>
  <c r="N337" i="1"/>
  <c r="O337" i="1" s="1"/>
  <c r="N594" i="1"/>
  <c r="O594" i="1" s="1"/>
  <c r="N354" i="1"/>
  <c r="O354" i="1" s="1"/>
  <c r="N90" i="1"/>
  <c r="O90" i="1" s="1"/>
  <c r="N146" i="1"/>
  <c r="O146" i="1" s="1"/>
  <c r="N350" i="1"/>
  <c r="N666" i="1"/>
  <c r="O666" i="1" s="1"/>
  <c r="N575" i="1"/>
  <c r="O575" i="1" s="1"/>
  <c r="N367" i="1"/>
  <c r="O367" i="1" s="1"/>
  <c r="N236" i="1"/>
  <c r="O236" i="1" s="1"/>
  <c r="N326" i="1"/>
  <c r="O326" i="1" s="1"/>
  <c r="N304" i="1"/>
  <c r="O304" i="1" s="1"/>
  <c r="N612" i="1"/>
  <c r="O612" i="1" s="1"/>
  <c r="N218" i="1"/>
  <c r="O218" i="1" s="1"/>
  <c r="N601" i="1"/>
  <c r="O601" i="1" s="1"/>
  <c r="N462" i="1"/>
  <c r="O462" i="1" s="1"/>
  <c r="N624" i="1"/>
  <c r="O624" i="1" s="1"/>
  <c r="N297" i="1"/>
  <c r="O297" i="1" s="1"/>
  <c r="N538" i="1"/>
  <c r="O538" i="1" s="1"/>
  <c r="N547" i="1"/>
  <c r="O547" i="1" s="1"/>
  <c r="N433" i="1"/>
  <c r="O433" i="1" s="1"/>
  <c r="N451" i="1"/>
  <c r="O451" i="1" s="1"/>
  <c r="N225" i="1"/>
  <c r="O225" i="1" s="1"/>
  <c r="N475" i="1"/>
  <c r="O475" i="1" s="1"/>
  <c r="N179" i="1"/>
  <c r="O179" i="1" s="1"/>
  <c r="N418" i="1"/>
  <c r="O418" i="1" s="1"/>
  <c r="N517" i="1"/>
  <c r="O517" i="1" s="1"/>
  <c r="N461" i="1"/>
  <c r="O461" i="1" s="1"/>
  <c r="N588" i="1"/>
  <c r="O588" i="1" s="1"/>
  <c r="N372" i="1"/>
  <c r="O372" i="1" s="1"/>
  <c r="N112" i="1"/>
  <c r="O112" i="1" s="1"/>
  <c r="N212" i="1"/>
  <c r="O212" i="1" s="1"/>
  <c r="N293" i="1"/>
  <c r="O293" i="1" s="1"/>
  <c r="N403" i="1"/>
  <c r="O403" i="1" s="1"/>
  <c r="N419" i="1"/>
  <c r="O419" i="1" s="1"/>
  <c r="N324" i="1"/>
  <c r="O324" i="1" s="1"/>
  <c r="N292" i="1"/>
  <c r="O292" i="1" s="1"/>
  <c r="N361" i="1"/>
  <c r="O361" i="1" s="1"/>
  <c r="N244" i="1"/>
  <c r="O244" i="1" s="1"/>
  <c r="N558" i="1"/>
  <c r="O558" i="1" s="1"/>
  <c r="N204" i="1"/>
  <c r="O204" i="1" s="1"/>
  <c r="N621" i="1"/>
  <c r="O621" i="1" s="1"/>
  <c r="N466" i="1"/>
  <c r="O466" i="1" s="1"/>
  <c r="N522" i="1"/>
  <c r="O522" i="1" s="1"/>
  <c r="N285" i="1"/>
  <c r="O285" i="1" s="1"/>
  <c r="N223" i="1"/>
  <c r="N245" i="1"/>
  <c r="O245" i="1" s="1"/>
  <c r="N480" i="1"/>
  <c r="O480" i="1" s="1"/>
  <c r="N415" i="1"/>
  <c r="O415" i="1" s="1"/>
  <c r="N431" i="1"/>
  <c r="O431" i="1" s="1"/>
  <c r="N386" i="1"/>
  <c r="O386" i="1" s="1"/>
  <c r="N209" i="1"/>
  <c r="O209" i="1" s="1"/>
  <c r="N493" i="1"/>
  <c r="O493" i="1" s="1"/>
  <c r="N185" i="1"/>
  <c r="O185" i="1" s="1"/>
  <c r="N586" i="1"/>
  <c r="O586" i="1" s="1"/>
  <c r="N362" i="1"/>
  <c r="O362" i="1" s="1"/>
  <c r="N346" i="1"/>
  <c r="O346" i="1" s="1"/>
  <c r="N391" i="1"/>
  <c r="O391" i="1" s="1"/>
  <c r="N330" i="1"/>
  <c r="O330" i="1" s="1"/>
  <c r="N237" i="1"/>
  <c r="O237" i="1" s="1"/>
  <c r="N465" i="1"/>
  <c r="O465" i="1" s="1"/>
  <c r="N473" i="1"/>
  <c r="O473" i="1" s="1"/>
  <c r="N278" i="1"/>
  <c r="O278" i="1" s="1"/>
  <c r="N598" i="1"/>
  <c r="O598" i="1" s="1"/>
  <c r="N520" i="1"/>
  <c r="O520" i="1" s="1"/>
  <c r="N369" i="1"/>
  <c r="O369" i="1" s="1"/>
  <c r="N291" i="1"/>
  <c r="O291" i="1" s="1"/>
  <c r="N322" i="1"/>
  <c r="O322" i="1" s="1"/>
  <c r="N190" i="1"/>
  <c r="O190" i="1" s="1"/>
  <c r="N315" i="1"/>
  <c r="O315" i="1" s="1"/>
  <c r="N579" i="1"/>
  <c r="O579" i="1" s="1"/>
  <c r="N312" i="1"/>
  <c r="O312" i="1" s="1"/>
  <c r="N188" i="1"/>
  <c r="O188" i="1" s="1"/>
  <c r="N573" i="1"/>
  <c r="O573" i="1" s="1"/>
  <c r="N591" i="1"/>
  <c r="O591" i="1" s="1"/>
  <c r="N514" i="1"/>
  <c r="O514" i="1" s="1"/>
  <c r="N585" i="1"/>
  <c r="O585" i="1" s="1"/>
  <c r="N667" i="1"/>
  <c r="O667" i="1" s="1"/>
  <c r="N416" i="1"/>
  <c r="O416" i="1" s="1"/>
  <c r="N300" i="1"/>
  <c r="O300" i="1" s="1"/>
  <c r="N180" i="1"/>
  <c r="O180" i="1" s="1"/>
  <c r="N482" i="1"/>
  <c r="O482" i="1" s="1"/>
  <c r="N438" i="1"/>
  <c r="O438" i="1" s="1"/>
  <c r="N271" i="1"/>
  <c r="O271" i="1" s="1"/>
  <c r="N437" i="1"/>
  <c r="O437" i="1" s="1"/>
  <c r="N628" i="1"/>
  <c r="O628" i="1" s="1"/>
  <c r="N308" i="1"/>
  <c r="O308" i="1" s="1"/>
  <c r="N175" i="1"/>
  <c r="O175" i="1" s="1"/>
  <c r="N645" i="1"/>
  <c r="O645" i="1" s="1"/>
  <c r="N625" i="1"/>
  <c r="O625" i="1" s="1"/>
  <c r="N247" i="1"/>
  <c r="O247" i="1" s="1"/>
  <c r="N443" i="1"/>
  <c r="O443" i="1" s="1"/>
  <c r="N186" i="1"/>
  <c r="O186" i="1" s="1"/>
  <c r="N176" i="1"/>
  <c r="O176" i="1" s="1"/>
  <c r="N509" i="1"/>
  <c r="O509" i="1" s="1"/>
  <c r="N404" i="1"/>
  <c r="O404" i="1" s="1"/>
  <c r="N638" i="1"/>
  <c r="O638" i="1" s="1"/>
  <c r="N627" i="1"/>
  <c r="O627" i="1" s="1"/>
  <c r="N210" i="1"/>
  <c r="O210" i="1" s="1"/>
  <c r="N526" i="1"/>
  <c r="O526" i="1" s="1"/>
  <c r="N441" i="1"/>
  <c r="O441" i="1" s="1"/>
  <c r="N563" i="1"/>
  <c r="O563" i="1" s="1"/>
  <c r="N422" i="1"/>
  <c r="O422" i="1" s="1"/>
  <c r="N289" i="1"/>
  <c r="O289" i="1" s="1"/>
  <c r="N658" i="1"/>
  <c r="O658" i="1" s="1"/>
  <c r="N442" i="1"/>
  <c r="O442" i="1" s="1"/>
  <c r="N366" i="1"/>
  <c r="O366" i="1" s="1"/>
  <c r="N448" i="1"/>
  <c r="O448" i="1" s="1"/>
  <c r="N394" i="1"/>
  <c r="O394" i="1" s="1"/>
  <c r="N355" i="1"/>
  <c r="O355" i="1" s="1"/>
  <c r="N491" i="1"/>
  <c r="O491" i="1" s="1"/>
  <c r="N335" i="1"/>
  <c r="O335" i="1" s="1"/>
  <c r="N503" i="1"/>
  <c r="O503" i="1" s="1"/>
  <c r="N393" i="1"/>
  <c r="O393" i="1" s="1"/>
  <c r="N402" i="1"/>
  <c r="O402" i="1" s="1"/>
  <c r="N263" i="1"/>
  <c r="O263" i="1" s="1"/>
  <c r="N668" i="1"/>
  <c r="O668" i="1" s="1"/>
  <c r="N305" i="1"/>
  <c r="O305" i="1" s="1"/>
  <c r="N604" i="1"/>
  <c r="O604" i="1" s="1"/>
  <c r="N648" i="1"/>
  <c r="O648" i="1" s="1"/>
  <c r="N319" i="1"/>
  <c r="O319" i="1" s="1"/>
  <c r="N570" i="1"/>
  <c r="O570" i="1" s="1"/>
  <c r="N262" i="1"/>
  <c r="O262" i="1" s="1"/>
  <c r="N565" i="1"/>
  <c r="O565" i="1" s="1"/>
  <c r="N197" i="1"/>
  <c r="O197" i="1" s="1"/>
  <c r="N445" i="1"/>
  <c r="O445" i="1" s="1"/>
  <c r="N52" i="1"/>
  <c r="O52" i="1" s="1"/>
  <c r="N395" i="1"/>
  <c r="O395" i="1" s="1"/>
  <c r="N652" i="1"/>
  <c r="O652" i="1" s="1"/>
  <c r="N398" i="1"/>
  <c r="O398" i="1" s="1"/>
  <c r="N378" i="1"/>
  <c r="O378" i="1" s="1"/>
  <c r="N559" i="1"/>
  <c r="O559" i="1" s="1"/>
  <c r="N527" i="1"/>
  <c r="O527" i="1" s="1"/>
  <c r="N641" i="1"/>
  <c r="O641" i="1" s="1"/>
  <c r="N622" i="1"/>
  <c r="O622" i="1" s="1"/>
  <c r="N310" i="1"/>
  <c r="O310" i="1" s="1"/>
  <c r="N669" i="1"/>
  <c r="O669" i="1" s="1"/>
  <c r="N436" i="1"/>
  <c r="O436" i="1" s="1"/>
  <c r="N602" i="1"/>
  <c r="O602" i="1" s="1"/>
  <c r="N506" i="1"/>
  <c r="O506" i="1" s="1"/>
  <c r="N444" i="1"/>
  <c r="O444" i="1" s="1"/>
  <c r="N427" i="1"/>
  <c r="O427" i="1" s="1"/>
  <c r="N338" i="1"/>
  <c r="O338" i="1" s="1"/>
  <c r="N647" i="1"/>
  <c r="O647" i="1" s="1"/>
  <c r="N530" i="1"/>
  <c r="O530" i="1" s="1"/>
  <c r="N486" i="1"/>
  <c r="O486" i="1" s="1"/>
  <c r="N71" i="1"/>
  <c r="O71" i="1" s="1"/>
  <c r="N434" i="1"/>
  <c r="O434" i="1" s="1"/>
  <c r="N421" i="1"/>
  <c r="O421" i="1" s="1"/>
  <c r="N536" i="1"/>
  <c r="O536" i="1" s="1"/>
  <c r="N259" i="1"/>
  <c r="O259" i="1" s="1"/>
  <c r="N400" i="1"/>
  <c r="O400" i="1" s="1"/>
  <c r="N476" i="1"/>
  <c r="O476" i="1" s="1"/>
  <c r="N670" i="1"/>
  <c r="O670" i="1" s="1"/>
  <c r="N145" i="1"/>
  <c r="O145" i="1" s="1"/>
  <c r="N651" i="1"/>
  <c r="O651" i="1" s="1"/>
  <c r="N495" i="1"/>
  <c r="O495" i="1" s="1"/>
  <c r="N577" i="1"/>
  <c r="O577" i="1" s="1"/>
  <c r="N556" i="1"/>
  <c r="O556" i="1" s="1"/>
  <c r="N484" i="1"/>
  <c r="O484" i="1" s="1"/>
  <c r="N603" i="1"/>
  <c r="O603" i="1" s="1"/>
  <c r="N650" i="1"/>
  <c r="O650" i="1" s="1"/>
  <c r="N481" i="1"/>
  <c r="O481" i="1" s="1"/>
  <c r="N662" i="1"/>
  <c r="O662" i="1" s="1"/>
  <c r="N439" i="1"/>
  <c r="O439" i="1" s="1"/>
  <c r="N440" i="1"/>
  <c r="O440" i="1" s="1"/>
  <c r="N483" i="1"/>
  <c r="O483" i="1" s="1"/>
  <c r="N572" i="1"/>
  <c r="O572" i="1" s="1"/>
  <c r="N519" i="1"/>
  <c r="O519" i="1" s="1"/>
  <c r="N532" i="1"/>
  <c r="O532" i="1" s="1"/>
  <c r="N613" i="1"/>
  <c r="O613" i="1" s="1"/>
  <c r="N553" i="1"/>
  <c r="O553" i="1" s="1"/>
  <c r="N502" i="1"/>
  <c r="O502" i="1" s="1"/>
  <c r="N450" i="1"/>
  <c r="O450" i="1" s="1"/>
  <c r="N468" i="1"/>
  <c r="O468" i="1" s="1"/>
  <c r="N507" i="1"/>
  <c r="O507" i="1" s="1"/>
  <c r="N543" i="1"/>
  <c r="O543" i="1" s="1"/>
  <c r="N642" i="1"/>
  <c r="O642" i="1" s="1"/>
  <c r="N460" i="1"/>
  <c r="O460" i="1" s="1"/>
  <c r="N654" i="1"/>
  <c r="O654" i="1" s="1"/>
  <c r="N655" i="1"/>
  <c r="O655" i="1" s="1"/>
  <c r="N617" i="1"/>
  <c r="O617" i="1" s="1"/>
  <c r="N411" i="1"/>
  <c r="O411" i="1" s="1"/>
  <c r="N426" i="1"/>
  <c r="O426" i="1" s="1"/>
  <c r="N657" i="1"/>
  <c r="O657" i="1" s="1"/>
  <c r="N569" i="1"/>
  <c r="O569" i="1" s="1"/>
  <c r="N457" i="1"/>
  <c r="O457" i="1" s="1"/>
  <c r="N606" i="1"/>
  <c r="O606" i="1" s="1"/>
  <c r="N541" i="1"/>
  <c r="O541" i="1" s="1"/>
  <c r="N671" i="1"/>
  <c r="O671" i="1" s="1"/>
  <c r="N454" i="1"/>
  <c r="O454" i="1" s="1"/>
  <c r="N590" i="1"/>
  <c r="O590" i="1" s="1"/>
  <c r="N584" i="1"/>
  <c r="O584" i="1" s="1"/>
  <c r="N229" i="1"/>
  <c r="O229" i="1" s="1"/>
  <c r="N672" i="1"/>
  <c r="O672" i="1" s="1"/>
  <c r="N392" i="1"/>
  <c r="O392" i="1" s="1"/>
  <c r="N505" i="1"/>
  <c r="O505" i="1" s="1"/>
  <c r="N646" i="1"/>
  <c r="O646" i="1" s="1"/>
  <c r="N574" i="1"/>
  <c r="O574" i="1" s="1"/>
  <c r="N379" i="1"/>
  <c r="O379" i="1" s="1"/>
  <c r="N479" i="1"/>
  <c r="O479" i="1" s="1"/>
  <c r="N609" i="1"/>
  <c r="O609" i="1" s="1"/>
  <c r="N571" i="1"/>
  <c r="O571" i="1" s="1"/>
  <c r="N673" i="1"/>
  <c r="O673" i="1" s="1"/>
  <c r="N568" i="1"/>
  <c r="O568" i="1" s="1"/>
  <c r="N512" i="1"/>
  <c r="O512" i="1" s="1"/>
  <c r="N523" i="1"/>
  <c r="O523" i="1" s="1"/>
  <c r="N515" i="1"/>
  <c r="O515" i="1" s="1"/>
  <c r="N552" i="1"/>
  <c r="O552" i="1" s="1"/>
  <c r="N240" i="1"/>
  <c r="O240" i="1" s="1"/>
  <c r="N356" i="1"/>
  <c r="O356" i="1" s="1"/>
  <c r="N463" i="1"/>
  <c r="O463" i="1" s="1"/>
  <c r="N637" i="1"/>
  <c r="O637" i="1" s="1"/>
  <c r="N425" i="1"/>
  <c r="N656" i="1"/>
  <c r="O656" i="1" s="1"/>
  <c r="N674" i="1"/>
  <c r="O674" i="1" s="1"/>
  <c r="N675" i="1"/>
  <c r="O675" i="1" s="1"/>
  <c r="N363" i="1"/>
  <c r="O363" i="1" s="1"/>
  <c r="N635" i="1"/>
  <c r="O635" i="1" s="1"/>
  <c r="N341" i="1"/>
  <c r="O341" i="1" s="1"/>
  <c r="N500" i="1"/>
  <c r="O500" i="1" s="1"/>
  <c r="N592" i="1"/>
  <c r="O592" i="1" s="1"/>
  <c r="N593" i="1"/>
  <c r="O593" i="1" s="1"/>
  <c r="N492" i="1"/>
  <c r="O492" i="1" s="1"/>
  <c r="N631" i="1"/>
  <c r="O631" i="1" s="1"/>
  <c r="N147" i="1"/>
  <c r="O147" i="1" s="1"/>
  <c r="N529" i="1"/>
  <c r="O529" i="1" s="1"/>
  <c r="N381" i="1"/>
  <c r="O381" i="1" s="1"/>
  <c r="N478" i="1"/>
  <c r="O478" i="1" s="1"/>
  <c r="N446" i="1"/>
  <c r="O446" i="1" s="1"/>
  <c r="N616" i="1"/>
  <c r="O616" i="1" s="1"/>
  <c r="N615" i="1"/>
  <c r="O615" i="1" s="1"/>
  <c r="N542" i="1"/>
  <c r="O542" i="1" s="1"/>
  <c r="N516" i="1"/>
  <c r="O516" i="1" s="1"/>
  <c r="N578" i="1"/>
  <c r="O578" i="1" s="1"/>
  <c r="N583" i="1"/>
  <c r="O583" i="1" s="1"/>
  <c r="N576" i="1"/>
  <c r="O576" i="1" s="1"/>
  <c r="N643" i="1"/>
  <c r="O643" i="1" s="1"/>
  <c r="N619" i="1"/>
  <c r="O619" i="1" s="1"/>
  <c r="N464" i="1"/>
  <c r="O464" i="1" s="1"/>
  <c r="N239" i="1"/>
  <c r="O239" i="1" s="1"/>
  <c r="O22" i="4" l="1"/>
  <c r="O4" i="4"/>
  <c r="O131" i="4" s="1"/>
  <c r="N131" i="4"/>
  <c r="O4" i="3"/>
  <c r="O22" i="3"/>
  <c r="O221" i="2"/>
  <c r="O674" i="2" s="1"/>
  <c r="N424" i="1"/>
  <c r="N221" i="1"/>
  <c r="N4" i="1"/>
  <c r="N676" i="1" s="1"/>
  <c r="O425" i="1"/>
  <c r="O424" i="1" s="1"/>
  <c r="O223" i="1"/>
  <c r="O5" i="1"/>
  <c r="O4" i="1" s="1"/>
  <c r="O350" i="1"/>
  <c r="O126" i="3" l="1"/>
  <c r="O221" i="1"/>
  <c r="O676" i="1" s="1"/>
  <c r="S145" i="4"/>
  <c r="Q145" i="4"/>
  <c r="O145" i="4"/>
  <c r="S140" i="3" l="1"/>
  <c r="Q140" i="3"/>
  <c r="S688" i="2"/>
  <c r="Q688" i="2"/>
  <c r="O688" i="2"/>
  <c r="M688" i="2"/>
  <c r="S691" i="1"/>
  <c r="Q691" i="1"/>
  <c r="O691" i="1"/>
  <c r="M691" i="1"/>
  <c r="S146" i="4" l="1"/>
  <c r="Q146" i="4"/>
  <c r="Q141" i="3"/>
  <c r="S141" i="3"/>
  <c r="S689" i="2" l="1"/>
  <c r="Q689" i="2"/>
  <c r="O689" i="2"/>
  <c r="M689" i="2"/>
  <c r="S692" i="1"/>
  <c r="Q692" i="1"/>
  <c r="O692" i="1"/>
  <c r="M692" i="1"/>
  <c r="G162" i="3" l="1"/>
  <c r="S147" i="4"/>
  <c r="Q147" i="4"/>
  <c r="S151" i="4"/>
  <c r="Q151" i="4"/>
  <c r="O151" i="4"/>
  <c r="S150" i="4"/>
  <c r="Q150" i="4"/>
  <c r="O150" i="4"/>
  <c r="S149" i="4"/>
  <c r="Q149" i="4"/>
  <c r="O149" i="4"/>
  <c r="S148" i="4"/>
  <c r="Q148" i="4"/>
  <c r="O148" i="4"/>
  <c r="S142" i="3"/>
  <c r="Q142" i="3"/>
  <c r="O142" i="3"/>
  <c r="S146" i="3"/>
  <c r="Q146" i="3"/>
  <c r="O146" i="3"/>
  <c r="M146" i="3"/>
  <c r="S145" i="3"/>
  <c r="Q145" i="3"/>
  <c r="O145" i="3"/>
  <c r="M145" i="3"/>
  <c r="S144" i="3"/>
  <c r="Q144" i="3"/>
  <c r="O144" i="3"/>
  <c r="S143" i="3"/>
  <c r="Q143" i="3"/>
  <c r="O143" i="3"/>
  <c r="S690" i="2"/>
  <c r="Q690" i="2"/>
  <c r="O690" i="2"/>
  <c r="M690" i="2"/>
  <c r="S694" i="2"/>
  <c r="Q694" i="2"/>
  <c r="O694" i="2"/>
  <c r="M694" i="2"/>
  <c r="S693" i="2"/>
  <c r="Q693" i="2"/>
  <c r="O693" i="2"/>
  <c r="M693" i="2"/>
  <c r="S692" i="2"/>
  <c r="Q692" i="2"/>
  <c r="O692" i="2"/>
  <c r="M692" i="2"/>
  <c r="S691" i="2"/>
  <c r="Q691" i="2"/>
  <c r="O691" i="2"/>
  <c r="M691" i="2"/>
  <c r="S693" i="1"/>
  <c r="Q693" i="1"/>
  <c r="O693" i="1"/>
  <c r="M693" i="1"/>
  <c r="S697" i="1"/>
  <c r="Q697" i="1"/>
  <c r="O697" i="1"/>
  <c r="M697" i="1"/>
  <c r="S696" i="1"/>
  <c r="Q696" i="1"/>
  <c r="O696" i="1"/>
  <c r="M696" i="1"/>
  <c r="S695" i="1"/>
  <c r="Q695" i="1"/>
  <c r="O695" i="1"/>
  <c r="M695" i="1"/>
  <c r="S694" i="1"/>
  <c r="Q694" i="1"/>
  <c r="O694" i="1"/>
  <c r="M694" i="1"/>
</calcChain>
</file>

<file path=xl/sharedStrings.xml><?xml version="1.0" encoding="utf-8"?>
<sst xmlns="http://schemas.openxmlformats.org/spreadsheetml/2006/main" count="5030" uniqueCount="1869">
  <si>
    <t>Артикул</t>
  </si>
  <si>
    <t>Номенклатура</t>
  </si>
  <si>
    <t>A</t>
  </si>
  <si>
    <t>144-721-4300</t>
  </si>
  <si>
    <t>Стяжки нейлоновые белые 4x300 (компл. 100 шт.)</t>
  </si>
  <si>
    <t>274-014-061</t>
  </si>
  <si>
    <t>Редуктор для бит угловой 1/4 61мм</t>
  </si>
  <si>
    <t>274-014-140</t>
  </si>
  <si>
    <t>Редуктор для бит угловой 1/4 140мм</t>
  </si>
  <si>
    <t>278-100-4250</t>
  </si>
  <si>
    <t>Стяжки нейлоновые чёрные 4x250 (компл. 100 шт.)</t>
  </si>
  <si>
    <t>284-040-125</t>
  </si>
  <si>
    <t>Диск алмазный ультра тонкий турбо D125</t>
  </si>
  <si>
    <t>284-577-125</t>
  </si>
  <si>
    <t>Диск алмазный ультра тонкий сплошной D125 (1,2мм)</t>
  </si>
  <si>
    <t>294-530-19127</t>
  </si>
  <si>
    <t>Набор кольцевых пил по дереву 19-127мм</t>
  </si>
  <si>
    <t>294-530-64127</t>
  </si>
  <si>
    <t>Набор кольцевых пил по дереву 64-127мм</t>
  </si>
  <si>
    <t>330-002-038</t>
  </si>
  <si>
    <t>Набор бит №38</t>
  </si>
  <si>
    <t>351-140-008</t>
  </si>
  <si>
    <t>Скобы для степлера, тип 53 (оцинк.) 8мм (компл. 1000 штук)</t>
  </si>
  <si>
    <t>351-140-010</t>
  </si>
  <si>
    <t>Скобы для степлера, тип 53 (оцинк.) 10мм (компл. 1000 штук)</t>
  </si>
  <si>
    <t>351-140-012</t>
  </si>
  <si>
    <t>Скобы для степлера, тип 53 (оцинк.) 12мм (компл. 1000 штук)</t>
  </si>
  <si>
    <t>351-700-053</t>
  </si>
  <si>
    <t>Степлер стальной (гальванический), скобы 4-14 мм, тип 53</t>
  </si>
  <si>
    <t>401-055-075</t>
  </si>
  <si>
    <t>Щётка нейлоновая чашечная для УШМ 75мм М14</t>
  </si>
  <si>
    <t>402-010-10160</t>
  </si>
  <si>
    <t>Бур по бетону SDS+ (10x160)</t>
  </si>
  <si>
    <t>402-010-10210</t>
  </si>
  <si>
    <t>Бур по бетону SDS+ (10x210)</t>
  </si>
  <si>
    <t>402-010-10260</t>
  </si>
  <si>
    <t>Бур по бетону SDS+ (10x260)</t>
  </si>
  <si>
    <t>402-010-10310</t>
  </si>
  <si>
    <t>Бур по бетону SDS+ (10x310)</t>
  </si>
  <si>
    <t>402-010-10360</t>
  </si>
  <si>
    <t>Бур по бетону SDS+ (10x360)</t>
  </si>
  <si>
    <t>402-010-12160</t>
  </si>
  <si>
    <t>Бур по бетону SDS+ (12x160)</t>
  </si>
  <si>
    <t>402-010-12210</t>
  </si>
  <si>
    <t>Бур по бетону SDS+ (12x210)</t>
  </si>
  <si>
    <t>402-010-12310</t>
  </si>
  <si>
    <t>Бур по бетону SDS+ (12x310)</t>
  </si>
  <si>
    <t>402-010-16260</t>
  </si>
  <si>
    <t>Бур по бетону SDS+ (16x260)</t>
  </si>
  <si>
    <t>402-010-6110</t>
  </si>
  <si>
    <t>Бур по бетону SDS+ (6x110)</t>
  </si>
  <si>
    <t>402-010-6160</t>
  </si>
  <si>
    <t>Бур по бетону SDS+ (6x160)</t>
  </si>
  <si>
    <t>402-010-6210</t>
  </si>
  <si>
    <t>Бур по бетону SDS+ (6x210)</t>
  </si>
  <si>
    <t>402-010-6260</t>
  </si>
  <si>
    <t>Бур по бетону SDS+ (6x260)</t>
  </si>
  <si>
    <t>402-010-8160</t>
  </si>
  <si>
    <t>Бур по бетону SDS+ (8x160)</t>
  </si>
  <si>
    <t>411-010-1425020</t>
  </si>
  <si>
    <t>Зубило SDS+ (14x250x20)</t>
  </si>
  <si>
    <t>411-010-1425050</t>
  </si>
  <si>
    <t>Зубило SDS+ (14x250x50)</t>
  </si>
  <si>
    <t>411-010-1440020</t>
  </si>
  <si>
    <t>Зубило SDS+ (14x400x20)</t>
  </si>
  <si>
    <t>411-010-1440050</t>
  </si>
  <si>
    <t>Зубило SDS+ (14x400x50)</t>
  </si>
  <si>
    <t>422-010-100</t>
  </si>
  <si>
    <t>Коронка по бетону SDS+ D100</t>
  </si>
  <si>
    <t>422-010-55</t>
  </si>
  <si>
    <t>Коронка по бетону SDS+ D55</t>
  </si>
  <si>
    <t>422-010-68</t>
  </si>
  <si>
    <t>Коронка по бетону SDS+ D68</t>
  </si>
  <si>
    <t>425-010-18400</t>
  </si>
  <si>
    <t>Пика SDS MAX (18X400)</t>
  </si>
  <si>
    <t>427-010-14400</t>
  </si>
  <si>
    <t>Пика SDS+ (14X400)</t>
  </si>
  <si>
    <t>432-010-06</t>
  </si>
  <si>
    <t>Сверло по стеклу ц/х D6</t>
  </si>
  <si>
    <t>433-010-06</t>
  </si>
  <si>
    <t>Сверло по стеклу ш/х 4х резц. D6</t>
  </si>
  <si>
    <t>433-010-08</t>
  </si>
  <si>
    <t>Сверло по стеклу ш/х 4х резц. D8</t>
  </si>
  <si>
    <t>433-010-10</t>
  </si>
  <si>
    <t>Сверло по стеклу ш/х 4х резц. D10</t>
  </si>
  <si>
    <t>435-010-005</t>
  </si>
  <si>
    <t>Сверло по металлу HSS D5 (компл. 10 шт.)</t>
  </si>
  <si>
    <t>435-010-006</t>
  </si>
  <si>
    <t>Сверло по металлу HSS D6 (компл. 10 шт.)</t>
  </si>
  <si>
    <t>435-010-0075</t>
  </si>
  <si>
    <t>Сверло по металлу HSS D7,5 (компл. 10 шт.)</t>
  </si>
  <si>
    <t>435-010-008</t>
  </si>
  <si>
    <t>Сверло по металлу HSS D8 (компл. 10 шт.)</t>
  </si>
  <si>
    <t>435-010-010</t>
  </si>
  <si>
    <t>Сверло по металлу HSS D10 (компл. 5 шт.)</t>
  </si>
  <si>
    <t>435-010-012</t>
  </si>
  <si>
    <t>Сверло по металлу HSS D12 (компл. 5 шт.)</t>
  </si>
  <si>
    <t>435-010-015</t>
  </si>
  <si>
    <t>Сверло по металлу HSS D15 (компл. 5 шт.)</t>
  </si>
  <si>
    <t>435-777-05300</t>
  </si>
  <si>
    <t>Сверло по металлу длинное HSS L300 D5</t>
  </si>
  <si>
    <t>435-777-06300</t>
  </si>
  <si>
    <t>Сверло по металлу длинное HSS L300 D6</t>
  </si>
  <si>
    <t>435-777-08300</t>
  </si>
  <si>
    <t>Сверло по металлу длинное HSS L300 D8</t>
  </si>
  <si>
    <t>435-777-10300</t>
  </si>
  <si>
    <t>Сверло по металлу длинное HSS L300 D10</t>
  </si>
  <si>
    <t>435-777-14300</t>
  </si>
  <si>
    <t>Сверло по металлу длинное HSS L300 D14</t>
  </si>
  <si>
    <t>437-010-412</t>
  </si>
  <si>
    <t>Сверло ступенчатое (4х12)</t>
  </si>
  <si>
    <t>437-010-420</t>
  </si>
  <si>
    <t>Сверло ступенчатое (4х20)</t>
  </si>
  <si>
    <t>437-010-432</t>
  </si>
  <si>
    <t>Сверло ступенчатое (4х32)</t>
  </si>
  <si>
    <t>437-010-439</t>
  </si>
  <si>
    <t>Сверло ступенчатое (4х39)</t>
  </si>
  <si>
    <t>437-010-635</t>
  </si>
  <si>
    <t>Сверло ступенчатое (6х35)</t>
  </si>
  <si>
    <t>439-010-002</t>
  </si>
  <si>
    <t>Сверло по металлу (кобальт) D2 (компл. 10 шт.)</t>
  </si>
  <si>
    <t>439-010-0025</t>
  </si>
  <si>
    <t>Сверло по металлу (кобальт) D2,5 (компл. 10 шт.)</t>
  </si>
  <si>
    <t>439-010-003</t>
  </si>
  <si>
    <t>Сверло по металлу (кобальт) D3 (компл. 10 шт.)</t>
  </si>
  <si>
    <t>439-010-0032</t>
  </si>
  <si>
    <t>Сверло по металлу (кобальт) D3,2 (компл. 10 шт.)</t>
  </si>
  <si>
    <t>439-010-0035</t>
  </si>
  <si>
    <t>Сверло по металлу (кобальт) D3,5 (компл. 10 шт.)</t>
  </si>
  <si>
    <t>439-010-0038</t>
  </si>
  <si>
    <t>Сверло по металлу (кобальт) D3,8 (компл. 10 шт.)</t>
  </si>
  <si>
    <t>439-010-004</t>
  </si>
  <si>
    <t>Сверло по металлу (кобальт) D4 (компл. 10 шт.)</t>
  </si>
  <si>
    <t>439-010-0042</t>
  </si>
  <si>
    <t>Сверло по металлу (кобальт) D4,2 (компл. 10 шт.)</t>
  </si>
  <si>
    <t>439-010-0045</t>
  </si>
  <si>
    <t>Сверло по металлу (кобальт) D4,5 (компл. 10 шт.)</t>
  </si>
  <si>
    <t>439-010-0048</t>
  </si>
  <si>
    <t>Сверло по металлу (кобальт) D4,8 (компл. 10 шт.)</t>
  </si>
  <si>
    <t>439-010-005</t>
  </si>
  <si>
    <t>Сверло по металлу (кобальт) D5 (компл. 10 шт.)</t>
  </si>
  <si>
    <t>439-010-0055</t>
  </si>
  <si>
    <t>Сверло по металлу (кобальт) D5,5 (компл. 10 шт.)</t>
  </si>
  <si>
    <t>439-010-006</t>
  </si>
  <si>
    <t>Сверло по металлу (кобальт) D6 (компл. 10 шт.)</t>
  </si>
  <si>
    <t>439-010-0065</t>
  </si>
  <si>
    <t>Сверло по металлу (кобальт) D6,5 (компл. 10 шт.)</t>
  </si>
  <si>
    <t>439-010-007</t>
  </si>
  <si>
    <t>Сверло по металлу (кобальт) D7 (компл. 10 шт.)</t>
  </si>
  <si>
    <t>439-010-0075</t>
  </si>
  <si>
    <t>Сверло по металлу (кобальт) D7,5 (компл. 10 шт.)</t>
  </si>
  <si>
    <t>439-010-008</t>
  </si>
  <si>
    <t>Сверло по металлу (кобальт) D8 (компл. 10 шт.)</t>
  </si>
  <si>
    <t>439-010-009</t>
  </si>
  <si>
    <t>Сверло по металлу (кобальт) D9 (компл. 5 шт.)</t>
  </si>
  <si>
    <t>439-010-0095</t>
  </si>
  <si>
    <t>Сверло по металлу (кобальт) D9,5 (компл. 5 шт.)</t>
  </si>
  <si>
    <t>439-010-010</t>
  </si>
  <si>
    <t>Сверло по металлу (кобальт) D10 (компл. 5 шт.)</t>
  </si>
  <si>
    <t>439-010-0105</t>
  </si>
  <si>
    <t>Сверло по металлу (кобальт) D10,5 (компл. 5 шт.)</t>
  </si>
  <si>
    <t>439-010-011</t>
  </si>
  <si>
    <t>Сверло по металлу (кобальт) D11 (компл. 5 шт.)</t>
  </si>
  <si>
    <t>439-010-012</t>
  </si>
  <si>
    <t>Сверло по металлу (кобальт) D12 (компл. 5 шт.)</t>
  </si>
  <si>
    <t>453-814-038</t>
  </si>
  <si>
    <t>Набор бит PH2X70 (компл. 10 шт.)</t>
  </si>
  <si>
    <t>470-763-250</t>
  </si>
  <si>
    <t>Разводной ключ 250мм</t>
  </si>
  <si>
    <t>471-070-1252223</t>
  </si>
  <si>
    <t>Диск пильный по дереву цепной 125х22.23</t>
  </si>
  <si>
    <t>477-208-180</t>
  </si>
  <si>
    <t>Пассатижи 180мм</t>
  </si>
  <si>
    <t>478-125-536</t>
  </si>
  <si>
    <t>Круг полировальный лепестковый торцевой из натурального войлока 125х22,2 (компл. 10 шт.)</t>
  </si>
  <si>
    <t>484-649-006</t>
  </si>
  <si>
    <t>Стяжной ремень 6m</t>
  </si>
  <si>
    <t>484-649-008</t>
  </si>
  <si>
    <t>Стяжной ремень 8m</t>
  </si>
  <si>
    <t>484-649-010</t>
  </si>
  <si>
    <t>Стяжной ремень 10m</t>
  </si>
  <si>
    <t>484-649-012</t>
  </si>
  <si>
    <t>Стяжной ремень 12m</t>
  </si>
  <si>
    <t>499-050-040</t>
  </si>
  <si>
    <t>Круг шлифовальный лепестковый торцевой ЦИРКОНИЕВЫЙ D125 Р40 (компл. 10 шт.)</t>
  </si>
  <si>
    <t>505-011-300</t>
  </si>
  <si>
    <t>Ножовка по металлу 300мм</t>
  </si>
  <si>
    <t>517-666-030</t>
  </si>
  <si>
    <t>Леска для триммера "звезда" YK-666-3-15 (3mm, 15m)</t>
  </si>
  <si>
    <t>517-777-027</t>
  </si>
  <si>
    <t>Леска для триммера "витой квадрат" YK-777-2.7-15 (2,7mm, 15m)</t>
  </si>
  <si>
    <t>517-888-030</t>
  </si>
  <si>
    <t>Леска для триммера "круг. с сердечником" YK-888-3-15 (3mm, 15m)</t>
  </si>
  <si>
    <t>520-010-12505</t>
  </si>
  <si>
    <t>Насадка для дрели и УШМ с липучкой (125x5)</t>
  </si>
  <si>
    <t>520-010-12512</t>
  </si>
  <si>
    <t>Насадка для дрели и УШМ с липучкой (125x12)</t>
  </si>
  <si>
    <t>533-010-0316</t>
  </si>
  <si>
    <t>Рулетка измерительная магнитная 3м*16мм</t>
  </si>
  <si>
    <t>533-010-0519</t>
  </si>
  <si>
    <t>Рулетка измерительная магнитная 5м*19мм</t>
  </si>
  <si>
    <t>533-010-0525</t>
  </si>
  <si>
    <t>Рулетка измерительная магнитная 5м*25мм</t>
  </si>
  <si>
    <t>533-010-07525</t>
  </si>
  <si>
    <t>Рулетка измерительная магнитная 7,5м*25мм</t>
  </si>
  <si>
    <t>533-010-1025</t>
  </si>
  <si>
    <t>Рулетка измерительная магнитная 10м*25мм</t>
  </si>
  <si>
    <t>548-040-250</t>
  </si>
  <si>
    <t>Клещи переставные 250мм</t>
  </si>
  <si>
    <t>555-500-707</t>
  </si>
  <si>
    <t>Горелка газовая с пьезоподжигом Model K</t>
  </si>
  <si>
    <t>555-800-002</t>
  </si>
  <si>
    <t>Горелка газовая с пьезоподжигом Model F</t>
  </si>
  <si>
    <t>570-172-030</t>
  </si>
  <si>
    <t>Шнур разметочный с мелом и уровнем 30м</t>
  </si>
  <si>
    <t>572-240-100</t>
  </si>
  <si>
    <t>Гладилка 240х100мм</t>
  </si>
  <si>
    <t>578-125-0008</t>
  </si>
  <si>
    <t>Круг отрезной по металлу 125×0,8×22mm (компл. 25 шт.)</t>
  </si>
  <si>
    <t>578-125-0010</t>
  </si>
  <si>
    <t>Круг отрезной по металлу 125х1х22,23мм (компл. 25 шт.)</t>
  </si>
  <si>
    <t>578-125-0012</t>
  </si>
  <si>
    <t>Круг отрезной по металлу 125х1,2х22,23мм (компл. 25 шт.)</t>
  </si>
  <si>
    <t>578-125-0016</t>
  </si>
  <si>
    <t>Круг отрезной по металлу 125х1,6х22,23мм (компл. 25 шт.)</t>
  </si>
  <si>
    <t>578-150-0010</t>
  </si>
  <si>
    <t>Круг отрезной по металлу 150×1×22,2mm (компл. 25 шт.)</t>
  </si>
  <si>
    <t>578-150-0012</t>
  </si>
  <si>
    <t>Круг отрезной по металлу 150×1,2×22mm (компл. 25 шт.)</t>
  </si>
  <si>
    <t>578-150-0016</t>
  </si>
  <si>
    <t>Круг отрезной по металлу 150×1,6×22mm (компл. 25 шт.)</t>
  </si>
  <si>
    <t>578-230-0016</t>
  </si>
  <si>
    <t>Круг отрезной по металлу 230х1,6х22,23мм (компл. 25 шт.)</t>
  </si>
  <si>
    <t>578-230-0018</t>
  </si>
  <si>
    <t>Круг отрезной по металлу 230х1,8х22,23мм (компл. 25 шт.)</t>
  </si>
  <si>
    <t>578-230-0020</t>
  </si>
  <si>
    <t>Круг отрезной по металлу 230х2х22,23мм (компл. 25 шт.)</t>
  </si>
  <si>
    <t>578-230-0025</t>
  </si>
  <si>
    <t>Круг отрезной по металлу 230х2,5х22,23мм (компл. 25 шт.)</t>
  </si>
  <si>
    <t>634-708-068</t>
  </si>
  <si>
    <t>Коронка алмазная по бетону 68мм (безударная)</t>
  </si>
  <si>
    <t>634-708-072</t>
  </si>
  <si>
    <t>Коронка алмазная по бетону 72мм (безударная)</t>
  </si>
  <si>
    <t>634-708-082</t>
  </si>
  <si>
    <t>Коронка алмазная по бетону 82мм (безударная)</t>
  </si>
  <si>
    <t>640-010-125</t>
  </si>
  <si>
    <t>Диск алмазный сегментный D125</t>
  </si>
  <si>
    <t>640-010-150</t>
  </si>
  <si>
    <t>Диск алмазный сегментный D150</t>
  </si>
  <si>
    <t>640-010-230</t>
  </si>
  <si>
    <t>Диск алмазный сегментный D230</t>
  </si>
  <si>
    <t>641-010-125</t>
  </si>
  <si>
    <t>Диск алмазный турбо D125</t>
  </si>
  <si>
    <t>641-010-230</t>
  </si>
  <si>
    <t>Диск алмазный турбо D230</t>
  </si>
  <si>
    <t>642-010-125</t>
  </si>
  <si>
    <t>Диск алмазный сплошной D125</t>
  </si>
  <si>
    <t>661-010-125</t>
  </si>
  <si>
    <t>Чаша алмазная сегментная D125</t>
  </si>
  <si>
    <t>661-010-230</t>
  </si>
  <si>
    <t>Чаша алмазная сегментная D230</t>
  </si>
  <si>
    <t>662-010-125</t>
  </si>
  <si>
    <t>Чаша алмазная турбо D125</t>
  </si>
  <si>
    <t>662-010-230</t>
  </si>
  <si>
    <t>Чаша алмазная турбо D230</t>
  </si>
  <si>
    <t>663-070-125</t>
  </si>
  <si>
    <t>Чаша алмазная бумеранг D125</t>
  </si>
  <si>
    <t>687-010-125040</t>
  </si>
  <si>
    <t>Шлифовальный круг на липучке D125 Р40 (компл. 100 шт.)</t>
  </si>
  <si>
    <t>687-010-125060</t>
  </si>
  <si>
    <t>Шлифовальный круг на липучке D125 Р60 (компл. 100 шт.)</t>
  </si>
  <si>
    <t>687-010-125080</t>
  </si>
  <si>
    <t>Шлифовальный круг на липучке D125 Р80 (компл. 100 шт.)</t>
  </si>
  <si>
    <t>687-010-125100</t>
  </si>
  <si>
    <t>Шлифовальный круг на липучке D125 Р100 (компл. 100 шт.)</t>
  </si>
  <si>
    <t>687-010-125120</t>
  </si>
  <si>
    <t>Шлифовальный круг на липучке D125 Р120 (компл. 100 шт.)</t>
  </si>
  <si>
    <t>688-010-024</t>
  </si>
  <si>
    <t>Круг шлифовальный лепестковый торцевой D125 Р24 (компл. 10 шт.)</t>
  </si>
  <si>
    <t>688-010-036</t>
  </si>
  <si>
    <t>Круг шлифовальный лепестковый торцевой D125 Р36 (компл. 10 шт.)</t>
  </si>
  <si>
    <t>688-010-040</t>
  </si>
  <si>
    <t>Круг шлифовальный лепестковый торцевой D125 Р40 (компл. 10 шт.)</t>
  </si>
  <si>
    <t>688-010-060</t>
  </si>
  <si>
    <t>Круг шлифовальный лепестковый торцевой D125 Р60 (компл. 10 шт.)</t>
  </si>
  <si>
    <t>688-010-080</t>
  </si>
  <si>
    <t>Круг шлифовальный лепестковый торцевой D125 Р80 (компл. 10 шт.)</t>
  </si>
  <si>
    <t>688-010-100</t>
  </si>
  <si>
    <t>Круг шлифовальный лепестковый торцевой D125 Р100 (компл. 10 шт.)</t>
  </si>
  <si>
    <t>688-010-120</t>
  </si>
  <si>
    <t>Круг шлифовальный лепестковый торцевой D125 Р120 (компл. 10 шт.)</t>
  </si>
  <si>
    <t>688-010-150</t>
  </si>
  <si>
    <t>Круг шлифовальный лепестковый торцевой D125 Р150 (компл. 10 шт.)</t>
  </si>
  <si>
    <t>688-010-240</t>
  </si>
  <si>
    <t>Круг шлифовальный лепестковый торцевой D125 Р240 (компл. 10 шт.)</t>
  </si>
  <si>
    <t>688-010-320</t>
  </si>
  <si>
    <t>Круг шлифовальный лепестковый торцевой D125 Р320 (компл. 10 шт.)</t>
  </si>
  <si>
    <t>690-125-038</t>
  </si>
  <si>
    <t>Круг зачистной фибровый "Коралл" 125х13х38х22,23 (компл. 5 шт.)</t>
  </si>
  <si>
    <t>691-505-1000</t>
  </si>
  <si>
    <t>Уровень магнитный строительный (алюминиевый) 1000мм</t>
  </si>
  <si>
    <t>691-505-400</t>
  </si>
  <si>
    <t>Уровень магнитный строительный (алюминиевый) 400мм</t>
  </si>
  <si>
    <t>691-505-600</t>
  </si>
  <si>
    <t>Уровень магнитный строительный (алюминиевый) 600мм</t>
  </si>
  <si>
    <t>695-704-337</t>
  </si>
  <si>
    <t>Набор коронок по керамической плитке (4 предм.: 33,53,67,73)</t>
  </si>
  <si>
    <t>697-010-125242223</t>
  </si>
  <si>
    <t>Диск пильный по дереву (125x24Тx22,23)</t>
  </si>
  <si>
    <t>697-010-125362223</t>
  </si>
  <si>
    <t>Диск пильный по дереву (125x36Тx22,23)</t>
  </si>
  <si>
    <t>697-010-125482223</t>
  </si>
  <si>
    <t>Диск пильный по дереву (125x48Тx22,23)</t>
  </si>
  <si>
    <t>697-010-190243020</t>
  </si>
  <si>
    <t>Диск пильный по дереву (190x24Тx30-20)</t>
  </si>
  <si>
    <t>697-010-190363020</t>
  </si>
  <si>
    <t>Диск пильный по дереву (190x36Тx30-20)</t>
  </si>
  <si>
    <t>697-125-700</t>
  </si>
  <si>
    <t>Щетка плоская металлическая для УШМ крученая 125х22х22,2</t>
  </si>
  <si>
    <t>699-070-250</t>
  </si>
  <si>
    <t>Щётка по металлу гнутая с пласт. ручкой 250мм</t>
  </si>
  <si>
    <t>701-007-1122</t>
  </si>
  <si>
    <t>Полотно для сабельной пилы S1122BF (компл. 2 шт.)</t>
  </si>
  <si>
    <t>705-010-100</t>
  </si>
  <si>
    <t>Лезвия для ножа 18мм (компл. 10 шт.)</t>
  </si>
  <si>
    <t>705-010-102</t>
  </si>
  <si>
    <t>Лезвия для ножа 25мм (компл. 10 шт.)</t>
  </si>
  <si>
    <t>705-010-223</t>
  </si>
  <si>
    <t>Нож строительный 18мм</t>
  </si>
  <si>
    <t>705-010-227</t>
  </si>
  <si>
    <t>Нож строительный 25мм НК</t>
  </si>
  <si>
    <t>705-010-240</t>
  </si>
  <si>
    <t>Нож строительный металлический 18мм</t>
  </si>
  <si>
    <t>705-010-763</t>
  </si>
  <si>
    <t>Нож строительный 25мм</t>
  </si>
  <si>
    <t>707-654-052</t>
  </si>
  <si>
    <t>Маркер-краска белый (компл. 12 шт.)</t>
  </si>
  <si>
    <t>707-654-054</t>
  </si>
  <si>
    <t>Маркер-краска черный (компл. 12 шт.)</t>
  </si>
  <si>
    <t>707-654-060</t>
  </si>
  <si>
    <t>Маркер-краска красный (компл. 12 шт.)</t>
  </si>
  <si>
    <t>709-080-772</t>
  </si>
  <si>
    <t>Крюк для вязки арматуры</t>
  </si>
  <si>
    <t>730-462-180</t>
  </si>
  <si>
    <t>Карандаш строительный 180мм (компл. 10 шт.)</t>
  </si>
  <si>
    <t>754-472-320</t>
  </si>
  <si>
    <t>Быстрозажимная гайка для УШМ М14</t>
  </si>
  <si>
    <t>794-650-125</t>
  </si>
  <si>
    <t>Круг зачистной по металлу 125х6х22 (компл. 5 шт.)</t>
  </si>
  <si>
    <t>802-015-300</t>
  </si>
  <si>
    <t>Ручка телескопическая 1,5-3м</t>
  </si>
  <si>
    <t>804-500-140</t>
  </si>
  <si>
    <t>Пистолет для монтажной пены "Headrock" F1</t>
  </si>
  <si>
    <t>804-500-142</t>
  </si>
  <si>
    <t>Пистолет для монтажной пены "Headrock" F2</t>
  </si>
  <si>
    <t>804-500-477</t>
  </si>
  <si>
    <t>Пистолет для монтажной пены "HeadRock" F3 (тефлон)</t>
  </si>
  <si>
    <t>804-502-224</t>
  </si>
  <si>
    <t>Пистолет для герметика "Headrock" SK1</t>
  </si>
  <si>
    <t>804-502-233</t>
  </si>
  <si>
    <t>Пистолет для герметика "Headrock" S1</t>
  </si>
  <si>
    <t>804-502-350</t>
  </si>
  <si>
    <t>Пистолет для герметика "Headrock" S600</t>
  </si>
  <si>
    <t>804-502-447</t>
  </si>
  <si>
    <t>Пистолет для герметика "Headrock" S3</t>
  </si>
  <si>
    <t>822-808-04055</t>
  </si>
  <si>
    <t>Коронка по стеклу с центрирующим сверлом D40</t>
  </si>
  <si>
    <t>822-808-06855</t>
  </si>
  <si>
    <t>Коронка по стеклу с центрирующим сверлом D68</t>
  </si>
  <si>
    <t>822-808-07055</t>
  </si>
  <si>
    <t>Коронка по стеклу с центрирующим сверлом D70</t>
  </si>
  <si>
    <t>822-808-07555</t>
  </si>
  <si>
    <t>Коронка по стеклу с центрирующим сверлом D75</t>
  </si>
  <si>
    <t>829-780-200</t>
  </si>
  <si>
    <t>Быстрозажимная струбцина 200мм</t>
  </si>
  <si>
    <t>829-780-250</t>
  </si>
  <si>
    <t>Быстрозажимная струбцина 250мм</t>
  </si>
  <si>
    <t>829-780-300</t>
  </si>
  <si>
    <t>Быстрозажимная струбцина 300мм</t>
  </si>
  <si>
    <t>829-780-450</t>
  </si>
  <si>
    <t>Быстрозажимная струбцина 450мм</t>
  </si>
  <si>
    <t>870-222-100</t>
  </si>
  <si>
    <t>Щётка чашечная витая латунированная для УШМ 100мм М14</t>
  </si>
  <si>
    <t>880-563-001</t>
  </si>
  <si>
    <t>Пистолет для монтажной пены "Headrock" FR-1</t>
  </si>
  <si>
    <t>880-563-003</t>
  </si>
  <si>
    <t>Пистолет для монтажной пены "Headrock" FR-3</t>
  </si>
  <si>
    <t>907-511-250</t>
  </si>
  <si>
    <t>Шпатель фасадный 250мм</t>
  </si>
  <si>
    <t>907-511-350</t>
  </si>
  <si>
    <t>Шпатель фасадный 350мм</t>
  </si>
  <si>
    <t>907-511-475</t>
  </si>
  <si>
    <t>Шпатель фасадный 475мм</t>
  </si>
  <si>
    <t>907-511-600</t>
  </si>
  <si>
    <t>Шпатель фасадный 600мм</t>
  </si>
  <si>
    <t>913-004-350</t>
  </si>
  <si>
    <t>Ножовка по дереву 350мм</t>
  </si>
  <si>
    <t>913-004-400</t>
  </si>
  <si>
    <t>Ножовка по дереву 400мм</t>
  </si>
  <si>
    <t>913-004-500</t>
  </si>
  <si>
    <t>Ножовка по дереву 500мм</t>
  </si>
  <si>
    <t>913-004-550</t>
  </si>
  <si>
    <t>Ножовка по дереву 550мм</t>
  </si>
  <si>
    <t>980-111-065</t>
  </si>
  <si>
    <t>Щётка чашечная кручёная проволка стальная для УШМ 65мм М14</t>
  </si>
  <si>
    <t>980-111-125</t>
  </si>
  <si>
    <t>Щётка чашечная кручёная проволка стальная для УШМ 125мм М14</t>
  </si>
  <si>
    <t>B</t>
  </si>
  <si>
    <t>140-649-180</t>
  </si>
  <si>
    <t>Губка абразивная шлифовальная 100х70х45х25мм P180</t>
  </si>
  <si>
    <t>144-721-3150</t>
  </si>
  <si>
    <t>Стяжки нейлоновые белые 3х150 (компл. 100 шт.)</t>
  </si>
  <si>
    <t>144-721-3300</t>
  </si>
  <si>
    <t>Стяжки нейлоновые белые 3х300 (компл. 100 шт.)</t>
  </si>
  <si>
    <t>144-721-4150</t>
  </si>
  <si>
    <t>Стяжки нейлоновые белые 4x150 (компл. 100 шт.)</t>
  </si>
  <si>
    <t>144-721-4200</t>
  </si>
  <si>
    <t>Стяжки нейлоновые белые 4x200 (компл. 100 шт.)</t>
  </si>
  <si>
    <t>144-721-4250</t>
  </si>
  <si>
    <t>Стяжки нейлоновые белые 4x250 (компл. 100 шт.)</t>
  </si>
  <si>
    <t>144-721-5200</t>
  </si>
  <si>
    <t>Стяжки нейлоновые белые 5x200 (компл. 100 шт.)</t>
  </si>
  <si>
    <t>184-508-200</t>
  </si>
  <si>
    <t>Набор имбусовых ключей TORX "малый" (9 предм.)</t>
  </si>
  <si>
    <t>184-508-500</t>
  </si>
  <si>
    <t>Набор имбусовых ключей TORX "средний" (9 предм.)</t>
  </si>
  <si>
    <t>184-508-800</t>
  </si>
  <si>
    <t>Набор имбусовых ключей TORX "большой" (9 предм.)</t>
  </si>
  <si>
    <t>212-125-724</t>
  </si>
  <si>
    <t>Диск полировальный из натурального войлока на липучке 125х9мм</t>
  </si>
  <si>
    <t>224-063-055</t>
  </si>
  <si>
    <t>Набор борфрез по дереву D.хвост.- 6.3мм L-55мм (5 шт.)</t>
  </si>
  <si>
    <t>262-500-150</t>
  </si>
  <si>
    <t>Штангенциркуль пластиковый 150мм</t>
  </si>
  <si>
    <t>268-306-310</t>
  </si>
  <si>
    <t>Патрон для дрели 1/2 БЗП 1.5-13мм + ключ + адаптер SDS+</t>
  </si>
  <si>
    <t>278-100-3150</t>
  </si>
  <si>
    <t>Стяжки нейлоновые чёрные 3х150 (компл. 100 шт.)</t>
  </si>
  <si>
    <t>278-100-3200</t>
  </si>
  <si>
    <t>Стяжки нейлоновые чёрные 3х200 (компл. 100 шт.)</t>
  </si>
  <si>
    <t>278-100-3300</t>
  </si>
  <si>
    <t>Стяжки нейлоновые чёрные 3х300 (компл. 100 шт.)</t>
  </si>
  <si>
    <t>278-100-4200</t>
  </si>
  <si>
    <t>Стяжки нейлоновые чёрные 4x200 (компл. 100 шт.)</t>
  </si>
  <si>
    <t>278-100-4300</t>
  </si>
  <si>
    <t>Стяжки нейлоновые чёрные 4x300 (компл. 100 шт.)</t>
  </si>
  <si>
    <t>278-100-5200</t>
  </si>
  <si>
    <t>Стяжки нейлоновые чёрные 5x200 (компл. 100 шт.)</t>
  </si>
  <si>
    <t>294-530-19067</t>
  </si>
  <si>
    <t>Набор кольцевых пил по дереву 19-67мм</t>
  </si>
  <si>
    <t>305-620-200</t>
  </si>
  <si>
    <t>Набор имбусовых ключей HEX "малый" (9 предм.)</t>
  </si>
  <si>
    <t>305-620-500</t>
  </si>
  <si>
    <t>Набор имбусовых ключей HEX "средний" (9 предм.)</t>
  </si>
  <si>
    <t>305-620-800</t>
  </si>
  <si>
    <t>Набор имбусовых ключей HEX "большой" (9 предм.)</t>
  </si>
  <si>
    <t>330-002-029</t>
  </si>
  <si>
    <t>Набор бит №29</t>
  </si>
  <si>
    <t>351-140-014</t>
  </si>
  <si>
    <t>Скобы для степлера, тип 53 (оцинк.) 14мм (компл. 1000 штук)</t>
  </si>
  <si>
    <t>371-040-16004820</t>
  </si>
  <si>
    <t>Диск пильный по цветным металлам и пластику 160х48х20</t>
  </si>
  <si>
    <t>371-040-16505620</t>
  </si>
  <si>
    <t>Диск пильный по цветным металлам и пластику 165х56х20</t>
  </si>
  <si>
    <t>371-040-18006020</t>
  </si>
  <si>
    <t>Диск пильный по цветным металлам и пластику 180х60х20</t>
  </si>
  <si>
    <t>371-040-19008030</t>
  </si>
  <si>
    <t>Диск пильный по цветным металлам и пластику 190х80х30</t>
  </si>
  <si>
    <t>371-040-21008032</t>
  </si>
  <si>
    <t>Диск пильный по цветным металлам и пластику 210х80х32</t>
  </si>
  <si>
    <t>371-040-23008030</t>
  </si>
  <si>
    <t>Диск пильный по цветным металлам и пластику 230х80х30</t>
  </si>
  <si>
    <t>371-040-25510030</t>
  </si>
  <si>
    <t>Диск пильный по цветным металлам и пластику 255х100х30</t>
  </si>
  <si>
    <t>371-040-30512030</t>
  </si>
  <si>
    <t>Диск пильный по цветным металлам и пластику 305х120х30</t>
  </si>
  <si>
    <t>401-055-100</t>
  </si>
  <si>
    <t>Щётка нейлоновая чашечная для УШМ 100мм М14</t>
  </si>
  <si>
    <t>402-010-10110</t>
  </si>
  <si>
    <t>Бур по бетону SDS+ (10x110)</t>
  </si>
  <si>
    <t>402-010-10410</t>
  </si>
  <si>
    <t>Бур по бетону SDS+ (10x410)</t>
  </si>
  <si>
    <t>402-010-12260</t>
  </si>
  <si>
    <t>Бур по бетону SDS+ (12x260)</t>
  </si>
  <si>
    <t>402-010-12460</t>
  </si>
  <si>
    <t>Бур по бетону SDS+ (12x460)</t>
  </si>
  <si>
    <t>402-010-12600</t>
  </si>
  <si>
    <t>Бур по бетону SDS+ (12x600)</t>
  </si>
  <si>
    <t>402-010-14160</t>
  </si>
  <si>
    <t>Бур по бетону SDS+ (14x160)</t>
  </si>
  <si>
    <t>402-010-14210</t>
  </si>
  <si>
    <t>Бур по бетону SDS+ (14x210)</t>
  </si>
  <si>
    <t>402-010-14260</t>
  </si>
  <si>
    <t>Бур по бетону SDS+ (14x260)</t>
  </si>
  <si>
    <t>402-010-14310</t>
  </si>
  <si>
    <t>Бур по бетону SDS+ (14x310)</t>
  </si>
  <si>
    <t>402-010-14410</t>
  </si>
  <si>
    <t>Бур по бетону SDS+ (14x410)</t>
  </si>
  <si>
    <t>402-010-14600</t>
  </si>
  <si>
    <t>Бур по бетону SDS+ (14x600)</t>
  </si>
  <si>
    <t>402-010-16160</t>
  </si>
  <si>
    <t>Бур по бетону SDS+ (16x160)</t>
  </si>
  <si>
    <t>402-010-16210</t>
  </si>
  <si>
    <t>Бур по бетону SDS+ (16x210)</t>
  </si>
  <si>
    <t>402-010-16310</t>
  </si>
  <si>
    <t>Бур по бетону SDS+ (16x310)</t>
  </si>
  <si>
    <t>402-010-16600</t>
  </si>
  <si>
    <t>Бур по бетону SDS+ (16x600)</t>
  </si>
  <si>
    <t>402-010-181000</t>
  </si>
  <si>
    <t>Бур по бетону SDS+ (18Х1000)</t>
  </si>
  <si>
    <t>402-010-18460</t>
  </si>
  <si>
    <t>Бур по бетону SDS+ (18Х460)</t>
  </si>
  <si>
    <t>402-010-18600</t>
  </si>
  <si>
    <t>Бур по бетону SDS+ (18Х600)</t>
  </si>
  <si>
    <t>402-010-20210</t>
  </si>
  <si>
    <t>Бур по бетону SDS+ (20Х210)</t>
  </si>
  <si>
    <t>402-010-20310</t>
  </si>
  <si>
    <t>Бур по бетону SDS+ (20Х310)</t>
  </si>
  <si>
    <t>402-010-20410</t>
  </si>
  <si>
    <t>Бур по бетону SDS+ (20Х410)</t>
  </si>
  <si>
    <t>402-010-22460</t>
  </si>
  <si>
    <t>Бур по бетону SDS+ (22Х460)</t>
  </si>
  <si>
    <t>402-010-6310</t>
  </si>
  <si>
    <t>Бур по бетону SDS+ (6x310)</t>
  </si>
  <si>
    <t>402-010-6410</t>
  </si>
  <si>
    <t>Бур по бетону SDS+ (6x410)</t>
  </si>
  <si>
    <t>402-010-8110</t>
  </si>
  <si>
    <t>Бур по бетону SDS+ (8x110)</t>
  </si>
  <si>
    <t>402-010-8210</t>
  </si>
  <si>
    <t>Бур по бетону SDS+ (8x210)</t>
  </si>
  <si>
    <t>402-010-8260</t>
  </si>
  <si>
    <t>Бур по бетону SDS+ (8x260)</t>
  </si>
  <si>
    <t>402-010-8310</t>
  </si>
  <si>
    <t>Бур по бетону SDS+ (8x310)</t>
  </si>
  <si>
    <t>414-125-648</t>
  </si>
  <si>
    <t>Круг лепестковый полировальный войлочный MEDIUM 125х22,2мм</t>
  </si>
  <si>
    <t>415-907-11150</t>
  </si>
  <si>
    <t>Стержни клеевые (термоклей) 11х150мм (компл. 70 шт.)</t>
  </si>
  <si>
    <t>422-010-110</t>
  </si>
  <si>
    <t>Коронка по бетону SDS+ D110</t>
  </si>
  <si>
    <t>422-010-120</t>
  </si>
  <si>
    <t>Коронка по бетону SDS+ D120</t>
  </si>
  <si>
    <t>422-010-125</t>
  </si>
  <si>
    <t>Коронка по бетону SDS+ D125</t>
  </si>
  <si>
    <t>422-010-150</t>
  </si>
  <si>
    <t>Коронка по бетону SDS+ D150</t>
  </si>
  <si>
    <t>422-010-65</t>
  </si>
  <si>
    <t>Коронка по бетону SDS+ D65</t>
  </si>
  <si>
    <t>422-010-70</t>
  </si>
  <si>
    <t>Коронка по бетону SDS+ D70</t>
  </si>
  <si>
    <t>422-010-75</t>
  </si>
  <si>
    <t>Коронка по бетону SDS+ D75</t>
  </si>
  <si>
    <t>425-010-18280</t>
  </si>
  <si>
    <t>Пика SDS MAX (18X280)</t>
  </si>
  <si>
    <t>427-010-14250</t>
  </si>
  <si>
    <t>Пика SDS+ (14X250)</t>
  </si>
  <si>
    <t>432-010-10</t>
  </si>
  <si>
    <t>Сверло по стеклу ц/х D10</t>
  </si>
  <si>
    <t>432-010-12</t>
  </si>
  <si>
    <t>Сверло по стеклу ц/х D12</t>
  </si>
  <si>
    <t>433-010-12</t>
  </si>
  <si>
    <t>Сверло по стеклу ш/х 4х резц. D12</t>
  </si>
  <si>
    <t>435-010-0025</t>
  </si>
  <si>
    <t>Сверло по металлу HSS D2,5 (компл. 10 шт.)</t>
  </si>
  <si>
    <t>435-010-003</t>
  </si>
  <si>
    <t>Сверло по металлу HSS D3 (компл. 10 шт.)</t>
  </si>
  <si>
    <t>435-010-0035</t>
  </si>
  <si>
    <t>Сверло по металлу HSS D3,5 (компл. 10 шт.)</t>
  </si>
  <si>
    <t>435-010-004</t>
  </si>
  <si>
    <t>Сверло по металлу HSS D4 (компл. 10 шт.)</t>
  </si>
  <si>
    <t>435-010-0042</t>
  </si>
  <si>
    <t>Сверло по металлу HSS D4,2 (компл. 10 шт.)</t>
  </si>
  <si>
    <t>435-010-0045</t>
  </si>
  <si>
    <t>Сверло по металлу HSS D4,5 (компл. 10 шт.)</t>
  </si>
  <si>
    <t>435-010-0055</t>
  </si>
  <si>
    <t>Сверло по металлу HSS D5,5 (компл. 10 шт.)</t>
  </si>
  <si>
    <t>435-010-0065</t>
  </si>
  <si>
    <t>Сверло по металлу HSS D6,5 (компл. 10 шт.)</t>
  </si>
  <si>
    <t>435-010-007</t>
  </si>
  <si>
    <t>Сверло по металлу HSS D7 (компл. 10 шт.)</t>
  </si>
  <si>
    <t>435-010-011</t>
  </si>
  <si>
    <t>Сверло по металлу HSS D11 (компл. 5 шт.)</t>
  </si>
  <si>
    <t>435-010-013</t>
  </si>
  <si>
    <t>Сверло по металлу HSS D13 (компл. 5 шт.)</t>
  </si>
  <si>
    <t>435-010-0135</t>
  </si>
  <si>
    <t>Сверло по металлу HSS D13,5 (компл. 5 шт.)</t>
  </si>
  <si>
    <t>435-010-014</t>
  </si>
  <si>
    <t>Сверло по металлу HSS D14 (компл. 5 шт.)</t>
  </si>
  <si>
    <t>435-010-0145</t>
  </si>
  <si>
    <t>Сверло по металлу HSS D14,5 (компл. 5 шт.)</t>
  </si>
  <si>
    <t>435-010-0155</t>
  </si>
  <si>
    <t>Сверло по металлу HSS D15,5 (компл. 5 шт.)</t>
  </si>
  <si>
    <t>435-010-016</t>
  </si>
  <si>
    <t>Сверло по металлу HSS D16 (компл. 5 шт.)</t>
  </si>
  <si>
    <t>435-010-018</t>
  </si>
  <si>
    <t>Сверло по металлу HSS D18 (компл. 5 шт.)</t>
  </si>
  <si>
    <t>435-777-04300</t>
  </si>
  <si>
    <t>Сверло по металлу длинное HSS L300 D4</t>
  </si>
  <si>
    <t>435-777-09300</t>
  </si>
  <si>
    <t>Сверло по металлу длинное HSS L300 D9</t>
  </si>
  <si>
    <t>435-777-12300</t>
  </si>
  <si>
    <t>Сверло по металлу длинное HSS L300 D12</t>
  </si>
  <si>
    <t>435-777-13300</t>
  </si>
  <si>
    <t>Сверло по металлу длинное HSS L300 D13</t>
  </si>
  <si>
    <t>439-010-0052</t>
  </si>
  <si>
    <t>Сверло по металлу (кобальт) D5,2 (компл. 10 шт.)</t>
  </si>
  <si>
    <t>439-010-0085</t>
  </si>
  <si>
    <t>Сверло по металлу (кобальт) D8,5 (компл. 5 шт.)</t>
  </si>
  <si>
    <t>439-010-0102</t>
  </si>
  <si>
    <t>Сверло по металлу (кобальт) D10,2 (компл. 5 шт.)</t>
  </si>
  <si>
    <t>453-814-029</t>
  </si>
  <si>
    <t>Набор бит PH2X150 (компл. 10 шт.)</t>
  </si>
  <si>
    <t>453-814-035</t>
  </si>
  <si>
    <t>Набор бит PH2X50 (компл. 10 шт.)</t>
  </si>
  <si>
    <t>453-814-044</t>
  </si>
  <si>
    <t>Набор бит PH2X90 (компл. 10 шт.)</t>
  </si>
  <si>
    <t>453-814-053</t>
  </si>
  <si>
    <t>Набор бит PZ2X50 (компл. 10 шт.)</t>
  </si>
  <si>
    <t>462-851-145</t>
  </si>
  <si>
    <t>Набор двухсторонних бит PH2X65 (компл. 10 шт.)</t>
  </si>
  <si>
    <t>470-763-150</t>
  </si>
  <si>
    <t>Разводной ключ 150мм</t>
  </si>
  <si>
    <t>470-763-300</t>
  </si>
  <si>
    <t>Разводной ключ 300мм</t>
  </si>
  <si>
    <t>472-008-641</t>
  </si>
  <si>
    <t>Набор резиновых шпателей для герметика</t>
  </si>
  <si>
    <t>476-101-051</t>
  </si>
  <si>
    <t>Полотно для электролобзика T101BR (компл. 5 шт.)</t>
  </si>
  <si>
    <t>476-101-063</t>
  </si>
  <si>
    <t>Полотно для электролобзика T101D (компл. 5 шт.)</t>
  </si>
  <si>
    <t>476-301-144</t>
  </si>
  <si>
    <t>Полотно для электролобзика T301CD (компл. 5 шт.)</t>
  </si>
  <si>
    <t>476-301-149</t>
  </si>
  <si>
    <t>Полотно для электролобзика T301DL (компл. 5 шт.)</t>
  </si>
  <si>
    <t>477-205-160</t>
  </si>
  <si>
    <t>Бокорезы 160мм</t>
  </si>
  <si>
    <t>477-205-180</t>
  </si>
  <si>
    <t>Бокорезы 180мм</t>
  </si>
  <si>
    <t>477-205-200</t>
  </si>
  <si>
    <t>Бокорезы 200мм</t>
  </si>
  <si>
    <t>477-208-200</t>
  </si>
  <si>
    <t>Пассатижи 200мм</t>
  </si>
  <si>
    <t>499-050-080</t>
  </si>
  <si>
    <t>Круг шлифовальный лепестковый торцевой ЦИРКОНИЕВЫЙ D125 Р80 (компл. 10 шт.)</t>
  </si>
  <si>
    <t>499-050-120</t>
  </si>
  <si>
    <t>Круг шлифовальный лепестковый торцевой ЦИРКОНИЕВЫЙ D125 Р120 (компл. 10 шт.)</t>
  </si>
  <si>
    <t>510-010-125024</t>
  </si>
  <si>
    <t>Шлифовальный круг на липучке ПЕРФ. D125 Р24 (компл. 100 шт.)</t>
  </si>
  <si>
    <t>510-010-125040</t>
  </si>
  <si>
    <t>Шлифовальный круг на липучке ПЕРФ. D125 Р40 (компл. 100 шт.)</t>
  </si>
  <si>
    <t>510-010-125060</t>
  </si>
  <si>
    <t>Шлифовальный круг на липучке ПЕРФ. D125 Р60 (компл. 100 шт.)</t>
  </si>
  <si>
    <t>510-010-125080</t>
  </si>
  <si>
    <t>Шлифовальный круг на липучке ПЕРФ. D125 Р80 (компл. 100 шт.)</t>
  </si>
  <si>
    <t>510-010-125100</t>
  </si>
  <si>
    <t>Шлифовальный круг на липучке ПЕРФ. D125 Р100 (компл. 100 шт.)</t>
  </si>
  <si>
    <t>510-010-125120</t>
  </si>
  <si>
    <t>Шлифовальный круг на липучке ПЕРФ. D125 Р120 (компл. 100 шт.)</t>
  </si>
  <si>
    <t>510-010-125150</t>
  </si>
  <si>
    <t>Шлифовальный круг на липучке ПЕРФ. D125 Р150 (компл. 100 шт.)</t>
  </si>
  <si>
    <t>510-010-125180</t>
  </si>
  <si>
    <t>Шлифовальный круг на липучке ПЕРФ. D125 Р180 (компл. 100 шт.)</t>
  </si>
  <si>
    <t>510-010-125240</t>
  </si>
  <si>
    <t>Шлифовальный круг на липучке ПЕРФ. D125 Р240 (компл. 100 шт.)</t>
  </si>
  <si>
    <t>510-010-125320</t>
  </si>
  <si>
    <t>Шлифовальный круг на липучке ПЕРФ. D125 Р320 (компл. 100 шт.)</t>
  </si>
  <si>
    <t>517-888-024</t>
  </si>
  <si>
    <t>Леска для триммера "круг. с сердечником" YK-888-2.4-15 (2,4mm, 15m)</t>
  </si>
  <si>
    <t>517-888-040</t>
  </si>
  <si>
    <t>Леска для триммера "круг. с сердечником" YK-888-4-15 (4mm, 15m)</t>
  </si>
  <si>
    <t>525-462-720</t>
  </si>
  <si>
    <t>Скребок угловой для удаления и выравнивания швов герметика</t>
  </si>
  <si>
    <t>531-842-600</t>
  </si>
  <si>
    <t>Ключ ременной 600мм</t>
  </si>
  <si>
    <t>548-040-175</t>
  </si>
  <si>
    <t>Клещи переставные 175мм</t>
  </si>
  <si>
    <t>548-040-300</t>
  </si>
  <si>
    <t>Клещи переставные 300мм</t>
  </si>
  <si>
    <t>560-403-012</t>
  </si>
  <si>
    <t>Трещотка для торцевых головок 1/2"</t>
  </si>
  <si>
    <t>560-403-014</t>
  </si>
  <si>
    <t>Трещотка для торцевых головок 1/4"</t>
  </si>
  <si>
    <t>572-270-128</t>
  </si>
  <si>
    <t>Гладилка 270х128мм</t>
  </si>
  <si>
    <t>578-150-0018</t>
  </si>
  <si>
    <t>Круг отрезной по металлу 150×1,8×22mm (компл. 25 шт.)</t>
  </si>
  <si>
    <t>578-150-0020</t>
  </si>
  <si>
    <t>Круг отрезной по металлу 150×2×22mm (компл. 25 шт.)</t>
  </si>
  <si>
    <t>638-405-06350</t>
  </si>
  <si>
    <t>Шнековое сверло по дереву 6x350</t>
  </si>
  <si>
    <t>638-405-20460</t>
  </si>
  <si>
    <t>Шнековое сверло по дереву 20x460</t>
  </si>
  <si>
    <t>638-405-24460</t>
  </si>
  <si>
    <t>Шнековое сверло по дереву 24x460</t>
  </si>
  <si>
    <t>638-405-25460</t>
  </si>
  <si>
    <t>Шнековое сверло по дереву 25x460</t>
  </si>
  <si>
    <t>638-405-26460</t>
  </si>
  <si>
    <t>Шнековое сверло по дереву 26x460</t>
  </si>
  <si>
    <t>638-405-28460</t>
  </si>
  <si>
    <t>Шнековое сверло по дереву 28x460</t>
  </si>
  <si>
    <t>638-405-30460</t>
  </si>
  <si>
    <t>Шнековое сверло по дереву 30x460</t>
  </si>
  <si>
    <t>640-010-180</t>
  </si>
  <si>
    <t>Диск алмазный сегментный D180</t>
  </si>
  <si>
    <t>641-010-180</t>
  </si>
  <si>
    <t>Диск алмазный турбо D180</t>
  </si>
  <si>
    <t>642-010-230</t>
  </si>
  <si>
    <t>Диск алмазный сплошной D230</t>
  </si>
  <si>
    <t>661-010-150</t>
  </si>
  <si>
    <t>Чаша алмазная сегментная D150</t>
  </si>
  <si>
    <t>661-010-180</t>
  </si>
  <si>
    <t>Чаша алмазная сегментная D180</t>
  </si>
  <si>
    <t>662-010-150</t>
  </si>
  <si>
    <t>Чаша алмазная турбо D150</t>
  </si>
  <si>
    <t>662-010-180</t>
  </si>
  <si>
    <t>Чаша алмазная турбо D180</t>
  </si>
  <si>
    <t>685-010-030</t>
  </si>
  <si>
    <t>Круг алмазный гибкий шлифовальный (черепашка) D100 P30 (компл. 10 шт.)</t>
  </si>
  <si>
    <t>685-010-050</t>
  </si>
  <si>
    <t>Круг алмазный гибкий шлифовальный (черепашка) D100 P50 (компл. 10 шт.)</t>
  </si>
  <si>
    <t>685-010-080</t>
  </si>
  <si>
    <t>Круг алмазный гибкий шлифовальный (черепашка) D100 P80 (компл. 10 шт.)</t>
  </si>
  <si>
    <t>685-010-100</t>
  </si>
  <si>
    <t>Круг алмазный гибкий шлифовальный (черепашка) D100 P100 (компл. 10 шт.)</t>
  </si>
  <si>
    <t>685-744-050</t>
  </si>
  <si>
    <t>Круг алмазный гибкий шлифовальный (черепашка) D100 P50 (1 шт.)</t>
  </si>
  <si>
    <t>688-010-180</t>
  </si>
  <si>
    <t>Круг шлифовальный лепестковый торцевой D125 Р180 (компл. 10 шт.)</t>
  </si>
  <si>
    <t>691-505-1500</t>
  </si>
  <si>
    <t>Уровень магнитный строительный (алюминиевый) 1500мм</t>
  </si>
  <si>
    <t>691-505-800</t>
  </si>
  <si>
    <t>Уровень магнитный строительный (алюминиевый) 800мм</t>
  </si>
  <si>
    <t>697-010-16048222320</t>
  </si>
  <si>
    <t>Диск пильный по дереву (160Х48ТХ22,23-20)</t>
  </si>
  <si>
    <t>697-010-18024222320</t>
  </si>
  <si>
    <t>Диск пильный по дереву (180Х24ТХ22,23-20)</t>
  </si>
  <si>
    <t>697-010-18036222320</t>
  </si>
  <si>
    <t>Диск пильный по дереву (180Х36ТХ22,23-20)</t>
  </si>
  <si>
    <t>697-010-18048222320</t>
  </si>
  <si>
    <t>Диск пильный по дереву (180Х48ТХ22,23-20)</t>
  </si>
  <si>
    <t>697-010-190483020</t>
  </si>
  <si>
    <t>Диск пильный по дереву (190x48Тx30-20)</t>
  </si>
  <si>
    <t>697-010-210243230</t>
  </si>
  <si>
    <t>Диск пильный по дереву (210x24Тx32-30)</t>
  </si>
  <si>
    <t>697-010-210363230</t>
  </si>
  <si>
    <t>Диск пильный по дереву (210x36Тx32-30)</t>
  </si>
  <si>
    <t>697-010-210483230</t>
  </si>
  <si>
    <t>Диск пильный по дереву (210x48Тx32-30)</t>
  </si>
  <si>
    <t>701-007-1111</t>
  </si>
  <si>
    <t>Полотно для сабельной пилы S1111DF (компл. 2 шт.)</t>
  </si>
  <si>
    <t>701-007-1531</t>
  </si>
  <si>
    <t>Полотно для сабельной пилы S1531L (компл. 2 шт.)</t>
  </si>
  <si>
    <t>701-007-922</t>
  </si>
  <si>
    <t>Полотно для сабельной пилы S922EF (компл. 2 шт.)</t>
  </si>
  <si>
    <t>703-020-125080</t>
  </si>
  <si>
    <t>Шлифовальный круг на липучке D125 Р80 (компл. 10 шт.)</t>
  </si>
  <si>
    <t>703-020-125100</t>
  </si>
  <si>
    <t>Шлифовальный круг на липучке D125 Р100 (компл. 10 шт.)</t>
  </si>
  <si>
    <t>705-010-224</t>
  </si>
  <si>
    <t>Нож строительный 18мм НК</t>
  </si>
  <si>
    <t>716-247-15214</t>
  </si>
  <si>
    <t>Сверло перовое по дереву, шестигранный хвостовик L152 D14</t>
  </si>
  <si>
    <t>716-247-15216</t>
  </si>
  <si>
    <t>Сверло по дереву перовое, шестигранный хвостовик L152 D16</t>
  </si>
  <si>
    <t>716-247-15224</t>
  </si>
  <si>
    <t>Сверло по дереву перовое, шестигранный хвостовик L152 D24</t>
  </si>
  <si>
    <t>716-247-15226</t>
  </si>
  <si>
    <t>Сверло по дереву перовое, шестигранный хвостовик L152 D26</t>
  </si>
  <si>
    <t>822-808-02055</t>
  </si>
  <si>
    <t>Коронка по стеклу с центрирующим сверлом D20</t>
  </si>
  <si>
    <t>822-808-02555</t>
  </si>
  <si>
    <t>Коронка по стеклу с центрирующим сверлом D25</t>
  </si>
  <si>
    <t>822-808-03055</t>
  </si>
  <si>
    <t>Коронка по стеклу с центрирующим сверлом D30</t>
  </si>
  <si>
    <t>822-808-03555</t>
  </si>
  <si>
    <t>Коронка по стеклу с центрирующим сверлом D35</t>
  </si>
  <si>
    <t>822-808-04555</t>
  </si>
  <si>
    <t>Коронка по стеклу с центрирующим сверлом D45</t>
  </si>
  <si>
    <t>822-808-05055</t>
  </si>
  <si>
    <t>Коронка по стеклу с центрирующим сверлом D50</t>
  </si>
  <si>
    <t>822-808-05555</t>
  </si>
  <si>
    <t>Коронка по стеклу с центрирующим сверлом D55</t>
  </si>
  <si>
    <t>822-808-06055</t>
  </si>
  <si>
    <t>Коронка по стеклу с центрирующим сверлом D60</t>
  </si>
  <si>
    <t>822-808-06555</t>
  </si>
  <si>
    <t>Коронка по стеклу с центрирующим сверлом D65</t>
  </si>
  <si>
    <t>822-808-08555</t>
  </si>
  <si>
    <t>Коронка по стеклу с центрирующим сверлом D85</t>
  </si>
  <si>
    <t>822-808-10055</t>
  </si>
  <si>
    <t>Коронка по стеклу с центрирующим сверлом D100</t>
  </si>
  <si>
    <t>822-808-11055</t>
  </si>
  <si>
    <t>Коронка по стеклу с центрирующим сверлом D110</t>
  </si>
  <si>
    <t>822-808-12055</t>
  </si>
  <si>
    <t>Коронка по стеклу с центрирующим сверлом D120</t>
  </si>
  <si>
    <t>829-780-150</t>
  </si>
  <si>
    <t>Быстрозажимная струбцина 150мм</t>
  </si>
  <si>
    <t>870-222-065</t>
  </si>
  <si>
    <t>Щётка чашечная витая латунированная для УШМ 65мм М14</t>
  </si>
  <si>
    <t>870-222-075</t>
  </si>
  <si>
    <t>Щётка чашечная витая латунированная для УШМ 75мм М14</t>
  </si>
  <si>
    <t>870-222-125</t>
  </si>
  <si>
    <t>Щётка чашечная витая латунированная для УШМ 125мм М14</t>
  </si>
  <si>
    <t>880-563-002</t>
  </si>
  <si>
    <t>Пистолет для монтажной пены "Headrock" FR-2</t>
  </si>
  <si>
    <t>901-700-240</t>
  </si>
  <si>
    <t>Набор шарошек абразивных (5 шт.)</t>
  </si>
  <si>
    <t>907-511-150</t>
  </si>
  <si>
    <t>Шпатель фасадный 150мм</t>
  </si>
  <si>
    <t>907-511-200</t>
  </si>
  <si>
    <t>Шпатель фасадный 200мм</t>
  </si>
  <si>
    <t>907-511-300</t>
  </si>
  <si>
    <t>Шпатель фасадный 300мм</t>
  </si>
  <si>
    <t>974-125-457</t>
  </si>
  <si>
    <t>Круг полировальный непрерывный из натурального войлока 125x22,2мм</t>
  </si>
  <si>
    <t>980-111-075</t>
  </si>
  <si>
    <t>Щётка чашечная кручёная проволка стальная для УШМ 75мм М14</t>
  </si>
  <si>
    <t>980-111-100</t>
  </si>
  <si>
    <t>Щётка чашечная кручёная проволка стальная для УШМ 100мм М14</t>
  </si>
  <si>
    <t>C</t>
  </si>
  <si>
    <t>140-649-040</t>
  </si>
  <si>
    <t>Губка абразивная шлифовальная 100х70х45х25мм P40</t>
  </si>
  <si>
    <t>140-649-060</t>
  </si>
  <si>
    <t>Губка абразивная шлифовальная 100х70х45х25мм P60</t>
  </si>
  <si>
    <t>140-649-080</t>
  </si>
  <si>
    <t>Губка абразивная шлифовальная 100х70х45х25мм P80</t>
  </si>
  <si>
    <t>140-649-100</t>
  </si>
  <si>
    <t>Губка абразивная шлифовальная 100х70х45х25мм P100</t>
  </si>
  <si>
    <t>140-649-120</t>
  </si>
  <si>
    <t>Губка абразивная шлифовальная 100х70х45х25мм P120</t>
  </si>
  <si>
    <t>140-649-240</t>
  </si>
  <si>
    <t>Губка абразивная шлифовальная 100х70х45х25мм P240</t>
  </si>
  <si>
    <t>140-649-320</t>
  </si>
  <si>
    <t>Губка абразивная шлифовальная 100х70х45х25мм P320</t>
  </si>
  <si>
    <t>144-721-3100</t>
  </si>
  <si>
    <t>Стяжки нейлоновые белые 3х100 (компл. 100 шт.)</t>
  </si>
  <si>
    <t>144-721-3200</t>
  </si>
  <si>
    <t>Стяжки нейлоновые белые 3х200 (компл. 100 шт.)</t>
  </si>
  <si>
    <t>268-306-140</t>
  </si>
  <si>
    <t>Патрон для дрели 1/2 БЗП 2-13мм пластик</t>
  </si>
  <si>
    <t>268-306-260</t>
  </si>
  <si>
    <t>Патрон для дрели 1/2 БЗП 2-13мм полуметаллический</t>
  </si>
  <si>
    <t>278-100-3100</t>
  </si>
  <si>
    <t>Стяжки нейлоновые чёрные 3х100 (компл. 100 шт.)</t>
  </si>
  <si>
    <t>278-100-4150</t>
  </si>
  <si>
    <t>Стяжки нейлоновые чёрные 4x150 (компл. 100 шт.)</t>
  </si>
  <si>
    <t>351-140-006</t>
  </si>
  <si>
    <t>Скобы для степлера, тип 53 (оцинк.) 6мм (компл. 1000 штук)</t>
  </si>
  <si>
    <t>371-040-21608030</t>
  </si>
  <si>
    <t>Диск пильный по цветным металлам и пластику 216х80х30</t>
  </si>
  <si>
    <t>371-040-25010030</t>
  </si>
  <si>
    <t>Диск пильный по цветным металлам и пластику 250х100х30</t>
  </si>
  <si>
    <t>371-040-25010032</t>
  </si>
  <si>
    <t>Диск пильный по цветным металлам и пластику 250х100х32</t>
  </si>
  <si>
    <t>371-040-35012032</t>
  </si>
  <si>
    <t>Диск пильный по цветным металлам и пластику 350х120х32/30</t>
  </si>
  <si>
    <t>401-055-125</t>
  </si>
  <si>
    <t>Щётка нейлоновая чашечная для УШМ 125мм М14</t>
  </si>
  <si>
    <t>402-010-101000</t>
  </si>
  <si>
    <t>Бур по бетону SDS+ (10x1000)</t>
  </si>
  <si>
    <t>402-010-10460</t>
  </si>
  <si>
    <t>Бур по бетону SDS+ (10x460)</t>
  </si>
  <si>
    <t>402-010-10600</t>
  </si>
  <si>
    <t>Бур по бетону SDS+ (10x600)</t>
  </si>
  <si>
    <t>402-010-10800</t>
  </si>
  <si>
    <t>Бур по бетону SDS+ (10x800)</t>
  </si>
  <si>
    <t>402-010-121000</t>
  </si>
  <si>
    <t>Бур по бетону SDS+ (12x1000)</t>
  </si>
  <si>
    <t>402-010-12110</t>
  </si>
  <si>
    <t>Бур по бетону SDS+ (12x110)</t>
  </si>
  <si>
    <t>402-010-12360</t>
  </si>
  <si>
    <t>Бур по бетону SDS+ (12x360)</t>
  </si>
  <si>
    <t>402-010-12410</t>
  </si>
  <si>
    <t>Бур по бетону SDS+ (12x410)</t>
  </si>
  <si>
    <t>402-010-12800</t>
  </si>
  <si>
    <t>Бур по бетону SDS+ (12x800)</t>
  </si>
  <si>
    <t>402-010-141000</t>
  </si>
  <si>
    <t>Бур по бетону SDS+ (14x1000)</t>
  </si>
  <si>
    <t>402-010-14360</t>
  </si>
  <si>
    <t>Бур по бетону SDS+ (14x360)</t>
  </si>
  <si>
    <t>402-010-14460</t>
  </si>
  <si>
    <t>Бур по бетону SDS+ (14x460)</t>
  </si>
  <si>
    <t>402-010-14800</t>
  </si>
  <si>
    <t>Бур по бетону SDS+ (14x800)</t>
  </si>
  <si>
    <t>402-010-161000</t>
  </si>
  <si>
    <t>Бур по бетону SDS+ (16x1000)</t>
  </si>
  <si>
    <t>402-010-16360</t>
  </si>
  <si>
    <t>Бур по бетону SDS+ (16x360)</t>
  </si>
  <si>
    <t>402-010-16410</t>
  </si>
  <si>
    <t>Бур по бетону SDS+ (16x410)</t>
  </si>
  <si>
    <t>402-010-16460</t>
  </si>
  <si>
    <t>Бур по бетону SDS+ (16x460)</t>
  </si>
  <si>
    <t>402-010-16800</t>
  </si>
  <si>
    <t>Бур по бетону SDS+ (16x800)</t>
  </si>
  <si>
    <t>402-010-18160</t>
  </si>
  <si>
    <t>Бур по бетону SDS+ (18Х160)</t>
  </si>
  <si>
    <t>402-010-18210</t>
  </si>
  <si>
    <t>Бур по бетону SDS+ (18Х210)</t>
  </si>
  <si>
    <t>402-010-18260</t>
  </si>
  <si>
    <t>Бур по бетону SDS+ (18Х260)</t>
  </si>
  <si>
    <t>402-010-18310</t>
  </si>
  <si>
    <t>Бур по бетону SDS+ (18Х310)</t>
  </si>
  <si>
    <t>402-010-18360</t>
  </si>
  <si>
    <t>Бур по бетону SDS+ (18Х360)</t>
  </si>
  <si>
    <t>402-010-18410</t>
  </si>
  <si>
    <t>Бур по бетону SDS+ (18Х410)</t>
  </si>
  <si>
    <t>402-010-18800</t>
  </si>
  <si>
    <t>Бур по бетону SDS+ (18Х800)</t>
  </si>
  <si>
    <t>402-010-201000</t>
  </si>
  <si>
    <t>Бур по бетону SDS+ (20Х1000)</t>
  </si>
  <si>
    <t>402-010-20160</t>
  </si>
  <si>
    <t>Бур по бетону SDS+ (20Х160)</t>
  </si>
  <si>
    <t>402-010-20260</t>
  </si>
  <si>
    <t>Бур по бетону SDS+ (20Х260)</t>
  </si>
  <si>
    <t>402-010-20360</t>
  </si>
  <si>
    <t>Бур по бетону SDS+ (20Х360)</t>
  </si>
  <si>
    <t>402-010-20460</t>
  </si>
  <si>
    <t>Бур по бетону SDS+ (20Х460)</t>
  </si>
  <si>
    <t>402-010-20800</t>
  </si>
  <si>
    <t>Бур по бетону SDS+ (20Х800)</t>
  </si>
  <si>
    <t>402-010-22210</t>
  </si>
  <si>
    <t>Бур по бетону SDS+ (22Х210)</t>
  </si>
  <si>
    <t>402-010-22260</t>
  </si>
  <si>
    <t>Бур по бетону SDS+ (22Х260)</t>
  </si>
  <si>
    <t>402-010-22310</t>
  </si>
  <si>
    <t>Бур по бетону SDS+ (22Х310)</t>
  </si>
  <si>
    <t>402-010-22360</t>
  </si>
  <si>
    <t>Бур по бетону SDS+ (22Х360)</t>
  </si>
  <si>
    <t>402-010-22410</t>
  </si>
  <si>
    <t>Бур по бетону SDS+ (22Х410)</t>
  </si>
  <si>
    <t>402-010-6350</t>
  </si>
  <si>
    <t>Бур по бетону SDS+ (6x350)</t>
  </si>
  <si>
    <t>402-010-8350</t>
  </si>
  <si>
    <t>Бур по бетону SDS+ (8x350)</t>
  </si>
  <si>
    <t>402-010-8410</t>
  </si>
  <si>
    <t>Бур по бетону SDS+ (8x410)</t>
  </si>
  <si>
    <t>402-010-8460</t>
  </si>
  <si>
    <t>Бур по бетону SDS+ (8x460)</t>
  </si>
  <si>
    <t>402-010-8600</t>
  </si>
  <si>
    <t>Бур по бетону SDS+ (8x600)</t>
  </si>
  <si>
    <t>411-010-1460020</t>
  </si>
  <si>
    <t>Зубило SDS+ (14x600x20)</t>
  </si>
  <si>
    <t>411-010-1460050</t>
  </si>
  <si>
    <t>Зубило SDS+ (14x600x50)</t>
  </si>
  <si>
    <t>415-907-07150</t>
  </si>
  <si>
    <t>Стержни клеевые (термоклей) 7х150mm (компл. 70 шт.)</t>
  </si>
  <si>
    <t>422-010-30</t>
  </si>
  <si>
    <t>Коронка по бетону SDS+ D30</t>
  </si>
  <si>
    <t>422-010-35</t>
  </si>
  <si>
    <t>Коронка по бетону SDS+ D35</t>
  </si>
  <si>
    <t>422-010-40</t>
  </si>
  <si>
    <t>Коронка по бетону SDS+ D40</t>
  </si>
  <si>
    <t>422-010-45</t>
  </si>
  <si>
    <t>Коронка по бетону SDS+ D45</t>
  </si>
  <si>
    <t>422-010-50</t>
  </si>
  <si>
    <t>Коронка по бетону SDS+ D50</t>
  </si>
  <si>
    <t>422-010-60</t>
  </si>
  <si>
    <t>Коронка по бетону SDS+ D60</t>
  </si>
  <si>
    <t>432-010-08</t>
  </si>
  <si>
    <t>Сверло по стеклу ц/х D8</t>
  </si>
  <si>
    <t>435-010-0032</t>
  </si>
  <si>
    <t>Сверло по металлу HSS D3,2 (компл. 10 шт.)</t>
  </si>
  <si>
    <t>435-010-0038</t>
  </si>
  <si>
    <t>Сверло по металлу HSS D3,8 (компл. 10 шт.)</t>
  </si>
  <si>
    <t>435-010-0048</t>
  </si>
  <si>
    <t>Сверло по металлу HSS D4,8 (компл. 10 шт.)</t>
  </si>
  <si>
    <t>435-010-0052</t>
  </si>
  <si>
    <t>Сверло по металлу HSS D5,2 (компл. 10 шт.)</t>
  </si>
  <si>
    <t>435-010-0085</t>
  </si>
  <si>
    <t>Сверло по металлу HSS D8,5 (компл. 10 шт.)</t>
  </si>
  <si>
    <t>435-010-009</t>
  </si>
  <si>
    <t>Сверло по металлу HSS D9 (компл. 10 шт.)</t>
  </si>
  <si>
    <t>435-010-0095</t>
  </si>
  <si>
    <t>Сверло по металлу HSS D9,5 (компл. 10 шт.)</t>
  </si>
  <si>
    <t>435-010-0105</t>
  </si>
  <si>
    <t>Сверло по металлу HSS D10,5 (компл. 5 шт.)</t>
  </si>
  <si>
    <t>435-010-0115</t>
  </si>
  <si>
    <t>Сверло по металлу HSS D11,5 (компл. 5 шт.)</t>
  </si>
  <si>
    <t>435-010-0125</t>
  </si>
  <si>
    <t>Сверло по металлу HSS D12,5 (компл. 5 шт.)</t>
  </si>
  <si>
    <t>435-010-0185</t>
  </si>
  <si>
    <t>Сверло по металлу HSS D18,5</t>
  </si>
  <si>
    <t>435-777-03300</t>
  </si>
  <si>
    <t>Сверло по металлу длинное HSS L300 D3</t>
  </si>
  <si>
    <t>435-777-07300</t>
  </si>
  <si>
    <t>Сверло по металлу длинное HSS L300 D7</t>
  </si>
  <si>
    <t>435-777-11300</t>
  </si>
  <si>
    <t>Сверло по металлу длинное HSS L300 D11</t>
  </si>
  <si>
    <t>439-010-0115</t>
  </si>
  <si>
    <t>Сверло по металлу (кобальт) D11,5 (компл. 5 шт.)</t>
  </si>
  <si>
    <t>439-010-013</t>
  </si>
  <si>
    <t>Сверло по металлу (кобальт) D13 (компл. 5 шт.)</t>
  </si>
  <si>
    <t>453-814-026</t>
  </si>
  <si>
    <t>Набор бит PH2X127 (компл. 10 шт.)</t>
  </si>
  <si>
    <t>453-814-032</t>
  </si>
  <si>
    <t>Набор бит PH2X25 (компл. 10 шт.)</t>
  </si>
  <si>
    <t>453-814-047</t>
  </si>
  <si>
    <t>Набор бит PZ1X50 (компл. 10 шт.)</t>
  </si>
  <si>
    <t>453-814-056</t>
  </si>
  <si>
    <t>Набор бит PZ3X50 (компл. 10 шт.)</t>
  </si>
  <si>
    <t>453-814-061</t>
  </si>
  <si>
    <t>Набор бит T30X50 (компл. 10 шт.)</t>
  </si>
  <si>
    <t>470-763-200</t>
  </si>
  <si>
    <t>Разводной ключ 200мм</t>
  </si>
  <si>
    <t>476-101-042</t>
  </si>
  <si>
    <t>Полотно для электролобзика T101AO (компл. 5 шт.)</t>
  </si>
  <si>
    <t>476-101-045</t>
  </si>
  <si>
    <t>Полотно для электролобзика T101B (компл. 5 шт.)</t>
  </si>
  <si>
    <t>476-101-054</t>
  </si>
  <si>
    <t>Полотно для электролобзика T101BU (компл. 5 шт.)</t>
  </si>
  <si>
    <t>476-111-072</t>
  </si>
  <si>
    <t>Полотно для электролобзика T111C (компл. 5 шт.)</t>
  </si>
  <si>
    <t>476-111-074</t>
  </si>
  <si>
    <t>Полотно для электролобзика T111D (компл. 5 шт.)</t>
  </si>
  <si>
    <t>476-118-083</t>
  </si>
  <si>
    <t>Полотно для электролобзика T118A (компл. 5 шт.)</t>
  </si>
  <si>
    <t>476-118-086</t>
  </si>
  <si>
    <t>Полотно для электролобзика T118B (компл. 5 шт.)</t>
  </si>
  <si>
    <t>476-118-089</t>
  </si>
  <si>
    <t>Полотно для электролобзика T118G (компл. 5 шт.)</t>
  </si>
  <si>
    <t>476-119-092</t>
  </si>
  <si>
    <t>Полотно для электролобзика T119B (компл. 5 шт.)</t>
  </si>
  <si>
    <t>476-119-097</t>
  </si>
  <si>
    <t>Полотно для электролобзика T119BO (компл. 5 шт.)</t>
  </si>
  <si>
    <t>476-127-106</t>
  </si>
  <si>
    <t>Полотно для электролобзика T127D (компл. 5 шт.)</t>
  </si>
  <si>
    <t>476-144-114</t>
  </si>
  <si>
    <t>Полотно для электролобзика T144D (компл. 5 шт.)</t>
  </si>
  <si>
    <t>476-144-117</t>
  </si>
  <si>
    <t>Полотно для электролобзика T144DP (компл. 5 шт.)</t>
  </si>
  <si>
    <t>476-144-119</t>
  </si>
  <si>
    <t>Полотно для электролобзика T144DU (компл. 5 шт.)</t>
  </si>
  <si>
    <t>476-218-124</t>
  </si>
  <si>
    <t>Полотно для электролобзика T218A (компл. 5 шт.)</t>
  </si>
  <si>
    <t>476-244-137</t>
  </si>
  <si>
    <t>Полотно для электролобзика T244D (компл. 5 шт.)</t>
  </si>
  <si>
    <t>476-318-157</t>
  </si>
  <si>
    <t>Полотно для электролобзика T318A (компл. 5 шт.)</t>
  </si>
  <si>
    <t>476-344-165</t>
  </si>
  <si>
    <t>Полотно для электролобзика T344D (компл. 5 шт.)</t>
  </si>
  <si>
    <t>476-345-173</t>
  </si>
  <si>
    <t>Полотно для электролобзика T345XF (компл. 5 шт.)</t>
  </si>
  <si>
    <t>477-208-160</t>
  </si>
  <si>
    <t>Пассатижи 160мм</t>
  </si>
  <si>
    <t>477-211-160</t>
  </si>
  <si>
    <t>Тонкогубцы 160мм</t>
  </si>
  <si>
    <t>477-211-180</t>
  </si>
  <si>
    <t>Тонкогубцы 180мм</t>
  </si>
  <si>
    <t>477-211-200</t>
  </si>
  <si>
    <t>Тонкогубцы 200мм</t>
  </si>
  <si>
    <t>499-050-060</t>
  </si>
  <si>
    <t>Круг шлифовальный лепестковый торцевой ЦИРКОНИЕВЫЙ D125 Р60 (компл. 10 шт.)</t>
  </si>
  <si>
    <t>499-050-100</t>
  </si>
  <si>
    <t>Круг шлифовальный лепестковый торцевой ЦИРКОНИЕВЫЙ D125 Р100 (компл. 10 шт.)</t>
  </si>
  <si>
    <t>510-010-125036</t>
  </si>
  <si>
    <t>Шлифовальный круг на липучке ПЕРФ. D125 Р36 (компл. 100 шт.)</t>
  </si>
  <si>
    <t>517-666-020</t>
  </si>
  <si>
    <t>Леска для триммера "звезда" YK-666-2-15 (2mm, 15m)</t>
  </si>
  <si>
    <t>517-666-024</t>
  </si>
  <si>
    <t>Леска для триммера "звезда" YK-666-2.4-15 (2,4mm, 15m)</t>
  </si>
  <si>
    <t>517-666-027</t>
  </si>
  <si>
    <t>Леска для триммера "звезда" YK-666-2.7-15 (2,7mm, 15m)</t>
  </si>
  <si>
    <t>517-777-020</t>
  </si>
  <si>
    <t>Леска для триммера "витой квадрат" YK-777-2-15 (2mm, 15m)</t>
  </si>
  <si>
    <t>517-777-024</t>
  </si>
  <si>
    <t>Леска для триммера "витой квадрат" YK-777-2.4-15 (2,4mm, 15m)</t>
  </si>
  <si>
    <t>517-777-030</t>
  </si>
  <si>
    <t>Леска для триммера "витой квадрат" YK-777-3-15 (3mm, 15m)</t>
  </si>
  <si>
    <t>517-888-020</t>
  </si>
  <si>
    <t>Леска для триммера "круг. с сердечником" YK-888-2-15 (2mm, 15m)</t>
  </si>
  <si>
    <t>520-010-10005</t>
  </si>
  <si>
    <t>Насадка для дрели и УШМ с липучкой (100x5)</t>
  </si>
  <si>
    <t>520-010-15005</t>
  </si>
  <si>
    <t>Насадка для дрели и УШМ с липучкой (150x5)</t>
  </si>
  <si>
    <t>520-010-15012</t>
  </si>
  <si>
    <t>Насадка для дрели и УШМ с липучкой (150x12)</t>
  </si>
  <si>
    <t>560-403-038</t>
  </si>
  <si>
    <t>Трещотка для торцевых головок 3/8"</t>
  </si>
  <si>
    <t>578-150-0025</t>
  </si>
  <si>
    <t>Круг отрезной по металлу 150×2,5×22mm (компл. 25 шт.)</t>
  </si>
  <si>
    <t>603-470-750</t>
  </si>
  <si>
    <t>Сверло под конфирмат 7x50мм</t>
  </si>
  <si>
    <t>638-405-08220</t>
  </si>
  <si>
    <t>Шнековое сверло по дереву 8x220</t>
  </si>
  <si>
    <t>638-405-08350</t>
  </si>
  <si>
    <t>Шнековое сверло по дереву 8x350</t>
  </si>
  <si>
    <t>638-405-08460</t>
  </si>
  <si>
    <t>Шнековое сверло по дереву 8x460</t>
  </si>
  <si>
    <t>638-405-12220</t>
  </si>
  <si>
    <t>Шнековое сверло по дереву 12x220</t>
  </si>
  <si>
    <t>638-405-12350</t>
  </si>
  <si>
    <t>Шнековое сверло по дереву 12x350</t>
  </si>
  <si>
    <t>638-405-12460</t>
  </si>
  <si>
    <t>Шнековое сверло по дереву 12x460</t>
  </si>
  <si>
    <t>638-405-12600</t>
  </si>
  <si>
    <t>Шнековое сверло по дереву 12x600</t>
  </si>
  <si>
    <t>638-405-14220</t>
  </si>
  <si>
    <t>Шнековое сверло по дереву 14x220</t>
  </si>
  <si>
    <t>638-405-14350</t>
  </si>
  <si>
    <t>Шнековое сверло по дереву 14x350</t>
  </si>
  <si>
    <t>638-405-14460</t>
  </si>
  <si>
    <t>Шнековое сверло по дереву 14x460</t>
  </si>
  <si>
    <t>638-405-14600</t>
  </si>
  <si>
    <t>Шнековое сверло по дереву 14x600</t>
  </si>
  <si>
    <t>638-405-16220</t>
  </si>
  <si>
    <t>Шнековое сверло по дереву 16x220</t>
  </si>
  <si>
    <t>638-405-16350</t>
  </si>
  <si>
    <t>Шнековое сверло по дереву 16x350</t>
  </si>
  <si>
    <t>638-405-16460</t>
  </si>
  <si>
    <t>Шнековое сверло по дереву 16x460</t>
  </si>
  <si>
    <t>638-405-16600</t>
  </si>
  <si>
    <t>Шнековое сверло по дереву 16x600</t>
  </si>
  <si>
    <t>638-405-18220</t>
  </si>
  <si>
    <t>Шнековое сверло по дереву 18x220</t>
  </si>
  <si>
    <t>638-405-18350</t>
  </si>
  <si>
    <t>Шнековое сверло по дереву 18x350</t>
  </si>
  <si>
    <t>638-405-18460</t>
  </si>
  <si>
    <t>Шнековое сверло по дереву 18x460</t>
  </si>
  <si>
    <t>638-405-18600</t>
  </si>
  <si>
    <t>Шнековое сверло по дереву 18x600</t>
  </si>
  <si>
    <t>638-405-20220</t>
  </si>
  <si>
    <t>Шнековое сверло по дереву 20x220</t>
  </si>
  <si>
    <t>638-405-20350</t>
  </si>
  <si>
    <t>Шнековое сверло по дереву 20x350</t>
  </si>
  <si>
    <t>638-405-20600</t>
  </si>
  <si>
    <t>Шнековое сверло по дереву 20x600</t>
  </si>
  <si>
    <t>638-405-22220</t>
  </si>
  <si>
    <t>Шнековое сверло по дереву 22x220</t>
  </si>
  <si>
    <t>638-405-22350</t>
  </si>
  <si>
    <t>Шнековое сверло по дереву 22x350</t>
  </si>
  <si>
    <t>638-405-22460</t>
  </si>
  <si>
    <t>Шнековое сверло по дереву 22x460</t>
  </si>
  <si>
    <t>638-405-22600</t>
  </si>
  <si>
    <t>Шнековое сверло по дереву 22x600</t>
  </si>
  <si>
    <t>638-405-24350</t>
  </si>
  <si>
    <t>Шнековое сверло по дереву 24x350</t>
  </si>
  <si>
    <t>638-405-24600</t>
  </si>
  <si>
    <t>Шнековое сверло по дереву 24x600</t>
  </si>
  <si>
    <t>638-405-25220</t>
  </si>
  <si>
    <t>Шнековое сверло по дереву 25x220</t>
  </si>
  <si>
    <t>638-405-25350</t>
  </si>
  <si>
    <t>Шнековое сверло по дереву 25x350</t>
  </si>
  <si>
    <t>638-405-25600</t>
  </si>
  <si>
    <t>Шнековое сверло по дереву 25x600</t>
  </si>
  <si>
    <t>638-405-26220</t>
  </si>
  <si>
    <t>Шнековое сверло по дереву 26x220</t>
  </si>
  <si>
    <t>638-405-26350</t>
  </si>
  <si>
    <t>Шнековое сверло по дереву 26x350</t>
  </si>
  <si>
    <t>638-405-26600</t>
  </si>
  <si>
    <t>Шнековое сверло по дереву 26x600</t>
  </si>
  <si>
    <t>638-405-28350</t>
  </si>
  <si>
    <t>Шнековое сверло по дереву 28x350</t>
  </si>
  <si>
    <t>638-405-28600</t>
  </si>
  <si>
    <t>Шнековое сверло по дереву 28x600</t>
  </si>
  <si>
    <t>638-405-30350</t>
  </si>
  <si>
    <t>Шнековое сверло по дереву 30x350</t>
  </si>
  <si>
    <t>638-405-30600</t>
  </si>
  <si>
    <t>Шнековое сверло по дереву 30x600</t>
  </si>
  <si>
    <t>641-010-150</t>
  </si>
  <si>
    <t>Диск алмазный турбо D150</t>
  </si>
  <si>
    <t>642-010-150</t>
  </si>
  <si>
    <t>Диск алмазный сплошной D150</t>
  </si>
  <si>
    <t>642-010-180</t>
  </si>
  <si>
    <t>Диск алмазный сплошной D180</t>
  </si>
  <si>
    <t>685-010-1000</t>
  </si>
  <si>
    <t>Круг алмазный гибкий шлифовальный (черепашка) D100 P1000 (компл. 10 шт.)</t>
  </si>
  <si>
    <t>685-010-150</t>
  </si>
  <si>
    <t>Круг алмазный гибкий шлифовальный (черепашка) D100 P150 (компл. 10 шт.)</t>
  </si>
  <si>
    <t>685-010-200</t>
  </si>
  <si>
    <t>Круг алмазный гибкий шлифовальный (черепашка) D100 P200 (компл. 10 шт.)</t>
  </si>
  <si>
    <t>685-010-300</t>
  </si>
  <si>
    <t>Круг алмазный гибкий шлифовальный (черепашка) D100 P300 (компл. 10 шт.)</t>
  </si>
  <si>
    <t>685-010-400</t>
  </si>
  <si>
    <t>Круг алмазный гибкий шлифовальный (черепашка) D100 P400 (компл. 10 шт.)</t>
  </si>
  <si>
    <t>685-010-500</t>
  </si>
  <si>
    <t>Круг алмазный гибкий шлифовальный (черепашка) D100 P500 (компл. 10 шт.)</t>
  </si>
  <si>
    <t>685-010-600</t>
  </si>
  <si>
    <t>Круг алмазный гибкий шлифовальный (черепашка) D100 P600 (компл. 10 шт.)</t>
  </si>
  <si>
    <t>685-010-800</t>
  </si>
  <si>
    <t>Круг алмазный гибкий шлифовальный (черепашка) D100 P800 (компл. 10 шт.)</t>
  </si>
  <si>
    <t>685-744-030</t>
  </si>
  <si>
    <t>Круг алмазный гибкий шлифовальный (черепашка) D100 P30 (1 шт.)</t>
  </si>
  <si>
    <t>685-744-080</t>
  </si>
  <si>
    <t>Круг алмазный гибкий шлифовальный (черепашка) D100 P80 (1 шт.)</t>
  </si>
  <si>
    <t>685-744-100</t>
  </si>
  <si>
    <t>Круг алмазный гибкий шлифовальный (черепашка) D100 P100 (1 шт.)</t>
  </si>
  <si>
    <t>685-744-1000</t>
  </si>
  <si>
    <t>Круг алмазный гибкий шлифовальный (черепашка) D100 P1000 (1 шт.)</t>
  </si>
  <si>
    <t>685-744-1200</t>
  </si>
  <si>
    <t>Круг алмазный гибкий шлифовальный (черепашка) D100 P1200 (1 шт.)</t>
  </si>
  <si>
    <t>685-744-150</t>
  </si>
  <si>
    <t>Круг алмазный гибкий шлифовальный (черепашка) D100 P150 (1 шт.)</t>
  </si>
  <si>
    <t>685-744-1500</t>
  </si>
  <si>
    <t>Круг алмазный гибкий шлифовальный (черепашка) D100 P1500 (1 шт.)</t>
  </si>
  <si>
    <t>685-744-200</t>
  </si>
  <si>
    <t>Круг алмазный гибкий шлифовальный (черепашка) D100 P200 (1 шт.)</t>
  </si>
  <si>
    <t>685-744-2000</t>
  </si>
  <si>
    <t>Круг алмазный гибкий шлифовальный (черепашка) D100 P2000 (1 шт.)</t>
  </si>
  <si>
    <t>685-744-300</t>
  </si>
  <si>
    <t>Круг алмазный гибкий шлифовальный (черепашка) D100 P300 (1 шт.)</t>
  </si>
  <si>
    <t>685-744-3000</t>
  </si>
  <si>
    <t>Круг алмазный гибкий шлифовальный (черепашка) D100 P3000 (1 шт.)</t>
  </si>
  <si>
    <t>685-744-400</t>
  </si>
  <si>
    <t>Круг алмазный гибкий шлифовальный (черепашка) D100 P400 (1 шт.)</t>
  </si>
  <si>
    <t>685-744-500</t>
  </si>
  <si>
    <t>Круг алмазный гибкий шлифовальный (черепашка) D100 P500 (1 шт.)</t>
  </si>
  <si>
    <t>685-744-600</t>
  </si>
  <si>
    <t>Круг алмазный гибкий шлифовальный (черепашка) D100 P600 (1 шт.)</t>
  </si>
  <si>
    <t>685-744-800</t>
  </si>
  <si>
    <t>Круг алмазный гибкий шлифовальный (черепашка) D100 P800 (1 шт.)</t>
  </si>
  <si>
    <t>687-010-125150</t>
  </si>
  <si>
    <t>Шлифовальный круг на липучке D125 Р150 (компл. 100 шт.)</t>
  </si>
  <si>
    <t>687-010-125180</t>
  </si>
  <si>
    <t>Шлифовальный круг на липучке D125 Р180 (компл. 100 шт.)</t>
  </si>
  <si>
    <t>687-010-125240</t>
  </si>
  <si>
    <t>Шлифовальный круг на липучке D125 Р240 (компл. 100 шт.)</t>
  </si>
  <si>
    <t>687-010-125320</t>
  </si>
  <si>
    <t>Шлифовальный круг на липучке D125 Р320 (компл. 100 шт.)</t>
  </si>
  <si>
    <t>691-505-1200</t>
  </si>
  <si>
    <t>Уровень магнитный строительный (алюминиевый) 1200мм</t>
  </si>
  <si>
    <t>697-010-115242223</t>
  </si>
  <si>
    <t>Диск пильный по дереву (115x24Тx22,23)</t>
  </si>
  <si>
    <t>697-010-115362223</t>
  </si>
  <si>
    <t>Диск пильный по дереву (115x36Тx22,23)</t>
  </si>
  <si>
    <t>697-010-16024222320</t>
  </si>
  <si>
    <t>Диск пильный по дереву (160x24Тx22,23-20)</t>
  </si>
  <si>
    <t>697-010-160243230</t>
  </si>
  <si>
    <t>Диск пильный по дереву (160x24Тx32-30)</t>
  </si>
  <si>
    <t>697-010-16036222320</t>
  </si>
  <si>
    <t>Диск пильный по дереву (160x36Тx22,23-20)</t>
  </si>
  <si>
    <t>697-010-160363230</t>
  </si>
  <si>
    <t>Диск пильный по дереву (160Х36ТХ32-30)</t>
  </si>
  <si>
    <t>697-010-160483230</t>
  </si>
  <si>
    <t>Диск пильный по дереву (160Х48ТХ32-30)</t>
  </si>
  <si>
    <t>697-010-190563020</t>
  </si>
  <si>
    <t>Диск пильный по дереву (190x56Тx30-20)</t>
  </si>
  <si>
    <t>697-010-200243230</t>
  </si>
  <si>
    <t>Диск пильный по дереву (200Х24ТХ32-30)</t>
  </si>
  <si>
    <t>697-010-200363230</t>
  </si>
  <si>
    <t>Диск пильный по дереву (200Х36ТХ32-30)</t>
  </si>
  <si>
    <t>697-010-200483230</t>
  </si>
  <si>
    <t>Диск пильный по дереву (200Х48ТХ32-30)</t>
  </si>
  <si>
    <t>697-010-200563230</t>
  </si>
  <si>
    <t>Диск пильный по дереву (200Х56ТХ32-30)</t>
  </si>
  <si>
    <t>697-010-200603230</t>
  </si>
  <si>
    <t>Диск пильный по дереву (200Х60ТХ32-30)</t>
  </si>
  <si>
    <t>697-010-210563230</t>
  </si>
  <si>
    <t>Диск пильный по дереву (210x56Тx32-30)</t>
  </si>
  <si>
    <t>697-010-210603230</t>
  </si>
  <si>
    <t>Диск пильный по дереву (210x60Тx32-30)</t>
  </si>
  <si>
    <t>701-007-644</t>
  </si>
  <si>
    <t>Полотно для сабельной пилы S644D (компл. 2 шт.)</t>
  </si>
  <si>
    <t>703-020-125036</t>
  </si>
  <si>
    <t>Шлифовальный круг на липучке D125 Р36 (компл. 10 шт.)</t>
  </si>
  <si>
    <t>703-020-125040</t>
  </si>
  <si>
    <t>Шлифовальный круг на липучке D125 Р40 (компл. 10 шт.)</t>
  </si>
  <si>
    <t>703-020-125060</t>
  </si>
  <si>
    <t>Шлифовальный круг на липучке D125 Р60 (компл. 10 шт.)</t>
  </si>
  <si>
    <t>703-020-125120</t>
  </si>
  <si>
    <t>Шлифовальный круг на липучке D125 Р120 (компл. 10 шт.)</t>
  </si>
  <si>
    <t>703-020-125150</t>
  </si>
  <si>
    <t>Шлифовальный круг на липучке D125 Р150 (компл. 10 шт.)</t>
  </si>
  <si>
    <t>703-020-125180</t>
  </si>
  <si>
    <t>Шлифовальный круг на липучке D125 Р180 (компл. 10 шт.)</t>
  </si>
  <si>
    <t>703-020-125240</t>
  </si>
  <si>
    <t>Шлифовальный круг на липучке D125 Р240 (компл. 10 шт.)</t>
  </si>
  <si>
    <t>703-020-125320</t>
  </si>
  <si>
    <t>Шлифовальный круг на липучке D125 Р320 (компл. 10 шт.)</t>
  </si>
  <si>
    <t>716-247-15206</t>
  </si>
  <si>
    <t>Сверло перовое по дереву, шестигранный хвостовик L152 D6</t>
  </si>
  <si>
    <t>716-247-15208</t>
  </si>
  <si>
    <t>Сверло перовое по дереву, шестигранный хвостовик L152 D8</t>
  </si>
  <si>
    <t>716-247-15210</t>
  </si>
  <si>
    <t>Сверло перовое по дереву, шестигранный хвостовик L152 D10</t>
  </si>
  <si>
    <t>716-247-15212</t>
  </si>
  <si>
    <t>Сверло перовое по дереву, шестигранный хвостовик L152 D12</t>
  </si>
  <si>
    <t>716-247-15218</t>
  </si>
  <si>
    <t>Сверло по дереву перовое, шестигранный хвостовик L152 D18</t>
  </si>
  <si>
    <t>716-247-15220</t>
  </si>
  <si>
    <t>Сверло по дереву перовое, шестигранный хвостовик L152 D20</t>
  </si>
  <si>
    <t>716-247-15222</t>
  </si>
  <si>
    <t>Сверло по дереву перовое, шестигранный хвостовик L152 D22</t>
  </si>
  <si>
    <t>716-247-15225</t>
  </si>
  <si>
    <t>Сверло по дереву перовое, шестигранный хвостовик L152 D25</t>
  </si>
  <si>
    <t>716-247-15228</t>
  </si>
  <si>
    <t>Сверло по дереву перовое, шестигранный хвостовик L152 D28</t>
  </si>
  <si>
    <t>716-247-15230</t>
  </si>
  <si>
    <t>Сверло по дереву перовое, шестигранный хвостовик L152 D30</t>
  </si>
  <si>
    <t>716-247-15232</t>
  </si>
  <si>
    <t>Сверло по дереву перовое, шестигранный хвостовик L152 D32</t>
  </si>
  <si>
    <t>716-247-15234</t>
  </si>
  <si>
    <t>Сверло по дереву перовое, шестигранный хвостовик L152 D34</t>
  </si>
  <si>
    <t>716-247-15235</t>
  </si>
  <si>
    <t>Сверло по дереву перовое, шестигранный хвостовик L152 D35</t>
  </si>
  <si>
    <t>716-247-15236</t>
  </si>
  <si>
    <t>Сверло по дереву перовое, шестигранный хвостовик L152 D36</t>
  </si>
  <si>
    <t>716-247-15238</t>
  </si>
  <si>
    <t>Сверло по дереву перовое, шестигранный хвостовик L152 D38</t>
  </si>
  <si>
    <t>716-247-15240</t>
  </si>
  <si>
    <t>Сверло по дереву перовое, шестигранный хвостовик L152 D40</t>
  </si>
  <si>
    <t>716-247-15245</t>
  </si>
  <si>
    <t>Сверло по дереву перовое, шестигранный хвостовик L152 D45</t>
  </si>
  <si>
    <t>716-247-15250</t>
  </si>
  <si>
    <t>Сверло по дереву перовое, шестигранный хвостовик L152 D50</t>
  </si>
  <si>
    <t>716-247-15255</t>
  </si>
  <si>
    <t>Сверло по дереву перовое, шестигранный хвостовик L152 D55</t>
  </si>
  <si>
    <t>716-247-15260</t>
  </si>
  <si>
    <t>Сверло по дереву перовое, шестигранный хвостовик L152 D60</t>
  </si>
  <si>
    <t>750-370-150</t>
  </si>
  <si>
    <t>Удлинитель для перьевых сверл 150мм</t>
  </si>
  <si>
    <t>750-370-300</t>
  </si>
  <si>
    <t>Удлинитель для перьевых сверл 300мм</t>
  </si>
  <si>
    <t>794-650-115</t>
  </si>
  <si>
    <t>Круг зачистной по металлу 115х6х22 (компл. 5 шт.)</t>
  </si>
  <si>
    <t>794-650-230</t>
  </si>
  <si>
    <t>Круг зачистной по металлу 230х6х22 (компл. 5 шт.)</t>
  </si>
  <si>
    <t>802-015-200</t>
  </si>
  <si>
    <t>Ручка телескопическая 1,5-2м</t>
  </si>
  <si>
    <t>804-312-007</t>
  </si>
  <si>
    <t>Комплект пистолетов для монтажной пены F2 (компл. 2 шт.)</t>
  </si>
  <si>
    <t>822-808-02255</t>
  </si>
  <si>
    <t>Коронка по стеклу с центрирующим сверлом D22</t>
  </si>
  <si>
    <t>822-808-02855</t>
  </si>
  <si>
    <t>Коронка по стеклу с центрирующим сверлом D28</t>
  </si>
  <si>
    <t>822-808-03255</t>
  </si>
  <si>
    <t>Коронка по стеклу с центрирующим сверлом D32</t>
  </si>
  <si>
    <t>822-808-04255</t>
  </si>
  <si>
    <t>Коронка по стеклу с центрирующим сверлом D42</t>
  </si>
  <si>
    <t>822-808-08055</t>
  </si>
  <si>
    <t>Коронка по стеклу с центрирующим сверлом D80</t>
  </si>
  <si>
    <t>822-808-09055</t>
  </si>
  <si>
    <t>Коронка по стеклу с центрирующим сверлом D90</t>
  </si>
  <si>
    <t>822-808-09555</t>
  </si>
  <si>
    <t>Коронка по стеклу с центрирующим сверлом D95</t>
  </si>
  <si>
    <t>822-808-10555</t>
  </si>
  <si>
    <t>Коронка по стеклу с центрирующим сверлом D105</t>
  </si>
  <si>
    <t>822-808-11555</t>
  </si>
  <si>
    <t>Коронка по стеклу с центрирующим сверлом D115</t>
  </si>
  <si>
    <t>829-780-600</t>
  </si>
  <si>
    <t>Быстрозажимная струбцина 600мм</t>
  </si>
  <si>
    <t>829-780-700</t>
  </si>
  <si>
    <t>Быстрозажимная струбцина 700мм</t>
  </si>
  <si>
    <t>858-304-30120</t>
  </si>
  <si>
    <t>Сверло по дереву регулируемое (балеринка) 30-120мм</t>
  </si>
  <si>
    <t>Итого</t>
  </si>
  <si>
    <t>ASA28</t>
  </si>
  <si>
    <t>Акриловый герметик KRONbuild (белый) 280мл</t>
  </si>
  <si>
    <t>WS650</t>
  </si>
  <si>
    <t>Атмосферостойкий силиконовый герметик KRONbuild (черный) 600мл</t>
  </si>
  <si>
    <t>U52DT</t>
  </si>
  <si>
    <t>Ацетон технический 0,5л ПЭТ</t>
  </si>
  <si>
    <t>A62KR</t>
  </si>
  <si>
    <t>Ацетон технический 0,5л стекло</t>
  </si>
  <si>
    <t>EAK15</t>
  </si>
  <si>
    <t>Бытовая монтажная пена Enki 15+</t>
  </si>
  <si>
    <t>EAK30</t>
  </si>
  <si>
    <t>FH200</t>
  </si>
  <si>
    <t>Бытовая монтажная пена KRONbuild 20+</t>
  </si>
  <si>
    <t>FH400</t>
  </si>
  <si>
    <t>Бытовая монтажная пена KRONbuild 40+</t>
  </si>
  <si>
    <t>FHO65</t>
  </si>
  <si>
    <t>Бытовая монтажная пена KRONbuild всесезонная ONE 65</t>
  </si>
  <si>
    <t>SPPRG</t>
  </si>
  <si>
    <t>Грунт акриловый KRONbuild серый 520 мл</t>
  </si>
  <si>
    <t>071-010-112</t>
  </si>
  <si>
    <t>Дюбель рамный М10 - 112 мм (компл. 100 шт.)</t>
  </si>
  <si>
    <t>071-010-132</t>
  </si>
  <si>
    <t>Дюбель рамный М10 - 132 мм (компл. 100 шт.)</t>
  </si>
  <si>
    <t>071-010-152</t>
  </si>
  <si>
    <t>Дюбель рамный М10 - 152 мм (компл. 100 шт.)</t>
  </si>
  <si>
    <t>071-010-182</t>
  </si>
  <si>
    <t>Дюбель рамный М10 - 182 мм (компл. 100 шт.)</t>
  </si>
  <si>
    <t>071-010-092</t>
  </si>
  <si>
    <t>Дюбель рамный М10 - 92 мм (компл. 100 шт.)</t>
  </si>
  <si>
    <t>LNB39</t>
  </si>
  <si>
    <t>Клей монтажный жидкие гвозди KRONbuild (бежевый) 310мл</t>
  </si>
  <si>
    <t>LNW39</t>
  </si>
  <si>
    <t>Клей монтажный жидкие гвозди KRONbuild (белый) 310мл</t>
  </si>
  <si>
    <t>MSC36</t>
  </si>
  <si>
    <t>Клей-герметик на основе гибридных полимеров Kronbuild Crystal (прозрачный) 280мл</t>
  </si>
  <si>
    <t>GF800</t>
  </si>
  <si>
    <t>Клей-пена KRONbuild</t>
  </si>
  <si>
    <t>PUI90</t>
  </si>
  <si>
    <t>Напыляемый утеплитель KRONbuild</t>
  </si>
  <si>
    <t>CF351</t>
  </si>
  <si>
    <t>Очиститель монтажной пены KRONbuild 350g/500ml</t>
  </si>
  <si>
    <t>PSW78</t>
  </si>
  <si>
    <t>Полиуретановый герметик KRONbuild PU-40 (белый) 600мл RAL9003</t>
  </si>
  <si>
    <t>PSG78</t>
  </si>
  <si>
    <t>Полиуретановый герметик KRONbuild PU-40 (серый) 600мл RAL7039</t>
  </si>
  <si>
    <t>PSB78</t>
  </si>
  <si>
    <t>Полиуретановый герметик KRONbuild PU-40 (черный) 600мл RAL9005</t>
  </si>
  <si>
    <t>EAK65</t>
  </si>
  <si>
    <t>Профессиональная монтажная пена Enki всесезонная 65</t>
  </si>
  <si>
    <t>FWPM80</t>
  </si>
  <si>
    <t>Профессиональная монтажная пена KRONbuild Masters Зима 80</t>
  </si>
  <si>
    <t>FSPM80</t>
  </si>
  <si>
    <t>Профессиональная монтажная пена KRONbuild Masters Лето 80</t>
  </si>
  <si>
    <t>FAS50</t>
  </si>
  <si>
    <t>Профессиональная монтажная пена KRONbuild всесезонная  50</t>
  </si>
  <si>
    <t>FAS650</t>
  </si>
  <si>
    <t>Профессиональная монтажная пена KRONbuild всесезонная  65.</t>
  </si>
  <si>
    <t>FASGUN65</t>
  </si>
  <si>
    <t>Профессиональная монтажная пена KRONbuild всесезонная Handgun 65</t>
  </si>
  <si>
    <t>FAO65</t>
  </si>
  <si>
    <t>Профессиональная монтажная пена KRONbuild всесезонная ONE 65</t>
  </si>
  <si>
    <t>FAS70</t>
  </si>
  <si>
    <t>FASST</t>
  </si>
  <si>
    <t>Профессиональная монтажная пена KRONbuild всесезонная Standart 65</t>
  </si>
  <si>
    <t>FAS65U</t>
  </si>
  <si>
    <t>Профессиональная монтажная пена KRONbuild всесезонная Ultra 65</t>
  </si>
  <si>
    <t>FWP70</t>
  </si>
  <si>
    <t>Профессиональная монтажная пена KRONbuild Зима Pro 70</t>
  </si>
  <si>
    <t>FWS65</t>
  </si>
  <si>
    <t>Профессиональная монтажная пена KRONbuild Зима Standart 65</t>
  </si>
  <si>
    <t>FWU65</t>
  </si>
  <si>
    <t>Профессиональная монтажная пена KRONbuild Зима Ultra 65</t>
  </si>
  <si>
    <t>FSP70</t>
  </si>
  <si>
    <t>Профессиональная монтажная пена KRONbuild Лето Pro 70</t>
  </si>
  <si>
    <t>FSS65</t>
  </si>
  <si>
    <t>Профессиональная монтажная пена KRONbuild Лето Standart 65</t>
  </si>
  <si>
    <t>FSU65</t>
  </si>
  <si>
    <t>Профессиональная монтажная пена KRONbuild Лето Ultra 65</t>
  </si>
  <si>
    <t>FPFB1</t>
  </si>
  <si>
    <t>Профессиональная монтажная пена KRONbuild огнестойкая B1 65 л</t>
  </si>
  <si>
    <t>FC850</t>
  </si>
  <si>
    <t>Профессиональная цемент-пена KRONbuild</t>
  </si>
  <si>
    <t>B56CL</t>
  </si>
  <si>
    <t>Растворитель 646 0,5л ПЭТ</t>
  </si>
  <si>
    <t>R66VT</t>
  </si>
  <si>
    <t>Растворитель 646 0,5л стекло</t>
  </si>
  <si>
    <t>S54DL</t>
  </si>
  <si>
    <t>Растворитель 647 0,5л ПЭТ</t>
  </si>
  <si>
    <t>F64UH</t>
  </si>
  <si>
    <t>Растворитель 647 0,5л стекло</t>
  </si>
  <si>
    <t>SHR30</t>
  </si>
  <si>
    <t>Силиконовый герметик KRONbuild высокотемпературный (красный) 300мл</t>
  </si>
  <si>
    <t>SHR80</t>
  </si>
  <si>
    <t>Силиконовый герметик KRONbuild высокотемпературный (красный) 80мл</t>
  </si>
  <si>
    <t>SAB30</t>
  </si>
  <si>
    <t>Силиконовый герметик KRONbuild для аквариумов и витрин (черный) 280мл</t>
  </si>
  <si>
    <t>28SNW</t>
  </si>
  <si>
    <t>Силиконовый нейтральный герметик Enki (белый) 280мл</t>
  </si>
  <si>
    <t>28SNT</t>
  </si>
  <si>
    <t>Силиконовый нейтральный герметик Enki (бесцветный) 280мл</t>
  </si>
  <si>
    <t>SNW28</t>
  </si>
  <si>
    <t>Силиконовый нейтральный герметик KRONbuild (белый) 280мл</t>
  </si>
  <si>
    <t>SNT28</t>
  </si>
  <si>
    <t>Силиконовый нейтральный герметик KRONbuild (бесцветный) 280мл</t>
  </si>
  <si>
    <t>SNT60</t>
  </si>
  <si>
    <t>Силиконовый нейтральный герметик KRONbuild (бесцветный) 600мл</t>
  </si>
  <si>
    <t>28SSW</t>
  </si>
  <si>
    <t>Силиконовый санитарный герметик Enki (белый) 280мл</t>
  </si>
  <si>
    <t>28SST</t>
  </si>
  <si>
    <t>Силиконовый санитарный герметик Enki (бесцветный) 280мл</t>
  </si>
  <si>
    <t>SSW28</t>
  </si>
  <si>
    <t>Силиконовый санитарный герметик KRONbuild (белый) 280мл</t>
  </si>
  <si>
    <t>SST28</t>
  </si>
  <si>
    <t>Силиконовый санитарный герметик KRONbuild (бесцветный) 280мл</t>
  </si>
  <si>
    <t>SST80</t>
  </si>
  <si>
    <t>Силиконовый санитарный герметик KRONbuild (бесцветный) 80мл</t>
  </si>
  <si>
    <t>28SUW</t>
  </si>
  <si>
    <t>Силиконовый универсальный герметик Enki (белый) 280мл</t>
  </si>
  <si>
    <t>28SUT</t>
  </si>
  <si>
    <t>Силиконовый универсальный герметик Enki (бесцветный) 280мл</t>
  </si>
  <si>
    <t>SUW28</t>
  </si>
  <si>
    <t>Силиконовый универсальный герметик KRONbuild (белый) 280мл</t>
  </si>
  <si>
    <t>SUW80</t>
  </si>
  <si>
    <t>Силиконовый универсальный герметик KRONbuild (белый) 80мл</t>
  </si>
  <si>
    <t>SUT28</t>
  </si>
  <si>
    <t>Силиконовый универсальный герметик KRONbuild (бесцветный) 280мл</t>
  </si>
  <si>
    <t>SUT80</t>
  </si>
  <si>
    <t>Силиконовый универсальный герметик KRONbuild (бесцветный) 80мл</t>
  </si>
  <si>
    <t>SUB28</t>
  </si>
  <si>
    <t>Силиконовый универсальный герметик KRONbuild (черный) 280мл</t>
  </si>
  <si>
    <t>SPPREM</t>
  </si>
  <si>
    <t>Смывка старой краски KRONbuild 520 мл</t>
  </si>
  <si>
    <t>CBR20</t>
  </si>
  <si>
    <t>Супер-клей KRONbuild цианоакрилатный 20г.</t>
  </si>
  <si>
    <t>GSX03</t>
  </si>
  <si>
    <t>Супер-клей KRONbuild цианоакрилатный 3г.</t>
  </si>
  <si>
    <t>SPSREM</t>
  </si>
  <si>
    <t>Удалитель наклеек KRONbuild 520 мл</t>
  </si>
  <si>
    <t>072-075-112</t>
  </si>
  <si>
    <t>Шуруп по бетону 7,5*112 мм (компл. 200 шт.)</t>
  </si>
  <si>
    <t>072-075-132</t>
  </si>
  <si>
    <t>Шуруп по бетону 7,5*132 мм (компл. 200 шт.)</t>
  </si>
  <si>
    <t>072-075-152</t>
  </si>
  <si>
    <t>Шуруп по бетону 7,5*152 мм (компл. 200 шт.)</t>
  </si>
  <si>
    <t>072-075-182</t>
  </si>
  <si>
    <t>Шуруп по бетону 7,5*182 мм (компл. 150 шт.)</t>
  </si>
  <si>
    <t>072-075-202</t>
  </si>
  <si>
    <t>Шуруп по бетону 7,5*202 мм (компл. 150 шт.)</t>
  </si>
  <si>
    <t>072-075-052</t>
  </si>
  <si>
    <t>Шуруп по бетону 7,5*52 мм (компл. 500 шт.)</t>
  </si>
  <si>
    <t>072-075-072</t>
  </si>
  <si>
    <t>Шуруп по бетону 7,5*72 мм (компл. 400 шт.)</t>
  </si>
  <si>
    <t>072-075-092</t>
  </si>
  <si>
    <t>Шуруп по бетону 7,5*92 мм (компл. 300 шт.)</t>
  </si>
  <si>
    <t>SP1018G</t>
  </si>
  <si>
    <t>Эмаль акриловая KRONbuild RAL 1018 желтая глянец 520 мл</t>
  </si>
  <si>
    <t>SP3011G</t>
  </si>
  <si>
    <t>Эмаль акриловая KRONbuild RAL 3011 коричнево-красный глянец 520 мл</t>
  </si>
  <si>
    <t>SP5005G</t>
  </si>
  <si>
    <t>Эмаль акриловая KRONbuild RAL 5005 синяя глянец 520 мл</t>
  </si>
  <si>
    <t>SP6005G</t>
  </si>
  <si>
    <t>Эмаль акриловая KRONbuild RAL 6005 зеленый мох глянец 520 мл</t>
  </si>
  <si>
    <t>SP6018G</t>
  </si>
  <si>
    <t>Эмаль акриловая KRONbuild RAL 6018 светло-зеленая глянец 520 мл</t>
  </si>
  <si>
    <t>SP7035AG</t>
  </si>
  <si>
    <t>Эмаль акриловая KRONbuild RAL 7035 светло-серый глянец 520 мл</t>
  </si>
  <si>
    <t>SP7040G</t>
  </si>
  <si>
    <t>Эмаль акриловая KRONbuild RAL 7040 серое окно глянец 520 мл</t>
  </si>
  <si>
    <t>SP7046G</t>
  </si>
  <si>
    <t>Эмаль акриловая KRONbuild RAL 7046 тёмно-серая глянец 520 мл</t>
  </si>
  <si>
    <t>SP8012G</t>
  </si>
  <si>
    <t>Эмаль акриловая KRONbuild RAL 8012 коричневая глянец 520 мл</t>
  </si>
  <si>
    <t>SP8017CG</t>
  </si>
  <si>
    <t>Эмаль акриловая KRONbuild RAL 8017 шоколадно-коричневый глянец 520 мл</t>
  </si>
  <si>
    <t>SP9003G</t>
  </si>
  <si>
    <t>Эмаль акриловая KRONbuild RAL 9003 белая глянец 520 мл</t>
  </si>
  <si>
    <t>SP9003M</t>
  </si>
  <si>
    <t>Эмаль акриловая KRONbuild RAL 9003 белая матовая 520 мл</t>
  </si>
  <si>
    <t>SP9005G</t>
  </si>
  <si>
    <t>Эмаль акриловая KRONbuild RAL 9005 чёрная глянец 520 мл</t>
  </si>
  <si>
    <t>SP9005M</t>
  </si>
  <si>
    <t>Эмаль акриловая KRONbuild RAL 9005 чёрная матовая 520 мл</t>
  </si>
  <si>
    <t>SPMETBR</t>
  </si>
  <si>
    <t>Эмаль акриловая KRONbuild металлик бронза 520 мл</t>
  </si>
  <si>
    <t>SPMETG</t>
  </si>
  <si>
    <t>Эмаль акриловая KRONbuild металлик золото 520 мл</t>
  </si>
  <si>
    <t>SPMETSERG</t>
  </si>
  <si>
    <t>Эмаль акриловая KRONbuild металлик серебро 520 мл</t>
  </si>
  <si>
    <t>SPMETCH</t>
  </si>
  <si>
    <t>Эмаль акриловая KRONbuild металлик хром 520 мл</t>
  </si>
  <si>
    <t>SPA1018G</t>
  </si>
  <si>
    <t>Эмаль алкидная KRONbuild RAL 1018 желтая глянец 520 мл</t>
  </si>
  <si>
    <t>SPA3020G</t>
  </si>
  <si>
    <t>Эмаль алкидная KRONbuild RAL 3020 красная глянец 520 мл</t>
  </si>
  <si>
    <t>SPA5005G</t>
  </si>
  <si>
    <t>Эмаль алкидная KRONbuild RAL 5005 синяя глянец 520 мл</t>
  </si>
  <si>
    <t>SPA6018G</t>
  </si>
  <si>
    <t>Эмаль алкидная KRONbuild RAL 6018 светло-зеленая глянец 520 мл</t>
  </si>
  <si>
    <t>SPA7035G</t>
  </si>
  <si>
    <t>Эмаль алкидная KRONbuild RAL 7035 светло-серая глянец 520 мл</t>
  </si>
  <si>
    <t>SPA7046G</t>
  </si>
  <si>
    <t>Эмаль алкидная KRONbuild RAL 7046 тёмно-серая глянец 520 мл</t>
  </si>
  <si>
    <t>SPA8012G</t>
  </si>
  <si>
    <t>Эмаль алкидная KRONbuild RAL 8012 коричневая глянец 520 мл</t>
  </si>
  <si>
    <t>SPA9003G</t>
  </si>
  <si>
    <t>Эмаль алкидная KRONbuild RAL 9003 белая глянец 520 мл</t>
  </si>
  <si>
    <t>SPA9003M</t>
  </si>
  <si>
    <t>Эмаль алкидная KRONbuild RAL 9003 белая матовая 520 мл</t>
  </si>
  <si>
    <t>SPA9005G</t>
  </si>
  <si>
    <t>Эмаль алкидная KRONbuild RAL 9005 чёрная глянец 520 мл</t>
  </si>
  <si>
    <t>SPA9005M</t>
  </si>
  <si>
    <t>Эмаль алкидная KRONbuild RAL 9005 чёрная матовая 520 мл</t>
  </si>
  <si>
    <t>EXP25</t>
  </si>
  <si>
    <t>Эпоксидный клей (смола+отвердитель) в шприце 25мл.</t>
  </si>
  <si>
    <t>EXP06</t>
  </si>
  <si>
    <t>Эпоксидный клей (смола+отвердитель) в шприце 6мл.</t>
  </si>
  <si>
    <t>ASIW930</t>
  </si>
  <si>
    <t>Герметик акриловый шовный пароизоляционный KRONBuild белый 600мл</t>
  </si>
  <si>
    <t>ASIW7KG</t>
  </si>
  <si>
    <t>Герметик акриловый шовный пароизоляционный KRONBuild белый 7кг</t>
  </si>
  <si>
    <t>ASIG930</t>
  </si>
  <si>
    <t>Герметик акриловый шовный пароизоляционный KRONBuild серый 600мл</t>
  </si>
  <si>
    <t>ASIG7KG</t>
  </si>
  <si>
    <t>Герметик акриловый шовный пароизоляционный KRONBuild серый 7кг</t>
  </si>
  <si>
    <t>ASW930</t>
  </si>
  <si>
    <t>Герметик акриловый шовный паропроницаемый KRONBuild белый 600мл</t>
  </si>
  <si>
    <t>ASW7KG</t>
  </si>
  <si>
    <t>Герметик акриловый шовный паропроницаемый KRONBuild белый 7кг</t>
  </si>
  <si>
    <t>ASG930</t>
  </si>
  <si>
    <t>Герметик акриловый шовный паропроницаемый KRONBuild серый 600мл</t>
  </si>
  <si>
    <t>ASG7KG</t>
  </si>
  <si>
    <t>Герметик акриловый шовный паропроницаемый KRONBuild серый 7кг</t>
  </si>
  <si>
    <t>ANRUSTLUB</t>
  </si>
  <si>
    <t>Смазка универсальная проникающая KRONbuild KB-40 200 мл</t>
  </si>
  <si>
    <t>SP3020G</t>
  </si>
  <si>
    <t>Эмаль акриловая KRONbuild RAL 3020 красная глянец 520 мл</t>
  </si>
  <si>
    <t>SAT30</t>
  </si>
  <si>
    <t>Силиконовый герметик KRONbuild для аквариумов и витрин (бесцветный) 280мл</t>
  </si>
  <si>
    <t>SSW80</t>
  </si>
  <si>
    <t>Силиконовый санитарный герметик KRONbuild (белый) 80мл</t>
  </si>
  <si>
    <t>SP3000G</t>
  </si>
  <si>
    <t>Эмаль акриловая KRONbuild RAL 3000 огненно-красная глянец 520 мл</t>
  </si>
  <si>
    <t>SP5015G</t>
  </si>
  <si>
    <t>Эмаль акриловая KRONbuild RAL 5015 голубая глянец 520 мл</t>
  </si>
  <si>
    <t>SP6014G</t>
  </si>
  <si>
    <t>Эмаль акриловая KRONbuild RAL 6014 хаки глянец 520 мл</t>
  </si>
  <si>
    <t>SP6029G</t>
  </si>
  <si>
    <t>Эмаль акриловая KRONbuild RAL 6029 тёмно-зеленый глянец 520 мл</t>
  </si>
  <si>
    <t>SP7001AG</t>
  </si>
  <si>
    <t>Эмаль акриловая KRONbuild RAL 7001 серая глянец 520 мл шт</t>
  </si>
  <si>
    <t>ОБ (дн)</t>
  </si>
  <si>
    <t>Процент присут на складе</t>
  </si>
  <si>
    <t>Отгружается шт/руб</t>
  </si>
  <si>
    <t>В резерве шт/руб</t>
  </si>
  <si>
    <t>Доступно шт/руб</t>
  </si>
  <si>
    <t>В пути Владивосток шт/руб</t>
  </si>
  <si>
    <t>Итого остатки шт/руб</t>
  </si>
  <si>
    <t>Ср мес прод за 3 мес</t>
  </si>
  <si>
    <t>Профессиональная монтажная пена KRONbuild всесезонная PRO 70</t>
  </si>
  <si>
    <t>Бытовая монтажная пена Enki 30+</t>
  </si>
  <si>
    <t>Сверхнормативные остатки, шт</t>
  </si>
  <si>
    <t>Сверхнормативные остатки, руб</t>
  </si>
  <si>
    <t>min</t>
  </si>
  <si>
    <t>В пути Москва шт/руб</t>
  </si>
  <si>
    <t>Дата</t>
  </si>
  <si>
    <t>А</t>
  </si>
  <si>
    <t>В</t>
  </si>
  <si>
    <t>С</t>
  </si>
  <si>
    <t xml:space="preserve">ТОП 10 сверхнорматив </t>
  </si>
  <si>
    <t>Товар без движения</t>
  </si>
  <si>
    <t>Параметры:</t>
  </si>
  <si>
    <t>Количество товаров: В единицах хранения</t>
  </si>
  <si>
    <t>В резерве</t>
  </si>
  <si>
    <t>Полиуретановый герметик KRONbuild PU-40 (серый) 600мл RAL7040</t>
  </si>
  <si>
    <t>Отбор:</t>
  </si>
  <si>
    <t>Количество</t>
  </si>
  <si>
    <t>нет продаж</t>
  </si>
  <si>
    <t>15.10.2026</t>
  </si>
  <si>
    <t>Пена 30А от 15.04.25</t>
  </si>
  <si>
    <t>шт</t>
  </si>
  <si>
    <t>Москва - Лист Ложистик</t>
  </si>
  <si>
    <t>10.04.2025</t>
  </si>
  <si>
    <t>GLUE-1 от 10.10.23</t>
  </si>
  <si>
    <t>26.01.2026</t>
  </si>
  <si>
    <t>Герметик 125В от 26.07.24</t>
  </si>
  <si>
    <t>26.11.2026</t>
  </si>
  <si>
    <t>28.01.2026</t>
  </si>
  <si>
    <t>Герметик 122В от 28.07.24</t>
  </si>
  <si>
    <t>08.02.2026</t>
  </si>
  <si>
    <t>Герметик 132В от 08.08.24</t>
  </si>
  <si>
    <t>Герметик 128К от 26.05.25</t>
  </si>
  <si>
    <t>05.02.2026</t>
  </si>
  <si>
    <t>Герметик 130В от 05.08.24</t>
  </si>
  <si>
    <t>28.02.2026</t>
  </si>
  <si>
    <t>Очиститель монтажной пены KRONbuild 350g/350ml</t>
  </si>
  <si>
    <t>14.12.2026</t>
  </si>
  <si>
    <t>GLUE-3 от 14.06.25</t>
  </si>
  <si>
    <t>28.11.2026</t>
  </si>
  <si>
    <t>Герметик 149В от 28.05.25</t>
  </si>
  <si>
    <t>22.10.2026</t>
  </si>
  <si>
    <t>Пена 273В от 22.04.25</t>
  </si>
  <si>
    <t>07.11.2026</t>
  </si>
  <si>
    <t>Пена 35А от 07.05.25</t>
  </si>
  <si>
    <t>25.08.2026</t>
  </si>
  <si>
    <t>Пена 11А от 25.02.25</t>
  </si>
  <si>
    <t>15.07.2026</t>
  </si>
  <si>
    <t>Пена 34А от 07.05.25</t>
  </si>
  <si>
    <t>23.09.2026</t>
  </si>
  <si>
    <t>11.12.2026</t>
  </si>
  <si>
    <t>Пена 41А от 11.06.25</t>
  </si>
  <si>
    <t>Пена 6А от 15.01.25</t>
  </si>
  <si>
    <t>Пена 27A от 23.03.25</t>
  </si>
  <si>
    <t>17.12.2026</t>
  </si>
  <si>
    <t>Пена 43А от 17.06.25</t>
  </si>
  <si>
    <t>Пена 40А от 11.06.25</t>
  </si>
  <si>
    <t>17.11.2026</t>
  </si>
  <si>
    <t>Пена 38А от 17.05.25</t>
  </si>
  <si>
    <t>Пена 271В от 22.04.25</t>
  </si>
  <si>
    <t>10.10.2026</t>
  </si>
  <si>
    <t>Пена 270В от 10.04.25</t>
  </si>
  <si>
    <t>Герметик 148В от 28.05.25</t>
  </si>
  <si>
    <t>Адресный Лакония СЕТИ</t>
  </si>
  <si>
    <t>15.12.2026</t>
  </si>
  <si>
    <t>GLUE-4 от 15.06.25</t>
  </si>
  <si>
    <t>03.02.2026</t>
  </si>
  <si>
    <t>Герметик 128В от 03.08.24</t>
  </si>
  <si>
    <t>19.12.2026</t>
  </si>
  <si>
    <t>Герметик 130К от 26.05.25</t>
  </si>
  <si>
    <t>Пена 269В от 23.03.25</t>
  </si>
  <si>
    <t>Пена 33А от 07.05.25</t>
  </si>
  <si>
    <t>Пена 272В от 22.04.25</t>
  </si>
  <si>
    <t>Адресный Лакония ОПТ</t>
  </si>
  <si>
    <t>24.01.2026</t>
  </si>
  <si>
    <t>GLUE-2 от 24.07.24</t>
  </si>
  <si>
    <t>03.09.2026</t>
  </si>
  <si>
    <t>Герметик 140В от 03.03.25</t>
  </si>
  <si>
    <t>23.12.2025</t>
  </si>
  <si>
    <t>Герметик 117В от 23.06.24</t>
  </si>
  <si>
    <t>Герметик 127В от 28.07.24</t>
  </si>
  <si>
    <t>Герметик 116К от 26.05.25</t>
  </si>
  <si>
    <t>24.12.2025</t>
  </si>
  <si>
    <t>Герметик 116В от 24.06.24</t>
  </si>
  <si>
    <t>Герметик 113В от 24.06.24</t>
  </si>
  <si>
    <t>14.09.2026</t>
  </si>
  <si>
    <t>Герметик 142В от 14.03.25</t>
  </si>
  <si>
    <t>Герметик 112В от 24.06.24</t>
  </si>
  <si>
    <t>27.12.2025</t>
  </si>
  <si>
    <t>Пена 229В от 27.06.24</t>
  </si>
  <si>
    <t>20.03.2026</t>
  </si>
  <si>
    <t>29.03.2026</t>
  </si>
  <si>
    <t>22.01.2026</t>
  </si>
  <si>
    <t>Пена 234В от 22.07.24</t>
  </si>
  <si>
    <t>Пена 37А от 17.05.25</t>
  </si>
  <si>
    <t>Пена 266В от 29.09.24</t>
  </si>
  <si>
    <t>20.12.2025</t>
  </si>
  <si>
    <t>Герметик 108В от 20.06.24</t>
  </si>
  <si>
    <t>05.11.2026</t>
  </si>
  <si>
    <t>Герметик 146В от 05.05.25</t>
  </si>
  <si>
    <t>22.03.2026</t>
  </si>
  <si>
    <t>Герметик 136В от 22.09.24</t>
  </si>
  <si>
    <t>Годен до</t>
  </si>
  <si>
    <t>Серия</t>
  </si>
  <si>
    <t>Продажи, мес</t>
  </si>
  <si>
    <t>Свободный остаток</t>
  </si>
  <si>
    <t>К отгрузке</t>
  </si>
  <si>
    <t>Ед. изм.</t>
  </si>
  <si>
    <t>Конечный остаток</t>
  </si>
  <si>
    <t>Склад</t>
  </si>
  <si>
    <t>руб.</t>
  </si>
  <si>
    <t>Валюта</t>
  </si>
  <si>
    <t>Номенклатура36: ENKI; KRONbuild</t>
  </si>
  <si>
    <t>Вид цены: Кайрос "новый"</t>
  </si>
  <si>
    <t>Оценка запасов: По виду цен, указанному в отчете</t>
  </si>
  <si>
    <t>Свободные остатки и продажи по сериям</t>
  </si>
  <si>
    <t>04.10.2025</t>
  </si>
  <si>
    <t>Герметик 102В от 04.04.24</t>
  </si>
  <si>
    <t>19.03.2026</t>
  </si>
  <si>
    <t>Герметик 135В от 19.09.24</t>
  </si>
  <si>
    <t>18.11.2026</t>
  </si>
  <si>
    <t>Герметик 112К от 18.05.25</t>
  </si>
  <si>
    <t>Пена 26A от 23.03.25</t>
  </si>
  <si>
    <t>Герметик 141В от 14.03.25</t>
  </si>
  <si>
    <t>Адресный Янковский Новый</t>
  </si>
  <si>
    <t>16.07.2026</t>
  </si>
  <si>
    <t>Пена 267В от 16.01.25</t>
  </si>
  <si>
    <t>Пена 256В от 20.09.24</t>
  </si>
  <si>
    <t>Пена 24A от 23.03.25</t>
  </si>
  <si>
    <t>14.07.2024</t>
  </si>
  <si>
    <t>Пена 134В от 14.01.23</t>
  </si>
  <si>
    <t>Новосибирск - СЛК</t>
  </si>
  <si>
    <t>Склад В группе из списка "Новосибирск - СЛК" И
Номенклатура В группе из списка "ENKI; KRONbuild" И
Истекла половина срока годности Равно "Да"</t>
  </si>
  <si>
    <t>17.01.2027</t>
  </si>
  <si>
    <t>Герметик 159В от 17.07.25</t>
  </si>
  <si>
    <t>26.12.2026</t>
  </si>
  <si>
    <t>Герметик 154В от 26.06.25</t>
  </si>
  <si>
    <t>22.04.2027</t>
  </si>
  <si>
    <t>01.03.2027</t>
  </si>
  <si>
    <t>Герметик 167В от 01.09.25</t>
  </si>
  <si>
    <t>28.02.2027</t>
  </si>
  <si>
    <t>Пена 61А от 28.08.25</t>
  </si>
  <si>
    <t>05.02.2027</t>
  </si>
  <si>
    <t>Пена 57А от 05.08.25</t>
  </si>
  <si>
    <t>Герметик 164В от 01.09.25</t>
  </si>
  <si>
    <t>Пена 56А от 05.08.25</t>
  </si>
  <si>
    <t>07.05.2027</t>
  </si>
  <si>
    <t>21.01.2024</t>
  </si>
  <si>
    <t>Очиститель 1 от 21.01.22</t>
  </si>
  <si>
    <t>07.02.2027</t>
  </si>
  <si>
    <t>Герметик 162В от 07.08.25</t>
  </si>
  <si>
    <t>25.01.2027</t>
  </si>
  <si>
    <t>Пена 53А от 25.07.25</t>
  </si>
  <si>
    <t>Пена 51А от 25.07.25</t>
  </si>
  <si>
    <t>Пена 59А от 28.08.25</t>
  </si>
  <si>
    <t>Пена 55А/1 от 05.08.25</t>
  </si>
  <si>
    <t>GLUE-5 от 29.08.25</t>
  </si>
  <si>
    <t>Герметик 152В от 19.06.25</t>
  </si>
  <si>
    <t>09.02.2027</t>
  </si>
  <si>
    <t>Герметик 163В от 09.08.25</t>
  </si>
  <si>
    <t>Герметик 166В от 01.09.25</t>
  </si>
  <si>
    <t>02.02.2027</t>
  </si>
  <si>
    <t>Герметик 160В от 02.08.25</t>
  </si>
  <si>
    <t>01.02.2027</t>
  </si>
  <si>
    <t>Пена 49А от 01.08.25</t>
  </si>
  <si>
    <t>03.02.2027</t>
  </si>
  <si>
    <t>Герметик 160В от 03.08.25</t>
  </si>
  <si>
    <t>Пена 52А от 25.07.25</t>
  </si>
  <si>
    <t>Силикатный герметик KRONbuild высокотемпературный (черный) 1500 ℃ 300 мл</t>
  </si>
  <si>
    <t>04.03.2025</t>
  </si>
  <si>
    <t>Герметик 93В от 04.09.23</t>
  </si>
  <si>
    <t>17.08.2024</t>
  </si>
  <si>
    <t>Герметик 80В от 17.02.23</t>
  </si>
  <si>
    <t>Герметик 124К от 26.05.25</t>
  </si>
  <si>
    <t>Герметик 121В от 22.07.24</t>
  </si>
  <si>
    <t>11.08.2024</t>
  </si>
  <si>
    <t>Герметик 72В от 11.02.23</t>
  </si>
  <si>
    <t>28.08.2024</t>
  </si>
  <si>
    <t>Герметик 74В от 28.02.23</t>
  </si>
  <si>
    <t>08.06.2024</t>
  </si>
  <si>
    <t>Герметик 67В от 08.12.22</t>
  </si>
  <si>
    <t>27.04.2024</t>
  </si>
  <si>
    <t>Герметик 61В от 27.10.22</t>
  </si>
  <si>
    <t>05.11.2023</t>
  </si>
  <si>
    <t>Герметик 47В от 05.05.22</t>
  </si>
  <si>
    <t>15.03.2025</t>
  </si>
  <si>
    <t>Герметик 1Т от 15.09.23</t>
  </si>
  <si>
    <t>20.06.2025</t>
  </si>
  <si>
    <t>Пена 198В от 20.12.23</t>
  </si>
  <si>
    <t>28.12.2024</t>
  </si>
  <si>
    <t>Пена 153В от 28.06.23</t>
  </si>
  <si>
    <t>11.01.2024</t>
  </si>
  <si>
    <t>Пена 84В от 11.07.22</t>
  </si>
  <si>
    <t>07.09.2024</t>
  </si>
  <si>
    <t>Пена 140В от 07.03.23</t>
  </si>
  <si>
    <t>Пена 248В от 28.08.24</t>
  </si>
  <si>
    <t>26.03.2025</t>
  </si>
  <si>
    <t>Пена 168В от 26.09.23</t>
  </si>
  <si>
    <t>14.02.2025</t>
  </si>
  <si>
    <t>Герметик 92В от 14.08.23</t>
  </si>
  <si>
    <t>26.12.2025</t>
  </si>
  <si>
    <t>Герметик 119В от 26.06.24</t>
  </si>
  <si>
    <t>15.10.2025</t>
  </si>
  <si>
    <t>Герметик 103В от 15.04.24</t>
  </si>
  <si>
    <t>28.11.2024</t>
  </si>
  <si>
    <t>Пена 114В от 28.11.22</t>
  </si>
  <si>
    <t>09.04.2024</t>
  </si>
  <si>
    <t>Герметик 59В от 09.10.22</t>
  </si>
  <si>
    <t>Брак Лакония</t>
  </si>
  <si>
    <t>23.03.2027</t>
  </si>
  <si>
    <t>Пена 62А от 23.09.25</t>
  </si>
  <si>
    <t>Пена 63А от 23.09.25</t>
  </si>
  <si>
    <t>Герметик 153В от 19.06.25</t>
  </si>
  <si>
    <t>12.07.2024</t>
  </si>
  <si>
    <t>Герметик 138В от 15.01.25</t>
  </si>
  <si>
    <t>Брак Янковский</t>
  </si>
  <si>
    <t>04.04.2027</t>
  </si>
  <si>
    <t>Пена 64А от 04.10.25</t>
  </si>
  <si>
    <t>30.03.2027</t>
  </si>
  <si>
    <t>Герметик 168В от 30.09.25</t>
  </si>
  <si>
    <t>25.05.2027</t>
  </si>
  <si>
    <t>Пена 88А от 25.11.25</t>
  </si>
  <si>
    <t>14.05.2027</t>
  </si>
  <si>
    <t>Пена 70А от 14.11.25</t>
  </si>
  <si>
    <t>21.05.2027</t>
  </si>
  <si>
    <t>Пена 83А от 21.11.25</t>
  </si>
  <si>
    <t>Пена 280В от 14.11.25</t>
  </si>
  <si>
    <t>15.05.2027</t>
  </si>
  <si>
    <t>Герметик 171В от 15.11.25</t>
  </si>
  <si>
    <t>Пена 279В от 25.11.25</t>
  </si>
  <si>
    <t>Пена 87А от 25.11.25</t>
  </si>
  <si>
    <t>Пена 71А от 14.11.25</t>
  </si>
  <si>
    <t>30.04.2027</t>
  </si>
  <si>
    <t>Герметик 170В от 31.10.25</t>
  </si>
  <si>
    <t>25.04.2027</t>
  </si>
  <si>
    <t>Пена 65А от 25.10.25</t>
  </si>
  <si>
    <t>Пена 89А от 25.11.25</t>
  </si>
  <si>
    <t>Период отчета: 25.08.2026 - 25.08.2026</t>
  </si>
  <si>
    <t>Герметик 173В от 25.11.25</t>
  </si>
  <si>
    <t>Пена 86А от 25.11.25</t>
  </si>
  <si>
    <t>01.08.2027</t>
  </si>
  <si>
    <t>08.03.2025</t>
  </si>
  <si>
    <t>Пена 165В от 08.09.23</t>
  </si>
  <si>
    <t>Пена 126В от 12.01.23</t>
  </si>
  <si>
    <t>Адресный Лакония РЕЗЕРВ</t>
  </si>
  <si>
    <t>20.05.2027</t>
  </si>
  <si>
    <t>Пена 82А от 20.11.25</t>
  </si>
  <si>
    <t>Пена 85А от 25.11.25</t>
  </si>
  <si>
    <t>10.05.2027</t>
  </si>
  <si>
    <t>Пена 69А от 10.11.25</t>
  </si>
  <si>
    <t>Пена 66А от 25.10.25</t>
  </si>
  <si>
    <t>Пена 44А от 17.06.25</t>
  </si>
  <si>
    <t>Пена 261В от 20.09.24</t>
  </si>
  <si>
    <t>Пена 259В от 20.09.24</t>
  </si>
  <si>
    <t>Пена 278В от 15.11.25</t>
  </si>
  <si>
    <t>27.04.2027</t>
  </si>
  <si>
    <t>Герметик 169В от 27.10.25</t>
  </si>
  <si>
    <t>05.08.2027</t>
  </si>
  <si>
    <t>Пена 54А от 05.08.25</t>
  </si>
  <si>
    <t>12.04.2024</t>
  </si>
  <si>
    <t>Пена 103В от 12.10.22</t>
  </si>
  <si>
    <t>Склад В группе из списка "Москва - Лист Ложистик; Москва - Лист Ложистик (ш...; Брак Лакония  ; Адресный Лакония ОПТ; Адресный Лакония СЕТИ; Адресный Лакония РЕЗЕРВ" И
Номенклатура В группе из списка "ENKI; KRONbuild" И
Истекла половина срока годности Равно "Да"</t>
  </si>
  <si>
    <t>01.04.2027</t>
  </si>
  <si>
    <t>Герметик 135К от 01.10.25</t>
  </si>
  <si>
    <t>10.09.2026</t>
  </si>
  <si>
    <t>Пена 20А от 10.03.25</t>
  </si>
  <si>
    <t>Склад В группе из списка "Адресный Янковский Новый; Брак Янковский" И
Номенклатура В группе из списка "ENKI; KRONbuild" И
Истекла половина срока годности Равно "Да"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</si>
</sst>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_-* #,##0\ _₽_-;\-* #,##0\ _₽_-;_-* &quot;-&quot;??\ _₽_-;_-@_-"/>
    <numFmt numFmtId="166" formatCode="0.0"/>
    <numFmt numFmtId="169" formatCode="#,##0.0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8"/>
      <name val="Arial"/>
    </font>
    <font>
      <b/>
      <sz val="9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b/>
      <sz val="18"/>
      <name val="Arial"/>
    </font>
    <font>
      <sz val="14"/>
      <name val="Arial"/>
    </font>
    <font>
      <sz val="8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DCA0"/>
        <bgColor auto="1"/>
      </patternFill>
    </fill>
    <fill>
      <patternFill patternType="solid">
        <fgColor rgb="FFFBF9EC"/>
        <bgColor auto="1"/>
      </patternFill>
    </fill>
    <fill>
      <patternFill patternType="solid">
        <fgColor rgb="FFFCBABA"/>
        <bgColor auto="1"/>
      </patternFill>
    </fill>
  </fills>
  <borders count="10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5" fillId="0" borderId="0"/>
  </cellStyleXfs>
  <cellXfs count="13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vertical="top" wrapText="1"/>
    </xf>
    <xf numFmtId="0" fontId="2" fillId="2" borderId="3" xfId="0" applyFont="1" applyFill="1" applyBorder="1" applyAlignment="1">
      <alignment horizontal="center" vertical="top" wrapText="1"/>
    </xf>
    <xf numFmtId="165" fontId="0" fillId="0" borderId="0" xfId="1" applyNumberFormat="1" applyFont="1" applyAlignment="1">
      <alignment horizontal="left"/>
    </xf>
    <xf numFmtId="165" fontId="2" fillId="2" borderId="3" xfId="1" applyNumberFormat="1" applyFont="1" applyFill="1" applyBorder="1" applyAlignment="1">
      <alignment vertical="top" wrapText="1"/>
    </xf>
    <xf numFmtId="165" fontId="0" fillId="0" borderId="1" xfId="1" applyNumberFormat="1" applyFont="1" applyBorder="1" applyAlignment="1">
      <alignment horizontal="right" vertical="top"/>
    </xf>
    <xf numFmtId="0" fontId="0" fillId="0" borderId="1" xfId="0" applyBorder="1" applyAlignment="1">
      <alignment vertical="top"/>
    </xf>
    <xf numFmtId="2" fontId="3" fillId="2" borderId="3" xfId="2" applyNumberFormat="1" applyFont="1" applyFill="1" applyBorder="1" applyAlignment="1">
      <alignment horizontal="center" vertical="center" wrapText="1"/>
    </xf>
    <xf numFmtId="165" fontId="3" fillId="2" borderId="3" xfId="1" applyNumberFormat="1" applyFont="1" applyFill="1" applyBorder="1" applyAlignment="1">
      <alignment horizontal="center" vertical="center" wrapText="1"/>
    </xf>
    <xf numFmtId="165" fontId="3" fillId="2" borderId="6" xfId="1" applyNumberFormat="1" applyFont="1" applyFill="1" applyBorder="1" applyAlignment="1">
      <alignment horizontal="center" vertical="center" wrapText="1"/>
    </xf>
    <xf numFmtId="165" fontId="3" fillId="2" borderId="7" xfId="1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left"/>
    </xf>
    <xf numFmtId="2" fontId="0" fillId="0" borderId="1" xfId="0" applyNumberFormat="1" applyBorder="1" applyAlignment="1">
      <alignment vertical="top" wrapText="1"/>
    </xf>
    <xf numFmtId="2" fontId="0" fillId="0" borderId="1" xfId="0" applyNumberFormat="1" applyBorder="1" applyAlignment="1">
      <alignment vertical="top"/>
    </xf>
    <xf numFmtId="165" fontId="6" fillId="3" borderId="1" xfId="1" applyNumberFormat="1" applyFont="1" applyFill="1" applyBorder="1" applyAlignment="1">
      <alignment horizontal="right" vertical="top"/>
    </xf>
    <xf numFmtId="0" fontId="4" fillId="3" borderId="1" xfId="0" applyFont="1" applyFill="1" applyBorder="1" applyAlignment="1">
      <alignment vertical="top" wrapText="1"/>
    </xf>
    <xf numFmtId="0" fontId="7" fillId="0" borderId="0" xfId="0" applyFont="1"/>
    <xf numFmtId="165" fontId="6" fillId="2" borderId="1" xfId="1" applyNumberFormat="1" applyFont="1" applyFill="1" applyBorder="1" applyAlignment="1">
      <alignment horizontal="right" vertical="top"/>
    </xf>
    <xf numFmtId="0" fontId="4" fillId="2" borderId="1" xfId="0" applyFont="1" applyFill="1" applyBorder="1" applyAlignment="1">
      <alignment vertical="top"/>
    </xf>
    <xf numFmtId="0" fontId="7" fillId="4" borderId="0" xfId="0" applyFont="1" applyFill="1" applyAlignment="1">
      <alignment horizontal="left"/>
    </xf>
    <xf numFmtId="14" fontId="7" fillId="4" borderId="0" xfId="0" applyNumberFormat="1" applyFont="1" applyFill="1" applyAlignment="1">
      <alignment horizontal="left"/>
    </xf>
    <xf numFmtId="165" fontId="7" fillId="5" borderId="0" xfId="1" applyNumberFormat="1" applyFont="1" applyFill="1" applyAlignment="1"/>
    <xf numFmtId="9" fontId="7" fillId="5" borderId="0" xfId="3" applyFont="1" applyFill="1" applyAlignment="1">
      <alignment horizontal="center"/>
    </xf>
    <xf numFmtId="165" fontId="7" fillId="6" borderId="0" xfId="1" applyNumberFormat="1" applyFont="1" applyFill="1" applyAlignment="1"/>
    <xf numFmtId="9" fontId="7" fillId="6" borderId="0" xfId="3" applyFont="1" applyFill="1" applyAlignment="1">
      <alignment horizontal="center"/>
    </xf>
    <xf numFmtId="165" fontId="7" fillId="7" borderId="0" xfId="1" applyNumberFormat="1" applyFont="1" applyFill="1" applyAlignment="1"/>
    <xf numFmtId="9" fontId="7" fillId="7" borderId="0" xfId="3" applyFont="1" applyFill="1" applyAlignment="1">
      <alignment horizontal="center"/>
    </xf>
    <xf numFmtId="165" fontId="7" fillId="4" borderId="0" xfId="1" applyNumberFormat="1" applyFont="1" applyFill="1" applyAlignment="1"/>
    <xf numFmtId="9" fontId="7" fillId="4" borderId="0" xfId="3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165" fontId="7" fillId="5" borderId="0" xfId="1" applyNumberFormat="1" applyFont="1" applyFill="1" applyAlignment="1">
      <alignment horizontal="center"/>
    </xf>
    <xf numFmtId="165" fontId="7" fillId="6" borderId="0" xfId="1" applyNumberFormat="1" applyFont="1" applyFill="1" applyAlignment="1">
      <alignment horizontal="center"/>
    </xf>
    <xf numFmtId="0" fontId="2" fillId="2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8" borderId="0" xfId="0" applyFont="1" applyFill="1" applyAlignment="1">
      <alignment horizontal="left"/>
    </xf>
    <xf numFmtId="165" fontId="7" fillId="8" borderId="0" xfId="1" applyNumberFormat="1" applyFont="1" applyFill="1" applyAlignment="1">
      <alignment horizontal="left"/>
    </xf>
    <xf numFmtId="0" fontId="7" fillId="0" borderId="0" xfId="0" applyFont="1" applyAlignment="1">
      <alignment horizontal="left"/>
    </xf>
    <xf numFmtId="0" fontId="0" fillId="4" borderId="0" xfId="0" applyFill="1"/>
    <xf numFmtId="165" fontId="7" fillId="0" borderId="0" xfId="1" applyNumberFormat="1" applyFont="1" applyAlignment="1">
      <alignment horizontal="left"/>
    </xf>
    <xf numFmtId="0" fontId="2" fillId="2" borderId="3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9" fontId="7" fillId="6" borderId="0" xfId="0" applyNumberFormat="1" applyFont="1" applyFill="1" applyAlignment="1">
      <alignment horizontal="center"/>
    </xf>
    <xf numFmtId="164" fontId="0" fillId="0" borderId="0" xfId="1" applyFont="1" applyAlignment="1">
      <alignment horizontal="left"/>
    </xf>
    <xf numFmtId="164" fontId="7" fillId="0" borderId="0" xfId="1" applyFont="1"/>
    <xf numFmtId="164" fontId="0" fillId="0" borderId="0" xfId="1" applyFont="1" applyAlignment="1">
      <alignment horizontal="center" vertical="center"/>
    </xf>
    <xf numFmtId="164" fontId="0" fillId="0" borderId="0" xfId="1" applyFont="1"/>
    <xf numFmtId="0" fontId="7" fillId="0" borderId="0" xfId="0" applyFont="1" applyAlignment="1">
      <alignment horizontal="center" vertical="center"/>
    </xf>
    <xf numFmtId="164" fontId="7" fillId="0" borderId="0" xfId="1" applyFont="1" applyAlignment="1">
      <alignment horizontal="center" vertical="center"/>
    </xf>
    <xf numFmtId="9" fontId="7" fillId="5" borderId="0" xfId="0" applyNumberFormat="1" applyFont="1" applyFill="1" applyAlignment="1">
      <alignment horizontal="center"/>
    </xf>
    <xf numFmtId="0" fontId="3" fillId="2" borderId="2" xfId="2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 wrapText="1"/>
    </xf>
    <xf numFmtId="165" fontId="0" fillId="0" borderId="0" xfId="1" applyNumberFormat="1" applyFont="1" applyBorder="1" applyAlignment="1">
      <alignment horizontal="right" vertical="top"/>
    </xf>
    <xf numFmtId="165" fontId="0" fillId="0" borderId="0" xfId="0" applyNumberFormat="1"/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/>
    <xf numFmtId="3" fontId="0" fillId="0" borderId="1" xfId="1" applyNumberFormat="1" applyFont="1" applyBorder="1" applyAlignment="1">
      <alignment horizontal="right" vertical="top"/>
    </xf>
    <xf numFmtId="0" fontId="2" fillId="2" borderId="2" xfId="1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top" wrapText="1"/>
    </xf>
    <xf numFmtId="0" fontId="3" fillId="2" borderId="2" xfId="2" applyFont="1" applyFill="1" applyBorder="1" applyAlignment="1">
      <alignment vertical="center" wrapText="1"/>
    </xf>
    <xf numFmtId="165" fontId="0" fillId="0" borderId="0" xfId="1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 vertical="center" wrapText="1"/>
    </xf>
    <xf numFmtId="0" fontId="3" fillId="2" borderId="3" xfId="1" applyNumberFormat="1" applyFont="1" applyFill="1" applyBorder="1" applyAlignment="1">
      <alignment horizontal="center" vertical="center" wrapText="1"/>
    </xf>
    <xf numFmtId="0" fontId="2" fillId="2" borderId="2" xfId="1" applyNumberFormat="1" applyFont="1" applyFill="1" applyBorder="1" applyAlignment="1">
      <alignment horizontal="center" vertical="center" wrapText="1"/>
    </xf>
    <xf numFmtId="0" fontId="2" fillId="2" borderId="3" xfId="1" applyNumberFormat="1" applyFont="1" applyFill="1" applyBorder="1" applyAlignment="1">
      <alignment horizontal="center" vertical="center" wrapText="1"/>
    </xf>
    <xf numFmtId="0" fontId="3" fillId="2" borderId="4" xfId="1" applyNumberFormat="1" applyFont="1" applyFill="1" applyBorder="1" applyAlignment="1">
      <alignment horizontal="center" vertical="center" wrapText="1"/>
    </xf>
    <xf numFmtId="0" fontId="3" fillId="2" borderId="5" xfId="1" applyNumberFormat="1" applyFont="1" applyFill="1" applyBorder="1" applyAlignment="1">
      <alignment horizontal="center" vertical="center" wrapText="1"/>
    </xf>
    <xf numFmtId="0" fontId="3" fillId="2" borderId="6" xfId="1" applyNumberFormat="1" applyFont="1" applyFill="1" applyBorder="1" applyAlignment="1">
      <alignment horizontal="center" vertical="center" wrapText="1"/>
    </xf>
    <xf numFmtId="0" fontId="3" fillId="2" borderId="7" xfId="1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3" fillId="2" borderId="8" xfId="1" applyNumberFormat="1" applyFont="1" applyFill="1" applyBorder="1" applyAlignment="1">
      <alignment horizontal="center" vertical="center" wrapText="1"/>
    </xf>
    <xf numFmtId="0" fontId="3" fillId="2" borderId="9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0" xfId="4"/>
    <xf numFmtId="0" fontId="5" fillId="0" borderId="0" xfId="4" applyAlignment="1">
      <alignment horizontal="left"/>
    </xf>
    <xf numFmtId="0" fontId="5" fillId="0" borderId="1" xfId="4" applyBorder="1" applyAlignment="1">
      <alignment horizontal="left" vertical="top"/>
    </xf>
    <xf numFmtId="0" fontId="5" fillId="0" borderId="1" xfId="4" applyBorder="1" applyAlignment="1">
      <alignment horizontal="right" vertical="top"/>
    </xf>
    <xf numFmtId="0" fontId="5" fillId="0" borderId="1" xfId="4" applyBorder="1" applyAlignment="1">
      <alignment horizontal="left" vertical="top" wrapText="1"/>
    </xf>
    <xf numFmtId="0" fontId="5" fillId="11" borderId="1" xfId="4" applyFill="1" applyBorder="1" applyAlignment="1">
      <alignment horizontal="left" vertical="top" wrapText="1" indent="4"/>
    </xf>
    <xf numFmtId="0" fontId="5" fillId="10" borderId="1" xfId="4" applyFill="1" applyBorder="1" applyAlignment="1">
      <alignment horizontal="left" vertical="top"/>
    </xf>
    <xf numFmtId="0" fontId="5" fillId="10" borderId="1" xfId="4" applyFill="1" applyBorder="1" applyAlignment="1">
      <alignment horizontal="right" vertical="top"/>
    </xf>
    <xf numFmtId="0" fontId="5" fillId="10" borderId="1" xfId="4" applyFill="1" applyBorder="1" applyAlignment="1">
      <alignment horizontal="left" vertical="top" wrapText="1"/>
    </xf>
    <xf numFmtId="0" fontId="5" fillId="10" borderId="1" xfId="4" applyFill="1" applyBorder="1" applyAlignment="1">
      <alignment horizontal="left" vertical="top" wrapText="1" indent="2"/>
    </xf>
    <xf numFmtId="166" fontId="5" fillId="0" borderId="1" xfId="4" applyNumberFormat="1" applyBorder="1" applyAlignment="1">
      <alignment horizontal="right" vertical="top"/>
    </xf>
    <xf numFmtId="166" fontId="5" fillId="10" borderId="1" xfId="4" applyNumberFormat="1" applyFill="1" applyBorder="1" applyAlignment="1">
      <alignment horizontal="right" vertical="top"/>
    </xf>
    <xf numFmtId="0" fontId="5" fillId="9" borderId="1" xfId="4" applyFill="1" applyBorder="1" applyAlignment="1">
      <alignment horizontal="left" vertical="top" wrapText="1" indent="4"/>
    </xf>
    <xf numFmtId="166" fontId="5" fillId="3" borderId="1" xfId="4" applyNumberFormat="1" applyFill="1" applyBorder="1" applyAlignment="1">
      <alignment horizontal="right" vertical="top"/>
    </xf>
    <xf numFmtId="0" fontId="5" fillId="3" borderId="1" xfId="4" applyFill="1" applyBorder="1" applyAlignment="1">
      <alignment horizontal="left" vertical="top" wrapText="1"/>
    </xf>
    <xf numFmtId="0" fontId="2" fillId="2" borderId="3" xfId="4" applyFont="1" applyFill="1" applyBorder="1" applyAlignment="1">
      <alignment horizontal="left" vertical="top" wrapText="1"/>
    </xf>
    <xf numFmtId="0" fontId="2" fillId="2" borderId="1" xfId="4" applyFont="1" applyFill="1" applyBorder="1" applyAlignment="1">
      <alignment horizontal="left" vertical="top" wrapText="1"/>
    </xf>
    <xf numFmtId="0" fontId="2" fillId="2" borderId="1" xfId="4" applyFont="1" applyFill="1" applyBorder="1" applyAlignment="1">
      <alignment horizontal="left" vertical="top" wrapText="1"/>
    </xf>
    <xf numFmtId="0" fontId="2" fillId="2" borderId="2" xfId="4" applyFont="1" applyFill="1" applyBorder="1" applyAlignment="1">
      <alignment horizontal="left" vertical="top" wrapText="1"/>
    </xf>
    <xf numFmtId="0" fontId="9" fillId="0" borderId="0" xfId="4" applyFont="1" applyAlignment="1">
      <alignment horizontal="left" vertical="top" wrapText="1"/>
    </xf>
    <xf numFmtId="0" fontId="9" fillId="0" borderId="0" xfId="4" applyFont="1" applyAlignment="1">
      <alignment horizontal="left" vertical="top" wrapText="1"/>
    </xf>
    <xf numFmtId="0" fontId="2" fillId="0" borderId="0" xfId="4" applyFont="1" applyAlignment="1">
      <alignment horizontal="left" vertical="top" wrapText="1"/>
    </xf>
    <xf numFmtId="0" fontId="2" fillId="0" borderId="0" xfId="4" applyFont="1" applyAlignment="1">
      <alignment horizontal="left" vertical="top"/>
    </xf>
    <xf numFmtId="0" fontId="2" fillId="0" borderId="0" xfId="4" applyFont="1" applyAlignment="1">
      <alignment horizontal="left" vertical="top"/>
    </xf>
    <xf numFmtId="0" fontId="8" fillId="0" borderId="0" xfId="4" applyFont="1" applyAlignment="1">
      <alignment horizontal="left" vertical="top"/>
    </xf>
    <xf numFmtId="165" fontId="5" fillId="0" borderId="0" xfId="1" applyNumberFormat="1" applyFont="1" applyAlignment="1">
      <alignment horizontal="left"/>
    </xf>
    <xf numFmtId="165" fontId="2" fillId="2" borderId="2" xfId="1" applyNumberFormat="1" applyFont="1" applyFill="1" applyBorder="1" applyAlignment="1">
      <alignment horizontal="left" vertical="top" wrapText="1"/>
    </xf>
    <xf numFmtId="165" fontId="2" fillId="2" borderId="3" xfId="1" applyNumberFormat="1" applyFont="1" applyFill="1" applyBorder="1" applyAlignment="1">
      <alignment horizontal="left" vertical="top" wrapText="1"/>
    </xf>
    <xf numFmtId="165" fontId="5" fillId="3" borderId="1" xfId="1" applyNumberFormat="1" applyFont="1" applyFill="1" applyBorder="1" applyAlignment="1">
      <alignment horizontal="right" vertical="top"/>
    </xf>
    <xf numFmtId="165" fontId="5" fillId="10" borderId="1" xfId="1" applyNumberFormat="1" applyFont="1" applyFill="1" applyBorder="1" applyAlignment="1">
      <alignment horizontal="right" vertical="top"/>
    </xf>
    <xf numFmtId="165" fontId="5" fillId="0" borderId="1" xfId="1" applyNumberFormat="1" applyFont="1" applyBorder="1" applyAlignment="1">
      <alignment horizontal="right" vertical="top"/>
    </xf>
    <xf numFmtId="0" fontId="5" fillId="3" borderId="1" xfId="4" applyFill="1" applyBorder="1" applyAlignment="1">
      <alignment horizontal="left" vertical="top"/>
    </xf>
    <xf numFmtId="165" fontId="5" fillId="0" borderId="9" xfId="1" applyNumberFormat="1" applyFont="1" applyBorder="1" applyAlignment="1">
      <alignment horizontal="right" vertical="top"/>
    </xf>
    <xf numFmtId="165" fontId="2" fillId="0" borderId="0" xfId="1" applyNumberFormat="1" applyFont="1" applyAlignment="1">
      <alignment horizontal="left" vertical="top"/>
    </xf>
    <xf numFmtId="165" fontId="2" fillId="2" borderId="6" xfId="1" applyNumberFormat="1" applyFont="1" applyFill="1" applyBorder="1" applyAlignment="1">
      <alignment horizontal="left" vertical="top" wrapText="1"/>
    </xf>
    <xf numFmtId="165" fontId="2" fillId="2" borderId="7" xfId="1" applyNumberFormat="1" applyFont="1" applyFill="1" applyBorder="1" applyAlignment="1">
      <alignment horizontal="left" vertical="top" wrapText="1"/>
    </xf>
    <xf numFmtId="165" fontId="5" fillId="3" borderId="1" xfId="1" applyNumberFormat="1" applyFont="1" applyFill="1" applyBorder="1" applyAlignment="1">
      <alignment horizontal="right" vertical="top"/>
    </xf>
    <xf numFmtId="165" fontId="5" fillId="10" borderId="1" xfId="1" applyNumberFormat="1" applyFont="1" applyFill="1" applyBorder="1" applyAlignment="1">
      <alignment horizontal="right" vertical="top"/>
    </xf>
    <xf numFmtId="165" fontId="5" fillId="0" borderId="1" xfId="1" applyNumberFormat="1" applyFont="1" applyBorder="1" applyAlignment="1">
      <alignment horizontal="right" vertical="top"/>
    </xf>
    <xf numFmtId="165" fontId="10" fillId="0" borderId="1" xfId="1" applyNumberFormat="1" applyFont="1" applyBorder="1" applyAlignment="1">
      <alignment horizontal="right" vertical="top"/>
    </xf>
    <xf numFmtId="165" fontId="5" fillId="0" borderId="8" xfId="1" applyNumberFormat="1" applyFont="1" applyBorder="1" applyAlignment="1">
      <alignment horizontal="right" vertical="top"/>
    </xf>
    <xf numFmtId="169" fontId="5" fillId="3" borderId="1" xfId="4" applyNumberFormat="1" applyFill="1" applyBorder="1" applyAlignment="1">
      <alignment horizontal="right" vertical="top"/>
    </xf>
  </cellXfs>
  <cellStyles count="5">
    <cellStyle name="Обычный" xfId="0" builtinId="0"/>
    <cellStyle name="Обычный 2" xfId="2" xr:uid="{00000000-0005-0000-0000-000001000000}"/>
    <cellStyle name="Обычный 3" xfId="4" xr:uid="{00000000-0005-0000-0000-000002000000}"/>
    <cellStyle name="Процентный" xfId="3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31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10" sqref="A10"/>
      <selection pane="bottomRight" activeCell="I708" sqref="I708"/>
    </sheetView>
  </sheetViews>
  <sheetFormatPr defaultColWidth="9" defaultRowHeight="15" outlineLevelRow="1" x14ac:dyDescent="0.25"/>
  <cols>
    <col min="1" max="1" width="19.7109375" style="1" bestFit="1" customWidth="1"/>
    <col min="2" max="2" width="89.85546875" style="1" bestFit="1" customWidth="1"/>
    <col min="3" max="3" width="9.5703125" style="12" customWidth="1"/>
    <col min="4" max="4" width="9.42578125" style="4" bestFit="1" customWidth="1"/>
    <col min="5" max="5" width="16" style="4" bestFit="1" customWidth="1"/>
    <col min="6" max="6" width="10.7109375" style="4" customWidth="1"/>
    <col min="7" max="7" width="12.42578125" style="4" customWidth="1"/>
    <col min="8" max="8" width="10" style="4" bestFit="1" customWidth="1"/>
    <col min="9" max="9" width="13.42578125" style="4" customWidth="1"/>
    <col min="10" max="10" width="11" style="4" customWidth="1"/>
    <col min="11" max="11" width="15.28515625" style="4" customWidth="1"/>
    <col min="12" max="12" width="11.140625" style="4" bestFit="1" customWidth="1"/>
    <col min="13" max="13" width="15.28515625" style="4" customWidth="1"/>
    <col min="14" max="14" width="15.140625" style="4" customWidth="1"/>
    <col min="15" max="15" width="13.7109375" style="4" customWidth="1"/>
    <col min="16" max="16" width="10.42578125" style="4" bestFit="1" customWidth="1"/>
    <col min="17" max="17" width="12.140625" style="4" customWidth="1"/>
    <col min="18" max="19" width="15.28515625" style="4" customWidth="1"/>
    <col min="20" max="20" width="12.85546875" bestFit="1" customWidth="1"/>
    <col min="21" max="21" width="11.85546875" bestFit="1" customWidth="1"/>
  </cols>
  <sheetData>
    <row r="1" spans="1:19" ht="15" customHeight="1" x14ac:dyDescent="0.25">
      <c r="A1" s="68" t="s">
        <v>0</v>
      </c>
      <c r="B1" s="68" t="s">
        <v>1</v>
      </c>
      <c r="C1" s="70" t="s">
        <v>1606</v>
      </c>
      <c r="D1" s="72" t="s">
        <v>1594</v>
      </c>
      <c r="E1" s="72" t="s">
        <v>1595</v>
      </c>
      <c r="F1" s="76" t="s">
        <v>1596</v>
      </c>
      <c r="G1" s="77"/>
      <c r="H1" s="76" t="s">
        <v>1597</v>
      </c>
      <c r="I1" s="77"/>
      <c r="J1" s="76" t="s">
        <v>1598</v>
      </c>
      <c r="K1" s="77"/>
      <c r="L1" s="76" t="s">
        <v>1607</v>
      </c>
      <c r="M1" s="77"/>
      <c r="N1" s="76" t="s">
        <v>1600</v>
      </c>
      <c r="O1" s="77"/>
      <c r="P1" s="76" t="s">
        <v>1601</v>
      </c>
      <c r="Q1" s="77"/>
      <c r="R1" s="74" t="s">
        <v>1604</v>
      </c>
      <c r="S1" s="74" t="s">
        <v>1605</v>
      </c>
    </row>
    <row r="2" spans="1:19" ht="21" customHeight="1" x14ac:dyDescent="0.25">
      <c r="A2" s="69"/>
      <c r="B2" s="69"/>
      <c r="C2" s="71"/>
      <c r="D2" s="73"/>
      <c r="E2" s="73"/>
      <c r="F2" s="78"/>
      <c r="G2" s="79"/>
      <c r="H2" s="78"/>
      <c r="I2" s="79"/>
      <c r="J2" s="78"/>
      <c r="K2" s="79"/>
      <c r="L2" s="78"/>
      <c r="M2" s="79"/>
      <c r="N2" s="78"/>
      <c r="O2" s="79"/>
      <c r="P2" s="78"/>
      <c r="Q2" s="79"/>
      <c r="R2" s="75"/>
      <c r="S2" s="75"/>
    </row>
    <row r="3" spans="1:19" x14ac:dyDescent="0.25">
      <c r="A3" s="3"/>
      <c r="B3" s="3"/>
      <c r="C3" s="8"/>
      <c r="D3" s="9"/>
      <c r="E3" s="9"/>
      <c r="F3" s="10"/>
      <c r="G3" s="11"/>
      <c r="H3" s="10"/>
      <c r="I3" s="11"/>
      <c r="J3" s="10"/>
      <c r="K3" s="11"/>
      <c r="L3" s="10"/>
      <c r="M3" s="11"/>
      <c r="N3" s="10"/>
      <c r="O3" s="11"/>
      <c r="P3" s="10"/>
      <c r="Q3" s="11"/>
      <c r="R3" s="5"/>
      <c r="S3" s="5"/>
    </row>
    <row r="4" spans="1:19" s="17" customFormat="1" ht="14.1" customHeight="1" x14ac:dyDescent="0.2">
      <c r="A4" s="15" t="s">
        <v>2</v>
      </c>
      <c r="B4" s="16"/>
      <c r="C4" s="16"/>
      <c r="D4" s="15">
        <v>34.14</v>
      </c>
      <c r="E4" s="15">
        <v>99.99</v>
      </c>
      <c r="F4" s="15">
        <f t="shared" ref="F4:R4" si="0">SUM(F5:F220)</f>
        <v>12906</v>
      </c>
      <c r="G4" s="15">
        <f t="shared" si="0"/>
        <v>1926682.4900000002</v>
      </c>
      <c r="H4" s="15">
        <f t="shared" si="0"/>
        <v>23613</v>
      </c>
      <c r="I4" s="15">
        <f t="shared" si="0"/>
        <v>5288257.4899999974</v>
      </c>
      <c r="J4" s="15">
        <f t="shared" si="0"/>
        <v>366295</v>
      </c>
      <c r="K4" s="15">
        <f t="shared" si="0"/>
        <v>79970700.970000029</v>
      </c>
      <c r="L4" s="15">
        <f t="shared" si="0"/>
        <v>38516</v>
      </c>
      <c r="M4" s="15">
        <f t="shared" si="0"/>
        <v>8437781.4399999995</v>
      </c>
      <c r="N4" s="15">
        <f t="shared" si="0"/>
        <v>441330</v>
      </c>
      <c r="O4" s="15">
        <f t="shared" si="0"/>
        <v>95623422.389999941</v>
      </c>
      <c r="P4" s="15">
        <f t="shared" si="0"/>
        <v>51665</v>
      </c>
      <c r="Q4" s="15">
        <f t="shared" si="0"/>
        <v>10710405</v>
      </c>
      <c r="R4" s="15">
        <f t="shared" si="0"/>
        <v>46685.424780853114</v>
      </c>
      <c r="S4" s="15">
        <f>SUM(S5:S220)</f>
        <v>12733594.061694698</v>
      </c>
    </row>
    <row r="5" spans="1:19" s="1" customFormat="1" hidden="1" outlineLevel="1" x14ac:dyDescent="0.25">
      <c r="A5" s="7" t="s">
        <v>249</v>
      </c>
      <c r="B5" s="7" t="s">
        <v>250</v>
      </c>
      <c r="C5" s="14">
        <v>366.69</v>
      </c>
      <c r="D5" s="6">
        <v>15.75</v>
      </c>
      <c r="E5" s="6">
        <v>100</v>
      </c>
      <c r="F5" s="6">
        <v>672</v>
      </c>
      <c r="G5" s="6">
        <v>246415.68</v>
      </c>
      <c r="H5" s="6">
        <v>130</v>
      </c>
      <c r="I5" s="6">
        <v>47669.7</v>
      </c>
      <c r="J5" s="6">
        <v>4333</v>
      </c>
      <c r="K5" s="6">
        <v>1588867.77</v>
      </c>
      <c r="L5" s="6"/>
      <c r="M5" s="6"/>
      <c r="N5" s="6">
        <f t="shared" ref="N5:N68" si="1">IF(J5+L5+H5+F5&lt;=0,"",J5+L5+H5+F5)</f>
        <v>5135</v>
      </c>
      <c r="O5" s="6">
        <f t="shared" ref="O5:O68" si="2">IFERROR(C5*N5,"")</f>
        <v>1882953.15</v>
      </c>
      <c r="P5" s="6">
        <v>559</v>
      </c>
      <c r="Q5" s="6">
        <v>180918</v>
      </c>
      <c r="R5" s="60"/>
      <c r="S5" s="60"/>
    </row>
    <row r="6" spans="1:19" s="1" customFormat="1" hidden="1" outlineLevel="1" x14ac:dyDescent="0.25">
      <c r="A6" s="7" t="s">
        <v>383</v>
      </c>
      <c r="B6" s="7" t="s">
        <v>384</v>
      </c>
      <c r="C6" s="14">
        <v>151.1</v>
      </c>
      <c r="D6" s="6">
        <v>37.520000000000003</v>
      </c>
      <c r="E6" s="6">
        <v>100</v>
      </c>
      <c r="F6" s="6">
        <v>1080</v>
      </c>
      <c r="G6" s="6">
        <v>163188</v>
      </c>
      <c r="H6" s="6"/>
      <c r="I6" s="6"/>
      <c r="J6" s="6">
        <v>38273</v>
      </c>
      <c r="K6" s="6">
        <v>5783050.2999999998</v>
      </c>
      <c r="L6" s="6"/>
      <c r="M6" s="6"/>
      <c r="N6" s="6">
        <f t="shared" si="1"/>
        <v>39353</v>
      </c>
      <c r="O6" s="6">
        <f t="shared" si="2"/>
        <v>5946238.2999999998</v>
      </c>
      <c r="P6" s="6">
        <v>8301</v>
      </c>
      <c r="Q6" s="6">
        <v>1322562</v>
      </c>
      <c r="R6" s="60"/>
      <c r="S6" s="60"/>
    </row>
    <row r="7" spans="1:19" s="1" customFormat="1" hidden="1" outlineLevel="1" x14ac:dyDescent="0.25">
      <c r="A7" s="7" t="s">
        <v>257</v>
      </c>
      <c r="B7" s="7" t="s">
        <v>258</v>
      </c>
      <c r="C7" s="14">
        <v>352.57</v>
      </c>
      <c r="D7" s="6">
        <v>6.79</v>
      </c>
      <c r="E7" s="6">
        <v>64.2</v>
      </c>
      <c r="F7" s="6">
        <v>372</v>
      </c>
      <c r="G7" s="6">
        <v>131156.04</v>
      </c>
      <c r="H7" s="6">
        <v>30</v>
      </c>
      <c r="I7" s="6">
        <v>10577.1</v>
      </c>
      <c r="J7" s="6">
        <v>5448</v>
      </c>
      <c r="K7" s="6">
        <v>1920801.36</v>
      </c>
      <c r="L7" s="6"/>
      <c r="M7" s="6"/>
      <c r="N7" s="6">
        <f t="shared" si="1"/>
        <v>5850</v>
      </c>
      <c r="O7" s="6">
        <f t="shared" si="2"/>
        <v>2062534.5</v>
      </c>
      <c r="P7" s="6">
        <v>409</v>
      </c>
      <c r="Q7" s="6">
        <v>144671</v>
      </c>
      <c r="R7" s="60"/>
      <c r="S7" s="60"/>
    </row>
    <row r="8" spans="1:19" s="1" customFormat="1" hidden="1" outlineLevel="1" x14ac:dyDescent="0.25">
      <c r="A8" s="7" t="s">
        <v>341</v>
      </c>
      <c r="B8" s="7" t="s">
        <v>342</v>
      </c>
      <c r="C8" s="14">
        <v>105.82</v>
      </c>
      <c r="D8" s="6">
        <v>19.32</v>
      </c>
      <c r="E8" s="6">
        <v>100</v>
      </c>
      <c r="F8" s="6"/>
      <c r="G8" s="6"/>
      <c r="H8" s="6">
        <v>55</v>
      </c>
      <c r="I8" s="6">
        <v>5820.1</v>
      </c>
      <c r="J8" s="6">
        <v>14015</v>
      </c>
      <c r="K8" s="6">
        <v>1483067.3</v>
      </c>
      <c r="L8" s="6"/>
      <c r="M8" s="6"/>
      <c r="N8" s="6">
        <f t="shared" si="1"/>
        <v>14070</v>
      </c>
      <c r="O8" s="6">
        <f t="shared" si="2"/>
        <v>1488887.4</v>
      </c>
      <c r="P8" s="6">
        <v>5023</v>
      </c>
      <c r="Q8" s="6">
        <v>544899</v>
      </c>
      <c r="R8" s="60"/>
      <c r="S8" s="60"/>
    </row>
    <row r="9" spans="1:19" s="1" customFormat="1" hidden="1" outlineLevel="1" x14ac:dyDescent="0.25">
      <c r="A9" s="7" t="s">
        <v>313</v>
      </c>
      <c r="B9" s="7" t="s">
        <v>314</v>
      </c>
      <c r="C9" s="14">
        <v>242.16</v>
      </c>
      <c r="D9" s="6">
        <v>81.89</v>
      </c>
      <c r="E9" s="6">
        <v>100</v>
      </c>
      <c r="F9" s="6">
        <v>200</v>
      </c>
      <c r="G9" s="6">
        <v>48432</v>
      </c>
      <c r="H9" s="6">
        <v>120</v>
      </c>
      <c r="I9" s="6">
        <v>29059.200000000001</v>
      </c>
      <c r="J9" s="6">
        <v>4880</v>
      </c>
      <c r="K9" s="6">
        <v>1181740.8</v>
      </c>
      <c r="L9" s="6"/>
      <c r="M9" s="6"/>
      <c r="N9" s="6">
        <f t="shared" si="1"/>
        <v>5200</v>
      </c>
      <c r="O9" s="6">
        <f t="shared" si="2"/>
        <v>1259232</v>
      </c>
      <c r="P9" s="6">
        <v>719</v>
      </c>
      <c r="Q9" s="6">
        <v>175750</v>
      </c>
      <c r="R9" s="60"/>
      <c r="S9" s="60"/>
    </row>
    <row r="10" spans="1:19" s="1" customFormat="1" hidden="1" outlineLevel="1" x14ac:dyDescent="0.25">
      <c r="A10" s="7" t="s">
        <v>245</v>
      </c>
      <c r="B10" s="7" t="s">
        <v>246</v>
      </c>
      <c r="C10" s="14">
        <v>116.58</v>
      </c>
      <c r="D10" s="6">
        <v>18.260000000000002</v>
      </c>
      <c r="E10" s="6">
        <v>100</v>
      </c>
      <c r="F10" s="6">
        <v>325</v>
      </c>
      <c r="G10" s="6">
        <v>37888.5</v>
      </c>
      <c r="H10" s="6">
        <v>1048</v>
      </c>
      <c r="I10" s="6">
        <v>122175.84</v>
      </c>
      <c r="J10" s="6">
        <v>10731</v>
      </c>
      <c r="K10" s="6">
        <v>1251019.98</v>
      </c>
      <c r="L10" s="6"/>
      <c r="M10" s="6"/>
      <c r="N10" s="6">
        <f t="shared" si="1"/>
        <v>12104</v>
      </c>
      <c r="O10" s="6">
        <f t="shared" si="2"/>
        <v>1411084.32</v>
      </c>
      <c r="P10" s="6">
        <v>736</v>
      </c>
      <c r="Q10" s="6">
        <v>85592</v>
      </c>
      <c r="R10" s="60"/>
      <c r="S10" s="60"/>
    </row>
    <row r="11" spans="1:19" s="1" customFormat="1" hidden="1" outlineLevel="1" x14ac:dyDescent="0.25">
      <c r="A11" s="7" t="s">
        <v>253</v>
      </c>
      <c r="B11" s="7" t="s">
        <v>254</v>
      </c>
      <c r="C11" s="14">
        <v>366.69</v>
      </c>
      <c r="D11" s="6">
        <v>17.170000000000002</v>
      </c>
      <c r="E11" s="6">
        <v>99.62</v>
      </c>
      <c r="F11" s="6"/>
      <c r="G11" s="6"/>
      <c r="H11" s="6">
        <v>103</v>
      </c>
      <c r="I11" s="6">
        <v>37769.07</v>
      </c>
      <c r="J11" s="6">
        <v>924</v>
      </c>
      <c r="K11" s="6">
        <v>338821.56</v>
      </c>
      <c r="L11" s="6"/>
      <c r="M11" s="6"/>
      <c r="N11" s="6">
        <f t="shared" si="1"/>
        <v>1027</v>
      </c>
      <c r="O11" s="6">
        <f t="shared" si="2"/>
        <v>376590.63</v>
      </c>
      <c r="P11" s="6">
        <v>47</v>
      </c>
      <c r="Q11" s="6">
        <v>17626</v>
      </c>
      <c r="R11" s="60"/>
      <c r="S11" s="60"/>
    </row>
    <row r="12" spans="1:19" s="1" customFormat="1" hidden="1" outlineLevel="1" x14ac:dyDescent="0.25">
      <c r="A12" s="7" t="s">
        <v>353</v>
      </c>
      <c r="B12" s="7" t="s">
        <v>354</v>
      </c>
      <c r="C12" s="14">
        <v>362.73</v>
      </c>
      <c r="D12" s="6">
        <v>134.09</v>
      </c>
      <c r="E12" s="6">
        <v>100</v>
      </c>
      <c r="F12" s="6"/>
      <c r="G12" s="6"/>
      <c r="H12" s="6">
        <v>74</v>
      </c>
      <c r="I12" s="6">
        <v>26842.02</v>
      </c>
      <c r="J12" s="6">
        <v>4293</v>
      </c>
      <c r="K12" s="6">
        <v>1557199.89</v>
      </c>
      <c r="L12" s="6"/>
      <c r="M12" s="6"/>
      <c r="N12" s="6">
        <f t="shared" si="1"/>
        <v>4367</v>
      </c>
      <c r="O12" s="6">
        <f t="shared" si="2"/>
        <v>1584041.9100000001</v>
      </c>
      <c r="P12" s="6">
        <v>200</v>
      </c>
      <c r="Q12" s="6">
        <v>67069</v>
      </c>
      <c r="R12" s="60"/>
      <c r="S12" s="60"/>
    </row>
    <row r="13" spans="1:19" s="1" customFormat="1" hidden="1" outlineLevel="1" x14ac:dyDescent="0.25">
      <c r="A13" s="7" t="s">
        <v>71</v>
      </c>
      <c r="B13" s="7" t="s">
        <v>72</v>
      </c>
      <c r="C13" s="14">
        <v>487.07</v>
      </c>
      <c r="D13" s="6">
        <v>38.409999999999997</v>
      </c>
      <c r="E13" s="6">
        <v>100</v>
      </c>
      <c r="F13" s="6">
        <v>5</v>
      </c>
      <c r="G13" s="6">
        <v>2435.35</v>
      </c>
      <c r="H13" s="6">
        <v>38</v>
      </c>
      <c r="I13" s="6">
        <v>18508.66</v>
      </c>
      <c r="J13" s="6">
        <v>240</v>
      </c>
      <c r="K13" s="6">
        <v>116896.8</v>
      </c>
      <c r="L13" s="6">
        <v>2260</v>
      </c>
      <c r="M13" s="6">
        <v>1100778.2</v>
      </c>
      <c r="N13" s="6">
        <f t="shared" si="1"/>
        <v>2543</v>
      </c>
      <c r="O13" s="6">
        <f t="shared" si="2"/>
        <v>1238619.01</v>
      </c>
      <c r="P13" s="6">
        <v>560</v>
      </c>
      <c r="Q13" s="6">
        <v>283463</v>
      </c>
      <c r="R13" s="60"/>
      <c r="S13" s="60"/>
    </row>
    <row r="14" spans="1:19" s="1" customFormat="1" hidden="1" outlineLevel="1" x14ac:dyDescent="0.25">
      <c r="A14" s="7" t="s">
        <v>259</v>
      </c>
      <c r="B14" s="7" t="s">
        <v>260</v>
      </c>
      <c r="C14" s="14">
        <v>1433.15</v>
      </c>
      <c r="D14" s="6">
        <v>102.24</v>
      </c>
      <c r="E14" s="6">
        <v>100</v>
      </c>
      <c r="F14" s="6"/>
      <c r="G14" s="6"/>
      <c r="H14" s="6"/>
      <c r="I14" s="6"/>
      <c r="J14" s="6">
        <v>242</v>
      </c>
      <c r="K14" s="6">
        <v>346822.3</v>
      </c>
      <c r="L14" s="6"/>
      <c r="M14" s="6"/>
      <c r="N14" s="6">
        <f t="shared" si="1"/>
        <v>242</v>
      </c>
      <c r="O14" s="6">
        <f t="shared" si="2"/>
        <v>346822.30000000005</v>
      </c>
      <c r="P14" s="6">
        <v>40</v>
      </c>
      <c r="Q14" s="6">
        <v>59739</v>
      </c>
      <c r="R14" s="60"/>
      <c r="S14" s="60"/>
    </row>
    <row r="15" spans="1:19" s="1" customFormat="1" hidden="1" outlineLevel="1" x14ac:dyDescent="0.25">
      <c r="A15" s="7" t="s">
        <v>281</v>
      </c>
      <c r="B15" s="7" t="s">
        <v>282</v>
      </c>
      <c r="C15" s="14">
        <v>390.67</v>
      </c>
      <c r="D15" s="6">
        <v>217.12</v>
      </c>
      <c r="E15" s="6">
        <v>100</v>
      </c>
      <c r="F15" s="6">
        <v>80</v>
      </c>
      <c r="G15" s="6">
        <v>31253.599999999999</v>
      </c>
      <c r="H15" s="6">
        <v>300</v>
      </c>
      <c r="I15" s="6">
        <v>117201</v>
      </c>
      <c r="J15" s="6">
        <v>14059</v>
      </c>
      <c r="K15" s="6">
        <v>5492429.5300000003</v>
      </c>
      <c r="L15" s="6"/>
      <c r="M15" s="6"/>
      <c r="N15" s="6">
        <f t="shared" si="1"/>
        <v>14439</v>
      </c>
      <c r="O15" s="6">
        <f t="shared" si="2"/>
        <v>5640884.1299999999</v>
      </c>
      <c r="P15" s="6">
        <v>614</v>
      </c>
      <c r="Q15" s="6">
        <v>243223</v>
      </c>
      <c r="R15" s="60">
        <f t="shared" ref="R15:R40" si="3">J15/D15*(D15-180)</f>
        <v>2403.6020633750923</v>
      </c>
      <c r="S15" s="60">
        <f t="shared" ref="S15:S40" si="4">R15*C15</f>
        <v>939015.21809874731</v>
      </c>
    </row>
    <row r="16" spans="1:19" s="1" customFormat="1" hidden="1" outlineLevel="1" x14ac:dyDescent="0.25">
      <c r="A16" s="7" t="s">
        <v>139</v>
      </c>
      <c r="B16" s="7" t="s">
        <v>140</v>
      </c>
      <c r="C16" s="14">
        <v>448.53</v>
      </c>
      <c r="D16" s="6">
        <v>47.64</v>
      </c>
      <c r="E16" s="6">
        <v>99.04</v>
      </c>
      <c r="F16" s="6">
        <v>20</v>
      </c>
      <c r="G16" s="6">
        <v>8970.6</v>
      </c>
      <c r="H16" s="6">
        <v>615</v>
      </c>
      <c r="I16" s="6">
        <v>275845.95</v>
      </c>
      <c r="J16" s="6">
        <v>818</v>
      </c>
      <c r="K16" s="6">
        <v>366897.54</v>
      </c>
      <c r="L16" s="6"/>
      <c r="M16" s="6"/>
      <c r="N16" s="6">
        <f t="shared" si="1"/>
        <v>1453</v>
      </c>
      <c r="O16" s="6">
        <f t="shared" si="2"/>
        <v>651714.09</v>
      </c>
      <c r="P16" s="6">
        <v>115</v>
      </c>
      <c r="Q16" s="6">
        <v>47793</v>
      </c>
      <c r="R16" s="60"/>
      <c r="S16" s="60"/>
    </row>
    <row r="17" spans="1:19" s="1" customFormat="1" hidden="1" outlineLevel="1" x14ac:dyDescent="0.25">
      <c r="A17" s="7" t="s">
        <v>157</v>
      </c>
      <c r="B17" s="7" t="s">
        <v>158</v>
      </c>
      <c r="C17" s="14">
        <v>851.07</v>
      </c>
      <c r="D17" s="6">
        <v>21.93</v>
      </c>
      <c r="E17" s="6">
        <v>100</v>
      </c>
      <c r="F17" s="6">
        <v>27</v>
      </c>
      <c r="G17" s="6">
        <v>22978.89</v>
      </c>
      <c r="H17" s="6">
        <v>41</v>
      </c>
      <c r="I17" s="6">
        <v>34893.870000000003</v>
      </c>
      <c r="J17" s="6">
        <v>149</v>
      </c>
      <c r="K17" s="6">
        <v>126809.43</v>
      </c>
      <c r="L17" s="6"/>
      <c r="M17" s="6"/>
      <c r="N17" s="6">
        <f t="shared" si="1"/>
        <v>217</v>
      </c>
      <c r="O17" s="6">
        <f t="shared" si="2"/>
        <v>184682.19</v>
      </c>
      <c r="P17" s="6">
        <v>110</v>
      </c>
      <c r="Q17" s="6">
        <v>96519</v>
      </c>
      <c r="R17" s="60"/>
      <c r="S17" s="60"/>
    </row>
    <row r="18" spans="1:19" s="1" customFormat="1" hidden="1" outlineLevel="1" x14ac:dyDescent="0.25">
      <c r="A18" s="7" t="s">
        <v>325</v>
      </c>
      <c r="B18" s="7" t="s">
        <v>326</v>
      </c>
      <c r="C18" s="14">
        <v>93.9</v>
      </c>
      <c r="D18" s="6">
        <v>83.76</v>
      </c>
      <c r="E18" s="6">
        <v>100</v>
      </c>
      <c r="F18" s="6"/>
      <c r="G18" s="6"/>
      <c r="H18" s="6">
        <v>240</v>
      </c>
      <c r="I18" s="6">
        <v>22536</v>
      </c>
      <c r="J18" s="6">
        <v>11722</v>
      </c>
      <c r="K18" s="6">
        <v>1100695.8</v>
      </c>
      <c r="L18" s="6"/>
      <c r="M18" s="6"/>
      <c r="N18" s="6">
        <f t="shared" si="1"/>
        <v>11962</v>
      </c>
      <c r="O18" s="6">
        <f t="shared" si="2"/>
        <v>1123231.8</v>
      </c>
      <c r="P18" s="6">
        <v>1447</v>
      </c>
      <c r="Q18" s="6">
        <v>155401</v>
      </c>
      <c r="R18" s="60"/>
      <c r="S18" s="60"/>
    </row>
    <row r="19" spans="1:19" s="1" customFormat="1" hidden="1" outlineLevel="1" x14ac:dyDescent="0.25">
      <c r="A19" s="7" t="s">
        <v>335</v>
      </c>
      <c r="B19" s="7" t="s">
        <v>336</v>
      </c>
      <c r="C19" s="14">
        <v>562.51</v>
      </c>
      <c r="D19" s="6">
        <v>92.29</v>
      </c>
      <c r="E19" s="6">
        <v>100</v>
      </c>
      <c r="F19" s="6"/>
      <c r="G19" s="6"/>
      <c r="H19" s="6">
        <v>216</v>
      </c>
      <c r="I19" s="6">
        <v>121502.16</v>
      </c>
      <c r="J19" s="6">
        <v>3473</v>
      </c>
      <c r="K19" s="6">
        <v>1953597.23</v>
      </c>
      <c r="L19" s="6"/>
      <c r="M19" s="6"/>
      <c r="N19" s="6">
        <f t="shared" si="1"/>
        <v>3689</v>
      </c>
      <c r="O19" s="6">
        <f t="shared" si="2"/>
        <v>2075099.39</v>
      </c>
      <c r="P19" s="6">
        <v>357</v>
      </c>
      <c r="Q19" s="6">
        <v>183627</v>
      </c>
      <c r="R19" s="60"/>
      <c r="S19" s="60"/>
    </row>
    <row r="20" spans="1:19" s="1" customFormat="1" hidden="1" outlineLevel="1" x14ac:dyDescent="0.25">
      <c r="A20" s="7" t="s">
        <v>251</v>
      </c>
      <c r="B20" s="7" t="s">
        <v>252</v>
      </c>
      <c r="C20" s="14">
        <v>114.25</v>
      </c>
      <c r="D20" s="6">
        <v>18.37</v>
      </c>
      <c r="E20" s="6">
        <v>100</v>
      </c>
      <c r="F20" s="6"/>
      <c r="G20" s="6"/>
      <c r="H20" s="6">
        <v>211</v>
      </c>
      <c r="I20" s="6">
        <v>24106.75</v>
      </c>
      <c r="J20" s="6">
        <v>4205</v>
      </c>
      <c r="K20" s="6">
        <v>480421.25</v>
      </c>
      <c r="L20" s="6"/>
      <c r="M20" s="6"/>
      <c r="N20" s="6">
        <f t="shared" si="1"/>
        <v>4416</v>
      </c>
      <c r="O20" s="6">
        <f t="shared" si="2"/>
        <v>504528</v>
      </c>
      <c r="P20" s="6">
        <v>222</v>
      </c>
      <c r="Q20" s="6">
        <v>26805</v>
      </c>
      <c r="R20" s="60"/>
      <c r="S20" s="60"/>
    </row>
    <row r="21" spans="1:19" s="1" customFormat="1" hidden="1" outlineLevel="1" x14ac:dyDescent="0.25">
      <c r="A21" s="7" t="s">
        <v>113</v>
      </c>
      <c r="B21" s="7" t="s">
        <v>114</v>
      </c>
      <c r="C21" s="14">
        <v>395.76</v>
      </c>
      <c r="D21" s="6">
        <v>22.85</v>
      </c>
      <c r="E21" s="6">
        <v>100</v>
      </c>
      <c r="F21" s="6"/>
      <c r="G21" s="6"/>
      <c r="H21" s="6">
        <v>99</v>
      </c>
      <c r="I21" s="6">
        <v>39180.239999999998</v>
      </c>
      <c r="J21" s="6">
        <v>748</v>
      </c>
      <c r="K21" s="6">
        <v>296028.48</v>
      </c>
      <c r="L21" s="6"/>
      <c r="M21" s="6"/>
      <c r="N21" s="6">
        <f t="shared" si="1"/>
        <v>847</v>
      </c>
      <c r="O21" s="6">
        <f t="shared" si="2"/>
        <v>335208.71999999997</v>
      </c>
      <c r="P21" s="6">
        <v>168</v>
      </c>
      <c r="Q21" s="6">
        <v>65629</v>
      </c>
      <c r="R21" s="60"/>
      <c r="S21" s="60"/>
    </row>
    <row r="22" spans="1:19" s="1" customFormat="1" hidden="1" outlineLevel="1" x14ac:dyDescent="0.25">
      <c r="A22" s="7" t="s">
        <v>361</v>
      </c>
      <c r="B22" s="7" t="s">
        <v>362</v>
      </c>
      <c r="C22" s="14">
        <v>494.19</v>
      </c>
      <c r="D22" s="6">
        <v>60.95</v>
      </c>
      <c r="E22" s="6">
        <v>81.72</v>
      </c>
      <c r="F22" s="6">
        <v>36</v>
      </c>
      <c r="G22" s="6">
        <v>17790.84</v>
      </c>
      <c r="H22" s="6">
        <v>2</v>
      </c>
      <c r="I22" s="6">
        <v>988.38</v>
      </c>
      <c r="J22" s="6">
        <v>1288</v>
      </c>
      <c r="K22" s="6">
        <v>636516.72</v>
      </c>
      <c r="L22" s="6">
        <v>360</v>
      </c>
      <c r="M22" s="6">
        <v>177908.4</v>
      </c>
      <c r="N22" s="6">
        <f t="shared" si="1"/>
        <v>1686</v>
      </c>
      <c r="O22" s="6">
        <f t="shared" si="2"/>
        <v>833204.34</v>
      </c>
      <c r="P22" s="6">
        <v>16</v>
      </c>
      <c r="Q22" s="6">
        <v>7808</v>
      </c>
      <c r="R22" s="60"/>
      <c r="S22" s="60"/>
    </row>
    <row r="23" spans="1:19" s="1" customFormat="1" hidden="1" outlineLevel="1" x14ac:dyDescent="0.25">
      <c r="A23" s="7" t="s">
        <v>201</v>
      </c>
      <c r="B23" s="7" t="s">
        <v>202</v>
      </c>
      <c r="C23" s="14">
        <v>116.63</v>
      </c>
      <c r="D23" s="6">
        <v>24.08</v>
      </c>
      <c r="E23" s="6">
        <v>100</v>
      </c>
      <c r="F23" s="6">
        <v>224</v>
      </c>
      <c r="G23" s="6">
        <v>26125.119999999999</v>
      </c>
      <c r="H23" s="6">
        <v>344</v>
      </c>
      <c r="I23" s="6">
        <v>40120.720000000001</v>
      </c>
      <c r="J23" s="6">
        <v>3144</v>
      </c>
      <c r="K23" s="6">
        <v>366684.72</v>
      </c>
      <c r="L23" s="6"/>
      <c r="M23" s="6"/>
      <c r="N23" s="6">
        <f t="shared" si="1"/>
        <v>3712</v>
      </c>
      <c r="O23" s="6">
        <f t="shared" si="2"/>
        <v>432930.56</v>
      </c>
      <c r="P23" s="6">
        <v>1562</v>
      </c>
      <c r="Q23" s="6">
        <v>163910</v>
      </c>
      <c r="R23" s="60"/>
      <c r="S23" s="60"/>
    </row>
    <row r="24" spans="1:19" s="1" customFormat="1" hidden="1" outlineLevel="1" x14ac:dyDescent="0.25">
      <c r="A24" s="7" t="s">
        <v>261</v>
      </c>
      <c r="B24" s="7" t="s">
        <v>262</v>
      </c>
      <c r="C24" s="14">
        <v>341</v>
      </c>
      <c r="D24" s="6">
        <v>90.16</v>
      </c>
      <c r="E24" s="6">
        <v>100</v>
      </c>
      <c r="F24" s="6"/>
      <c r="G24" s="6"/>
      <c r="H24" s="6">
        <v>5</v>
      </c>
      <c r="I24" s="6">
        <v>1705</v>
      </c>
      <c r="J24" s="6">
        <v>3687</v>
      </c>
      <c r="K24" s="6">
        <v>1257267</v>
      </c>
      <c r="L24" s="6"/>
      <c r="M24" s="6"/>
      <c r="N24" s="6">
        <f t="shared" si="1"/>
        <v>3692</v>
      </c>
      <c r="O24" s="6">
        <f t="shared" si="2"/>
        <v>1258972</v>
      </c>
      <c r="P24" s="6">
        <v>221</v>
      </c>
      <c r="Q24" s="6">
        <v>83876</v>
      </c>
      <c r="R24" s="60"/>
      <c r="S24" s="60"/>
    </row>
    <row r="25" spans="1:19" s="1" customFormat="1" hidden="1" outlineLevel="1" x14ac:dyDescent="0.25">
      <c r="A25" s="7" t="s">
        <v>315</v>
      </c>
      <c r="B25" s="7" t="s">
        <v>316</v>
      </c>
      <c r="C25" s="14">
        <v>268.44</v>
      </c>
      <c r="D25" s="6">
        <v>33.68</v>
      </c>
      <c r="E25" s="6">
        <v>100</v>
      </c>
      <c r="F25" s="6">
        <v>3</v>
      </c>
      <c r="G25" s="6">
        <v>805.32</v>
      </c>
      <c r="H25" s="6">
        <v>20</v>
      </c>
      <c r="I25" s="6">
        <v>5368.8</v>
      </c>
      <c r="J25" s="6">
        <v>624</v>
      </c>
      <c r="K25" s="6">
        <v>167506.56</v>
      </c>
      <c r="L25" s="6"/>
      <c r="M25" s="6"/>
      <c r="N25" s="6">
        <f t="shared" si="1"/>
        <v>647</v>
      </c>
      <c r="O25" s="6">
        <f t="shared" si="2"/>
        <v>173680.68</v>
      </c>
      <c r="P25" s="6">
        <v>292</v>
      </c>
      <c r="Q25" s="6">
        <v>82851</v>
      </c>
      <c r="R25" s="60"/>
      <c r="S25" s="60"/>
    </row>
    <row r="26" spans="1:19" s="1" customFormat="1" hidden="1" outlineLevel="1" x14ac:dyDescent="0.25">
      <c r="A26" s="7" t="s">
        <v>311</v>
      </c>
      <c r="B26" s="7" t="s">
        <v>312</v>
      </c>
      <c r="C26" s="14">
        <v>137.38999999999999</v>
      </c>
      <c r="D26" s="6">
        <v>7.18</v>
      </c>
      <c r="E26" s="6">
        <v>99.49</v>
      </c>
      <c r="F26" s="6"/>
      <c r="G26" s="6"/>
      <c r="H26" s="6">
        <v>10</v>
      </c>
      <c r="I26" s="6">
        <v>1373.9</v>
      </c>
      <c r="J26" s="6">
        <v>0</v>
      </c>
      <c r="K26" s="6">
        <v>0</v>
      </c>
      <c r="L26" s="6"/>
      <c r="M26" s="6"/>
      <c r="N26" s="6">
        <f t="shared" si="1"/>
        <v>10</v>
      </c>
      <c r="O26" s="6">
        <f t="shared" si="2"/>
        <v>1373.8999999999999</v>
      </c>
      <c r="P26" s="6">
        <v>49</v>
      </c>
      <c r="Q26" s="6">
        <v>6859</v>
      </c>
      <c r="R26" s="60"/>
      <c r="S26" s="60"/>
    </row>
    <row r="27" spans="1:19" s="1" customFormat="1" hidden="1" outlineLevel="1" x14ac:dyDescent="0.25">
      <c r="A27" s="7" t="s">
        <v>297</v>
      </c>
      <c r="B27" s="7" t="s">
        <v>298</v>
      </c>
      <c r="C27" s="14">
        <v>1141.03</v>
      </c>
      <c r="D27" s="6">
        <v>96.56</v>
      </c>
      <c r="E27" s="6">
        <v>100</v>
      </c>
      <c r="F27" s="6"/>
      <c r="G27" s="6"/>
      <c r="H27" s="6">
        <v>3</v>
      </c>
      <c r="I27" s="6">
        <v>3423.09</v>
      </c>
      <c r="J27" s="6">
        <v>1305</v>
      </c>
      <c r="K27" s="6">
        <v>1489044.15</v>
      </c>
      <c r="L27" s="6"/>
      <c r="M27" s="6"/>
      <c r="N27" s="6">
        <f t="shared" si="1"/>
        <v>1308</v>
      </c>
      <c r="O27" s="6">
        <f t="shared" si="2"/>
        <v>1492467.24</v>
      </c>
      <c r="P27" s="6">
        <v>92</v>
      </c>
      <c r="Q27" s="6">
        <v>114563</v>
      </c>
      <c r="R27" s="60"/>
      <c r="S27" s="60"/>
    </row>
    <row r="28" spans="1:19" s="1" customFormat="1" hidden="1" outlineLevel="1" x14ac:dyDescent="0.25">
      <c r="A28" s="7" t="s">
        <v>151</v>
      </c>
      <c r="B28" s="7" t="s">
        <v>152</v>
      </c>
      <c r="C28" s="14">
        <v>1112.43</v>
      </c>
      <c r="D28" s="6">
        <v>43.42</v>
      </c>
      <c r="E28" s="6">
        <v>100</v>
      </c>
      <c r="F28" s="6">
        <v>25</v>
      </c>
      <c r="G28" s="6">
        <v>27810.75</v>
      </c>
      <c r="H28" s="6">
        <v>231</v>
      </c>
      <c r="I28" s="6">
        <v>256971.33</v>
      </c>
      <c r="J28" s="6">
        <v>251</v>
      </c>
      <c r="K28" s="6">
        <v>279219.93</v>
      </c>
      <c r="L28" s="6"/>
      <c r="M28" s="6"/>
      <c r="N28" s="6">
        <f t="shared" si="1"/>
        <v>507</v>
      </c>
      <c r="O28" s="6">
        <f t="shared" si="2"/>
        <v>564002.01</v>
      </c>
      <c r="P28" s="6">
        <v>53</v>
      </c>
      <c r="Q28" s="6">
        <v>50651</v>
      </c>
      <c r="R28" s="60"/>
      <c r="S28" s="60"/>
    </row>
    <row r="29" spans="1:19" s="1" customFormat="1" hidden="1" outlineLevel="1" x14ac:dyDescent="0.25">
      <c r="A29" s="7" t="s">
        <v>283</v>
      </c>
      <c r="B29" s="7" t="s">
        <v>284</v>
      </c>
      <c r="C29" s="14">
        <v>513.83000000000004</v>
      </c>
      <c r="D29" s="6">
        <v>13.38</v>
      </c>
      <c r="E29" s="6">
        <v>100</v>
      </c>
      <c r="F29" s="6">
        <v>35</v>
      </c>
      <c r="G29" s="6">
        <v>17984.05</v>
      </c>
      <c r="H29" s="6">
        <v>348</v>
      </c>
      <c r="I29" s="6">
        <v>178812.84</v>
      </c>
      <c r="J29" s="6">
        <v>332</v>
      </c>
      <c r="K29" s="6">
        <v>170591.56</v>
      </c>
      <c r="L29" s="6"/>
      <c r="M29" s="6"/>
      <c r="N29" s="6">
        <f t="shared" si="1"/>
        <v>715</v>
      </c>
      <c r="O29" s="6">
        <f t="shared" si="2"/>
        <v>367388.45</v>
      </c>
      <c r="P29" s="6">
        <v>278</v>
      </c>
      <c r="Q29" s="6">
        <v>111967</v>
      </c>
      <c r="R29" s="60"/>
      <c r="S29" s="60"/>
    </row>
    <row r="30" spans="1:19" s="1" customFormat="1" hidden="1" outlineLevel="1" x14ac:dyDescent="0.25">
      <c r="A30" s="7" t="s">
        <v>285</v>
      </c>
      <c r="B30" s="7" t="s">
        <v>286</v>
      </c>
      <c r="C30" s="14">
        <v>488.34</v>
      </c>
      <c r="D30" s="6">
        <v>14.49</v>
      </c>
      <c r="E30" s="6">
        <v>41.94</v>
      </c>
      <c r="F30" s="6">
        <v>8</v>
      </c>
      <c r="G30" s="6">
        <v>3906.72</v>
      </c>
      <c r="H30" s="6">
        <v>10</v>
      </c>
      <c r="I30" s="6">
        <v>4883.3999999999996</v>
      </c>
      <c r="J30" s="6">
        <v>396</v>
      </c>
      <c r="K30" s="6">
        <v>193382.64</v>
      </c>
      <c r="L30" s="6"/>
      <c r="M30" s="6"/>
      <c r="N30" s="6">
        <f t="shared" si="1"/>
        <v>414</v>
      </c>
      <c r="O30" s="6">
        <f t="shared" si="2"/>
        <v>202172.75999999998</v>
      </c>
      <c r="P30" s="6">
        <v>200</v>
      </c>
      <c r="Q30" s="6">
        <v>92653</v>
      </c>
      <c r="R30" s="60"/>
      <c r="S30" s="60"/>
    </row>
    <row r="31" spans="1:19" s="1" customFormat="1" hidden="1" outlineLevel="1" x14ac:dyDescent="0.25">
      <c r="A31" s="7" t="s">
        <v>604</v>
      </c>
      <c r="B31" s="7" t="s">
        <v>605</v>
      </c>
      <c r="C31" s="14">
        <v>549.46</v>
      </c>
      <c r="D31" s="6">
        <v>35.4</v>
      </c>
      <c r="E31" s="6">
        <v>99.2</v>
      </c>
      <c r="F31" s="6">
        <v>20</v>
      </c>
      <c r="G31" s="6">
        <v>10989.2</v>
      </c>
      <c r="H31" s="6">
        <v>50</v>
      </c>
      <c r="I31" s="6">
        <v>27473</v>
      </c>
      <c r="J31" s="6">
        <v>1197</v>
      </c>
      <c r="K31" s="6">
        <v>657703.62</v>
      </c>
      <c r="L31" s="6"/>
      <c r="M31" s="6"/>
      <c r="N31" s="6">
        <f t="shared" si="1"/>
        <v>1267</v>
      </c>
      <c r="O31" s="6">
        <f t="shared" si="2"/>
        <v>696165.82000000007</v>
      </c>
      <c r="P31" s="6">
        <v>124</v>
      </c>
      <c r="Q31" s="6">
        <v>86126</v>
      </c>
      <c r="R31" s="60"/>
      <c r="S31" s="60"/>
    </row>
    <row r="32" spans="1:19" s="1" customFormat="1" hidden="1" outlineLevel="1" x14ac:dyDescent="0.25">
      <c r="A32" s="7" t="s">
        <v>27</v>
      </c>
      <c r="B32" s="7" t="s">
        <v>28</v>
      </c>
      <c r="C32" s="14">
        <v>351.32</v>
      </c>
      <c r="D32" s="6">
        <v>145.47</v>
      </c>
      <c r="E32" s="6">
        <v>100</v>
      </c>
      <c r="F32" s="6"/>
      <c r="G32" s="6"/>
      <c r="H32" s="6">
        <v>10</v>
      </c>
      <c r="I32" s="6">
        <v>3513.2</v>
      </c>
      <c r="J32" s="6">
        <v>4916</v>
      </c>
      <c r="K32" s="6">
        <v>1727089.12</v>
      </c>
      <c r="L32" s="6"/>
      <c r="M32" s="6"/>
      <c r="N32" s="6">
        <f t="shared" si="1"/>
        <v>4926</v>
      </c>
      <c r="O32" s="6">
        <f t="shared" si="2"/>
        <v>1730602.32</v>
      </c>
      <c r="P32" s="6">
        <v>304</v>
      </c>
      <c r="Q32" s="6">
        <v>106996</v>
      </c>
      <c r="R32" s="60"/>
      <c r="S32" s="60"/>
    </row>
    <row r="33" spans="1:19" s="1" customFormat="1" hidden="1" outlineLevel="1" x14ac:dyDescent="0.25">
      <c r="A33" s="7" t="s">
        <v>115</v>
      </c>
      <c r="B33" s="7" t="s">
        <v>116</v>
      </c>
      <c r="C33" s="14">
        <v>664.05</v>
      </c>
      <c r="D33" s="6">
        <v>36.61</v>
      </c>
      <c r="E33" s="6">
        <v>100</v>
      </c>
      <c r="F33" s="6">
        <v>6</v>
      </c>
      <c r="G33" s="6">
        <v>3984.3</v>
      </c>
      <c r="H33" s="6">
        <v>10</v>
      </c>
      <c r="I33" s="6">
        <v>6640.5</v>
      </c>
      <c r="J33" s="6">
        <v>637</v>
      </c>
      <c r="K33" s="6">
        <v>422999.85</v>
      </c>
      <c r="L33" s="6"/>
      <c r="M33" s="6"/>
      <c r="N33" s="6">
        <f t="shared" si="1"/>
        <v>653</v>
      </c>
      <c r="O33" s="6">
        <f t="shared" si="2"/>
        <v>433624.64999999997</v>
      </c>
      <c r="P33" s="6">
        <v>83</v>
      </c>
      <c r="Q33" s="6">
        <v>57513</v>
      </c>
      <c r="R33" s="60"/>
      <c r="S33" s="60"/>
    </row>
    <row r="34" spans="1:19" s="1" customFormat="1" hidden="1" outlineLevel="1" x14ac:dyDescent="0.25">
      <c r="A34" s="7" t="s">
        <v>143</v>
      </c>
      <c r="B34" s="7" t="s">
        <v>144</v>
      </c>
      <c r="C34" s="14">
        <v>664.89</v>
      </c>
      <c r="D34" s="6">
        <v>24.19</v>
      </c>
      <c r="E34" s="6">
        <v>90.86</v>
      </c>
      <c r="F34" s="6">
        <v>43</v>
      </c>
      <c r="G34" s="6">
        <v>28590.27</v>
      </c>
      <c r="H34" s="6">
        <v>335</v>
      </c>
      <c r="I34" s="6">
        <v>222738.15</v>
      </c>
      <c r="J34" s="6">
        <v>351</v>
      </c>
      <c r="K34" s="6">
        <v>233376.39</v>
      </c>
      <c r="L34" s="6"/>
      <c r="M34" s="6"/>
      <c r="N34" s="6">
        <f t="shared" si="1"/>
        <v>729</v>
      </c>
      <c r="O34" s="6">
        <f t="shared" si="2"/>
        <v>484704.81</v>
      </c>
      <c r="P34" s="6">
        <v>114</v>
      </c>
      <c r="Q34" s="6">
        <v>67100</v>
      </c>
      <c r="R34" s="60"/>
      <c r="S34" s="60"/>
    </row>
    <row r="35" spans="1:19" s="1" customFormat="1" hidden="1" outlineLevel="1" x14ac:dyDescent="0.25">
      <c r="A35" s="7" t="s">
        <v>355</v>
      </c>
      <c r="B35" s="7" t="s">
        <v>356</v>
      </c>
      <c r="C35" s="14">
        <v>688.37</v>
      </c>
      <c r="D35" s="6">
        <v>230.67</v>
      </c>
      <c r="E35" s="6">
        <v>100</v>
      </c>
      <c r="F35" s="6"/>
      <c r="G35" s="6"/>
      <c r="H35" s="6"/>
      <c r="I35" s="6"/>
      <c r="J35" s="6">
        <v>1976</v>
      </c>
      <c r="K35" s="6">
        <v>1360219.12</v>
      </c>
      <c r="L35" s="6"/>
      <c r="M35" s="6"/>
      <c r="N35" s="6">
        <f t="shared" si="1"/>
        <v>1976</v>
      </c>
      <c r="O35" s="6">
        <f t="shared" si="2"/>
        <v>1360219.12</v>
      </c>
      <c r="P35" s="6">
        <v>61</v>
      </c>
      <c r="Q35" s="6">
        <v>42615</v>
      </c>
      <c r="R35" s="60">
        <f t="shared" si="3"/>
        <v>434.0569644947326</v>
      </c>
      <c r="S35" s="60">
        <f t="shared" si="4"/>
        <v>298791.79264923907</v>
      </c>
    </row>
    <row r="36" spans="1:19" s="1" customFormat="1" hidden="1" outlineLevel="1" x14ac:dyDescent="0.25">
      <c r="A36" s="7" t="s">
        <v>538</v>
      </c>
      <c r="B36" s="7" t="s">
        <v>539</v>
      </c>
      <c r="C36" s="14">
        <v>884.61</v>
      </c>
      <c r="D36" s="6">
        <v>34.43</v>
      </c>
      <c r="E36" s="6">
        <v>100</v>
      </c>
      <c r="F36" s="6">
        <v>30</v>
      </c>
      <c r="G36" s="6">
        <v>26538.3</v>
      </c>
      <c r="H36" s="6">
        <v>41</v>
      </c>
      <c r="I36" s="6">
        <v>36269.01</v>
      </c>
      <c r="J36" s="6">
        <v>38</v>
      </c>
      <c r="K36" s="6">
        <v>33615.18</v>
      </c>
      <c r="L36" s="6">
        <v>1090</v>
      </c>
      <c r="M36" s="6">
        <v>964224.9</v>
      </c>
      <c r="N36" s="6">
        <f t="shared" si="1"/>
        <v>1199</v>
      </c>
      <c r="O36" s="6">
        <f t="shared" si="2"/>
        <v>1060647.3900000001</v>
      </c>
      <c r="P36" s="6">
        <v>154</v>
      </c>
      <c r="Q36" s="6">
        <v>156007</v>
      </c>
      <c r="R36" s="60"/>
      <c r="S36" s="60"/>
    </row>
    <row r="37" spans="1:19" s="1" customFormat="1" hidden="1" outlineLevel="1" x14ac:dyDescent="0.25">
      <c r="A37" s="7" t="s">
        <v>131</v>
      </c>
      <c r="B37" s="7" t="s">
        <v>132</v>
      </c>
      <c r="C37" s="14">
        <v>306.41000000000003</v>
      </c>
      <c r="D37" s="6">
        <v>10.09</v>
      </c>
      <c r="E37" s="6">
        <v>100</v>
      </c>
      <c r="F37" s="6">
        <v>10</v>
      </c>
      <c r="G37" s="6">
        <v>3064.1</v>
      </c>
      <c r="H37" s="6">
        <v>30</v>
      </c>
      <c r="I37" s="6">
        <v>9192.2999999999993</v>
      </c>
      <c r="J37" s="6">
        <v>111</v>
      </c>
      <c r="K37" s="6">
        <v>34011.51</v>
      </c>
      <c r="L37" s="6"/>
      <c r="M37" s="6"/>
      <c r="N37" s="6">
        <f t="shared" si="1"/>
        <v>151</v>
      </c>
      <c r="O37" s="6">
        <f t="shared" si="2"/>
        <v>46267.91</v>
      </c>
      <c r="P37" s="6">
        <v>307</v>
      </c>
      <c r="Q37" s="6">
        <v>85518</v>
      </c>
      <c r="R37" s="60"/>
      <c r="S37" s="60"/>
    </row>
    <row r="38" spans="1:19" s="1" customFormat="1" hidden="1" outlineLevel="1" x14ac:dyDescent="0.25">
      <c r="A38" s="7" t="s">
        <v>351</v>
      </c>
      <c r="B38" s="7" t="s">
        <v>352</v>
      </c>
      <c r="C38" s="14">
        <v>306.39999999999998</v>
      </c>
      <c r="D38" s="6">
        <v>60.3</v>
      </c>
      <c r="E38" s="6">
        <v>100</v>
      </c>
      <c r="F38" s="6"/>
      <c r="G38" s="6"/>
      <c r="H38" s="6">
        <v>45</v>
      </c>
      <c r="I38" s="6">
        <v>13788</v>
      </c>
      <c r="J38" s="6">
        <v>2601</v>
      </c>
      <c r="K38" s="6">
        <v>796946.4</v>
      </c>
      <c r="L38" s="6">
        <v>1640</v>
      </c>
      <c r="M38" s="6">
        <v>502496</v>
      </c>
      <c r="N38" s="6">
        <f t="shared" si="1"/>
        <v>4286</v>
      </c>
      <c r="O38" s="6">
        <f t="shared" si="2"/>
        <v>1313230.3999999999</v>
      </c>
      <c r="P38" s="6">
        <v>207</v>
      </c>
      <c r="Q38" s="6">
        <v>61517</v>
      </c>
      <c r="R38" s="60"/>
      <c r="S38" s="60"/>
    </row>
    <row r="39" spans="1:19" s="1" customFormat="1" hidden="1" outlineLevel="1" x14ac:dyDescent="0.25">
      <c r="A39" s="7" t="s">
        <v>199</v>
      </c>
      <c r="B39" s="7" t="s">
        <v>200</v>
      </c>
      <c r="C39" s="14">
        <v>95.87</v>
      </c>
      <c r="D39" s="6">
        <v>71.430000000000007</v>
      </c>
      <c r="E39" s="6">
        <v>100</v>
      </c>
      <c r="F39" s="6">
        <v>24</v>
      </c>
      <c r="G39" s="6">
        <v>2300.88</v>
      </c>
      <c r="H39" s="6">
        <v>29</v>
      </c>
      <c r="I39" s="6">
        <v>2780.23</v>
      </c>
      <c r="J39" s="6">
        <v>7244</v>
      </c>
      <c r="K39" s="6">
        <v>694482.28</v>
      </c>
      <c r="L39" s="6"/>
      <c r="M39" s="6"/>
      <c r="N39" s="6">
        <f t="shared" si="1"/>
        <v>7297</v>
      </c>
      <c r="O39" s="6">
        <f t="shared" si="2"/>
        <v>699563.39</v>
      </c>
      <c r="P39" s="6">
        <v>1107</v>
      </c>
      <c r="Q39" s="6">
        <v>102335</v>
      </c>
      <c r="R39" s="60"/>
      <c r="S39" s="60"/>
    </row>
    <row r="40" spans="1:19" s="1" customFormat="1" hidden="1" outlineLevel="1" x14ac:dyDescent="0.25">
      <c r="A40" s="7" t="s">
        <v>327</v>
      </c>
      <c r="B40" s="7" t="s">
        <v>328</v>
      </c>
      <c r="C40" s="14">
        <v>44.48</v>
      </c>
      <c r="D40" s="6">
        <v>195.54</v>
      </c>
      <c r="E40" s="6">
        <v>100</v>
      </c>
      <c r="F40" s="6">
        <v>50</v>
      </c>
      <c r="G40" s="6">
        <v>2224</v>
      </c>
      <c r="H40" s="6">
        <v>30</v>
      </c>
      <c r="I40" s="6">
        <v>1334.4</v>
      </c>
      <c r="J40" s="6">
        <v>11144</v>
      </c>
      <c r="K40" s="6">
        <v>495685.12</v>
      </c>
      <c r="L40" s="6"/>
      <c r="M40" s="6"/>
      <c r="N40" s="6">
        <f t="shared" si="1"/>
        <v>11224</v>
      </c>
      <c r="O40" s="6">
        <f t="shared" si="2"/>
        <v>499243.51999999996</v>
      </c>
      <c r="P40" s="6">
        <v>565</v>
      </c>
      <c r="Q40" s="6">
        <v>27479</v>
      </c>
      <c r="R40" s="60">
        <f t="shared" si="3"/>
        <v>885.63853942927233</v>
      </c>
      <c r="S40" s="60">
        <f t="shared" si="4"/>
        <v>39393.20223381403</v>
      </c>
    </row>
    <row r="41" spans="1:19" s="1" customFormat="1" hidden="1" outlineLevel="1" x14ac:dyDescent="0.25">
      <c r="A41" s="7" t="s">
        <v>780</v>
      </c>
      <c r="B41" s="7" t="s">
        <v>781</v>
      </c>
      <c r="C41" s="14">
        <v>338.97</v>
      </c>
      <c r="D41" s="6">
        <v>943.98</v>
      </c>
      <c r="E41" s="6">
        <v>100</v>
      </c>
      <c r="F41" s="6">
        <v>15</v>
      </c>
      <c r="G41" s="6">
        <v>5084.55</v>
      </c>
      <c r="H41" s="6"/>
      <c r="I41" s="6"/>
      <c r="J41" s="6">
        <v>335</v>
      </c>
      <c r="K41" s="6">
        <v>113554.95</v>
      </c>
      <c r="L41" s="6"/>
      <c r="M41" s="6"/>
      <c r="N41" s="6">
        <f t="shared" si="1"/>
        <v>350</v>
      </c>
      <c r="O41" s="6">
        <f t="shared" si="2"/>
        <v>118639.50000000001</v>
      </c>
      <c r="P41" s="6">
        <v>295</v>
      </c>
      <c r="Q41" s="6">
        <v>124553</v>
      </c>
      <c r="R41" s="60">
        <f t="shared" ref="R41" si="5">J41/D41*(D41-180)</f>
        <v>271.12152799847456</v>
      </c>
      <c r="S41" s="60">
        <f t="shared" ref="S41" si="6">R41*C41</f>
        <v>91902.064345642924</v>
      </c>
    </row>
    <row r="42" spans="1:19" s="1" customFormat="1" hidden="1" outlineLevel="1" x14ac:dyDescent="0.25">
      <c r="A42" s="7" t="s">
        <v>540</v>
      </c>
      <c r="B42" s="7" t="s">
        <v>541</v>
      </c>
      <c r="C42" s="14">
        <v>988.38</v>
      </c>
      <c r="D42" s="6">
        <v>71.28</v>
      </c>
      <c r="E42" s="6">
        <v>100</v>
      </c>
      <c r="F42" s="6"/>
      <c r="G42" s="6"/>
      <c r="H42" s="6">
        <v>10</v>
      </c>
      <c r="I42" s="6">
        <v>9883.7999999999993</v>
      </c>
      <c r="J42" s="6">
        <v>199</v>
      </c>
      <c r="K42" s="6">
        <v>196687.62</v>
      </c>
      <c r="L42" s="6">
        <v>530</v>
      </c>
      <c r="M42" s="6">
        <v>523841.4</v>
      </c>
      <c r="N42" s="6">
        <f t="shared" si="1"/>
        <v>739</v>
      </c>
      <c r="O42" s="6">
        <f t="shared" si="2"/>
        <v>730412.82</v>
      </c>
      <c r="P42" s="6">
        <v>67</v>
      </c>
      <c r="Q42" s="6">
        <v>74543</v>
      </c>
      <c r="R42" s="60"/>
      <c r="S42" s="60"/>
    </row>
    <row r="43" spans="1:19" s="1" customFormat="1" hidden="1" outlineLevel="1" x14ac:dyDescent="0.25">
      <c r="A43" s="7" t="s">
        <v>357</v>
      </c>
      <c r="B43" s="7" t="s">
        <v>358</v>
      </c>
      <c r="C43" s="14">
        <v>157.65</v>
      </c>
      <c r="D43" s="6">
        <v>97.86</v>
      </c>
      <c r="E43" s="6">
        <v>100</v>
      </c>
      <c r="F43" s="6"/>
      <c r="G43" s="6"/>
      <c r="H43" s="6"/>
      <c r="I43" s="6"/>
      <c r="J43" s="6">
        <v>3408</v>
      </c>
      <c r="K43" s="6">
        <v>537271.19999999995</v>
      </c>
      <c r="L43" s="6"/>
      <c r="M43" s="6"/>
      <c r="N43" s="6">
        <f t="shared" si="1"/>
        <v>3408</v>
      </c>
      <c r="O43" s="6">
        <f t="shared" si="2"/>
        <v>537271.20000000007</v>
      </c>
      <c r="P43" s="6">
        <v>183</v>
      </c>
      <c r="Q43" s="6">
        <v>27340</v>
      </c>
      <c r="R43" s="60"/>
      <c r="S43" s="60"/>
    </row>
    <row r="44" spans="1:19" s="1" customFormat="1" hidden="1" outlineLevel="1" x14ac:dyDescent="0.25">
      <c r="A44" s="7" t="s">
        <v>29</v>
      </c>
      <c r="B44" s="7" t="s">
        <v>30</v>
      </c>
      <c r="C44" s="14">
        <v>222.78</v>
      </c>
      <c r="D44" s="6">
        <v>591.80999999999995</v>
      </c>
      <c r="E44" s="6">
        <v>100</v>
      </c>
      <c r="F44" s="6"/>
      <c r="G44" s="6"/>
      <c r="H44" s="6"/>
      <c r="I44" s="6"/>
      <c r="J44" s="6">
        <v>5096</v>
      </c>
      <c r="K44" s="6">
        <v>1135286.8799999999</v>
      </c>
      <c r="L44" s="6"/>
      <c r="M44" s="6"/>
      <c r="N44" s="6">
        <f t="shared" si="1"/>
        <v>5096</v>
      </c>
      <c r="O44" s="6">
        <f t="shared" si="2"/>
        <v>1135286.8800000001</v>
      </c>
      <c r="P44" s="6">
        <v>303</v>
      </c>
      <c r="Q44" s="6">
        <v>81404</v>
      </c>
      <c r="R44" s="60">
        <f t="shared" ref="R44:R105" si="7">J44/D44*(D44-180)</f>
        <v>3546.043088153292</v>
      </c>
      <c r="S44" s="60">
        <f t="shared" ref="S44:S105" si="8">R44*C44</f>
        <v>789987.47917879035</v>
      </c>
    </row>
    <row r="45" spans="1:19" s="1" customFormat="1" hidden="1" outlineLevel="1" x14ac:dyDescent="0.25">
      <c r="A45" s="7" t="s">
        <v>309</v>
      </c>
      <c r="B45" s="7" t="s">
        <v>310</v>
      </c>
      <c r="C45" s="14">
        <v>118.98</v>
      </c>
      <c r="D45" s="6">
        <v>17.59</v>
      </c>
      <c r="E45" s="6">
        <v>100</v>
      </c>
      <c r="F45" s="6"/>
      <c r="G45" s="6"/>
      <c r="H45" s="6">
        <v>72</v>
      </c>
      <c r="I45" s="6">
        <v>8566.56</v>
      </c>
      <c r="J45" s="6">
        <v>41</v>
      </c>
      <c r="K45" s="6">
        <v>4878.18</v>
      </c>
      <c r="L45" s="6"/>
      <c r="M45" s="6"/>
      <c r="N45" s="6">
        <f t="shared" si="1"/>
        <v>113</v>
      </c>
      <c r="O45" s="6">
        <f t="shared" si="2"/>
        <v>13444.74</v>
      </c>
      <c r="P45" s="6">
        <v>45</v>
      </c>
      <c r="Q45" s="6">
        <v>5840</v>
      </c>
      <c r="R45" s="60"/>
      <c r="S45" s="60"/>
    </row>
    <row r="46" spans="1:19" s="1" customFormat="1" hidden="1" outlineLevel="1" x14ac:dyDescent="0.25">
      <c r="A46" s="7" t="s">
        <v>331</v>
      </c>
      <c r="B46" s="7" t="s">
        <v>332</v>
      </c>
      <c r="C46" s="14">
        <v>78.08</v>
      </c>
      <c r="D46" s="6">
        <v>27.19</v>
      </c>
      <c r="E46" s="6">
        <v>99.71</v>
      </c>
      <c r="F46" s="6"/>
      <c r="G46" s="6"/>
      <c r="H46" s="6"/>
      <c r="I46" s="6"/>
      <c r="J46" s="6">
        <v>2045</v>
      </c>
      <c r="K46" s="6">
        <v>159673.60000000001</v>
      </c>
      <c r="L46" s="6"/>
      <c r="M46" s="6"/>
      <c r="N46" s="6">
        <f t="shared" si="1"/>
        <v>2045</v>
      </c>
      <c r="O46" s="6">
        <f t="shared" si="2"/>
        <v>159673.60000000001</v>
      </c>
      <c r="P46" s="6">
        <v>928</v>
      </c>
      <c r="Q46" s="6">
        <v>73644</v>
      </c>
      <c r="R46" s="60"/>
      <c r="S46" s="60"/>
    </row>
    <row r="47" spans="1:19" s="1" customFormat="1" hidden="1" outlineLevel="1" x14ac:dyDescent="0.25">
      <c r="A47" s="7" t="s">
        <v>211</v>
      </c>
      <c r="B47" s="7" t="s">
        <v>212</v>
      </c>
      <c r="C47" s="14">
        <v>154.97999999999999</v>
      </c>
      <c r="D47" s="6">
        <v>31.58</v>
      </c>
      <c r="E47" s="6">
        <v>100</v>
      </c>
      <c r="F47" s="6"/>
      <c r="G47" s="6"/>
      <c r="H47" s="6">
        <v>230</v>
      </c>
      <c r="I47" s="6">
        <v>35645.4</v>
      </c>
      <c r="J47" s="6">
        <v>2505</v>
      </c>
      <c r="K47" s="6">
        <v>388224.9</v>
      </c>
      <c r="L47" s="6"/>
      <c r="M47" s="6"/>
      <c r="N47" s="6">
        <f t="shared" si="1"/>
        <v>2735</v>
      </c>
      <c r="O47" s="6">
        <f t="shared" si="2"/>
        <v>423870.3</v>
      </c>
      <c r="P47" s="6">
        <v>538</v>
      </c>
      <c r="Q47" s="6">
        <v>87043</v>
      </c>
      <c r="R47" s="60"/>
      <c r="S47" s="60"/>
    </row>
    <row r="48" spans="1:19" s="1" customFormat="1" hidden="1" outlineLevel="1" x14ac:dyDescent="0.25">
      <c r="A48" s="7" t="s">
        <v>307</v>
      </c>
      <c r="B48" s="7" t="s">
        <v>308</v>
      </c>
      <c r="C48" s="14">
        <v>107.02</v>
      </c>
      <c r="D48" s="6">
        <v>29.03</v>
      </c>
      <c r="E48" s="6">
        <v>100</v>
      </c>
      <c r="F48" s="6"/>
      <c r="G48" s="6"/>
      <c r="H48" s="6">
        <v>92</v>
      </c>
      <c r="I48" s="6">
        <v>9845.84</v>
      </c>
      <c r="J48" s="6">
        <v>0</v>
      </c>
      <c r="K48" s="6">
        <v>0</v>
      </c>
      <c r="L48" s="6"/>
      <c r="M48" s="6"/>
      <c r="N48" s="6">
        <f t="shared" si="1"/>
        <v>92</v>
      </c>
      <c r="O48" s="6">
        <f t="shared" si="2"/>
        <v>9845.84</v>
      </c>
      <c r="P48" s="6">
        <v>31</v>
      </c>
      <c r="Q48" s="6">
        <v>3502</v>
      </c>
      <c r="R48" s="60"/>
      <c r="S48" s="60"/>
    </row>
    <row r="49" spans="1:19" s="1" customFormat="1" hidden="1" outlineLevel="1" x14ac:dyDescent="0.25">
      <c r="A49" s="7" t="s">
        <v>472</v>
      </c>
      <c r="B49" s="7" t="s">
        <v>473</v>
      </c>
      <c r="C49" s="14">
        <v>1141.26</v>
      </c>
      <c r="D49" s="6">
        <v>1514.67</v>
      </c>
      <c r="E49" s="6">
        <v>100</v>
      </c>
      <c r="F49" s="6"/>
      <c r="G49" s="6"/>
      <c r="H49" s="6">
        <v>84</v>
      </c>
      <c r="I49" s="6">
        <v>95865.84</v>
      </c>
      <c r="J49" s="6">
        <v>-41</v>
      </c>
      <c r="K49" s="6">
        <v>-46791.66</v>
      </c>
      <c r="L49" s="6"/>
      <c r="M49" s="6"/>
      <c r="N49" s="6">
        <f t="shared" si="1"/>
        <v>43</v>
      </c>
      <c r="O49" s="6">
        <f t="shared" si="2"/>
        <v>49074.18</v>
      </c>
      <c r="P49" s="6">
        <v>11</v>
      </c>
      <c r="Q49" s="6">
        <v>16087</v>
      </c>
      <c r="R49" s="60"/>
      <c r="S49" s="60"/>
    </row>
    <row r="50" spans="1:19" s="1" customFormat="1" hidden="1" outlineLevel="1" x14ac:dyDescent="0.25">
      <c r="A50" s="7" t="s">
        <v>61</v>
      </c>
      <c r="B50" s="7" t="s">
        <v>62</v>
      </c>
      <c r="C50" s="14">
        <v>133.44</v>
      </c>
      <c r="D50" s="6">
        <v>75.55</v>
      </c>
      <c r="E50" s="6">
        <v>100</v>
      </c>
      <c r="F50" s="6">
        <v>16</v>
      </c>
      <c r="G50" s="6">
        <v>2135.04</v>
      </c>
      <c r="H50" s="6">
        <v>210</v>
      </c>
      <c r="I50" s="6">
        <v>28022.400000000001</v>
      </c>
      <c r="J50" s="6">
        <v>448</v>
      </c>
      <c r="K50" s="6">
        <v>59781.120000000003</v>
      </c>
      <c r="L50" s="6">
        <v>2000</v>
      </c>
      <c r="M50" s="6">
        <v>266880</v>
      </c>
      <c r="N50" s="6">
        <f t="shared" si="1"/>
        <v>2674</v>
      </c>
      <c r="O50" s="6">
        <f t="shared" si="2"/>
        <v>356818.56</v>
      </c>
      <c r="P50" s="6">
        <v>483</v>
      </c>
      <c r="Q50" s="6">
        <v>73405</v>
      </c>
      <c r="R50" s="60"/>
      <c r="S50" s="60"/>
    </row>
    <row r="51" spans="1:19" s="1" customFormat="1" hidden="1" outlineLevel="1" x14ac:dyDescent="0.25">
      <c r="A51" s="7" t="s">
        <v>776</v>
      </c>
      <c r="B51" s="7" t="s">
        <v>777</v>
      </c>
      <c r="C51" s="14">
        <v>281.69</v>
      </c>
      <c r="D51" s="6">
        <v>161.24</v>
      </c>
      <c r="E51" s="6">
        <v>100</v>
      </c>
      <c r="F51" s="6"/>
      <c r="G51" s="6"/>
      <c r="H51" s="6"/>
      <c r="I51" s="6"/>
      <c r="J51" s="6">
        <v>592</v>
      </c>
      <c r="K51" s="6">
        <v>166760.48000000001</v>
      </c>
      <c r="L51" s="6"/>
      <c r="M51" s="6"/>
      <c r="N51" s="6">
        <f t="shared" si="1"/>
        <v>592</v>
      </c>
      <c r="O51" s="6">
        <f t="shared" si="2"/>
        <v>166760.48000000001</v>
      </c>
      <c r="P51" s="6">
        <v>117</v>
      </c>
      <c r="Q51" s="6">
        <v>38239</v>
      </c>
      <c r="R51" s="60"/>
      <c r="S51" s="60"/>
    </row>
    <row r="52" spans="1:19" s="1" customFormat="1" hidden="1" outlineLevel="1" x14ac:dyDescent="0.25">
      <c r="A52" s="7" t="s">
        <v>51</v>
      </c>
      <c r="B52" s="7" t="s">
        <v>52</v>
      </c>
      <c r="C52" s="14">
        <v>35.590000000000003</v>
      </c>
      <c r="D52" s="6">
        <v>19.39</v>
      </c>
      <c r="E52" s="6">
        <v>100</v>
      </c>
      <c r="F52" s="6">
        <v>250</v>
      </c>
      <c r="G52" s="6">
        <v>8897.5</v>
      </c>
      <c r="H52" s="6">
        <v>543</v>
      </c>
      <c r="I52" s="6">
        <v>19325.37</v>
      </c>
      <c r="J52" s="6">
        <v>5730</v>
      </c>
      <c r="K52" s="6">
        <v>203930.7</v>
      </c>
      <c r="L52" s="6"/>
      <c r="M52" s="6"/>
      <c r="N52" s="6">
        <f t="shared" si="1"/>
        <v>6523</v>
      </c>
      <c r="O52" s="6">
        <f t="shared" si="2"/>
        <v>232153.57000000004</v>
      </c>
      <c r="P52" s="6">
        <v>692</v>
      </c>
      <c r="Q52" s="6">
        <v>24321</v>
      </c>
      <c r="R52" s="60"/>
      <c r="S52" s="60"/>
    </row>
    <row r="53" spans="1:19" s="1" customFormat="1" hidden="1" outlineLevel="1" x14ac:dyDescent="0.25">
      <c r="A53" s="7" t="s">
        <v>59</v>
      </c>
      <c r="B53" s="7" t="s">
        <v>60</v>
      </c>
      <c r="C53" s="14">
        <v>91.92</v>
      </c>
      <c r="D53" s="6">
        <v>65.48</v>
      </c>
      <c r="E53" s="6">
        <v>100</v>
      </c>
      <c r="F53" s="6"/>
      <c r="G53" s="6"/>
      <c r="H53" s="6">
        <v>244</v>
      </c>
      <c r="I53" s="6">
        <v>22428.48</v>
      </c>
      <c r="J53" s="6">
        <v>0</v>
      </c>
      <c r="K53" s="6">
        <v>0</v>
      </c>
      <c r="L53" s="6">
        <v>6000</v>
      </c>
      <c r="M53" s="6">
        <v>551520</v>
      </c>
      <c r="N53" s="6">
        <f t="shared" si="1"/>
        <v>6244</v>
      </c>
      <c r="O53" s="6">
        <f t="shared" si="2"/>
        <v>573948.48</v>
      </c>
      <c r="P53" s="6">
        <v>558</v>
      </c>
      <c r="Q53" s="6">
        <v>62137</v>
      </c>
      <c r="R53" s="60"/>
      <c r="S53" s="60"/>
    </row>
    <row r="54" spans="1:19" s="1" customFormat="1" hidden="1" outlineLevel="1" x14ac:dyDescent="0.25">
      <c r="A54" s="7" t="s">
        <v>476</v>
      </c>
      <c r="B54" s="7" t="s">
        <v>477</v>
      </c>
      <c r="C54" s="14">
        <v>329.72</v>
      </c>
      <c r="D54" s="6">
        <v>1320.36</v>
      </c>
      <c r="E54" s="6">
        <v>100</v>
      </c>
      <c r="F54" s="6"/>
      <c r="G54" s="6"/>
      <c r="H54" s="6"/>
      <c r="I54" s="6"/>
      <c r="J54" s="6">
        <v>1687</v>
      </c>
      <c r="K54" s="6">
        <v>556237.64</v>
      </c>
      <c r="L54" s="6"/>
      <c r="M54" s="6"/>
      <c r="N54" s="6">
        <f t="shared" si="1"/>
        <v>1687</v>
      </c>
      <c r="O54" s="6">
        <f t="shared" si="2"/>
        <v>556237.64</v>
      </c>
      <c r="P54" s="6">
        <v>578</v>
      </c>
      <c r="Q54" s="6">
        <v>237725</v>
      </c>
      <c r="R54" s="60">
        <f t="shared" si="7"/>
        <v>1457.0172680178132</v>
      </c>
      <c r="S54" s="60">
        <f t="shared" si="8"/>
        <v>480407.73361083341</v>
      </c>
    </row>
    <row r="55" spans="1:19" s="1" customFormat="1" hidden="1" outlineLevel="1" x14ac:dyDescent="0.25">
      <c r="A55" s="7" t="s">
        <v>209</v>
      </c>
      <c r="B55" s="7" t="s">
        <v>210</v>
      </c>
      <c r="C55" s="14">
        <v>244.47</v>
      </c>
      <c r="D55" s="6">
        <v>63.58</v>
      </c>
      <c r="E55" s="6">
        <v>100</v>
      </c>
      <c r="F55" s="6">
        <v>20</v>
      </c>
      <c r="G55" s="6">
        <v>4889.3999999999996</v>
      </c>
      <c r="H55" s="6">
        <v>83</v>
      </c>
      <c r="I55" s="6">
        <v>20291.009999999998</v>
      </c>
      <c r="J55" s="6">
        <v>1347</v>
      </c>
      <c r="K55" s="6">
        <v>329301.09000000003</v>
      </c>
      <c r="L55" s="6"/>
      <c r="M55" s="6"/>
      <c r="N55" s="6">
        <f t="shared" si="1"/>
        <v>1450</v>
      </c>
      <c r="O55" s="6">
        <f t="shared" si="2"/>
        <v>354481.5</v>
      </c>
      <c r="P55" s="6">
        <v>212</v>
      </c>
      <c r="Q55" s="6">
        <v>50445</v>
      </c>
      <c r="R55" s="60"/>
      <c r="S55" s="60"/>
    </row>
    <row r="56" spans="1:19" s="1" customFormat="1" hidden="1" outlineLevel="1" x14ac:dyDescent="0.25">
      <c r="A56" s="7" t="s">
        <v>161</v>
      </c>
      <c r="B56" s="7" t="s">
        <v>162</v>
      </c>
      <c r="C56" s="14">
        <v>1101.4000000000001</v>
      </c>
      <c r="D56" s="6">
        <v>84.49</v>
      </c>
      <c r="E56" s="6">
        <v>47.85</v>
      </c>
      <c r="F56" s="6">
        <v>10</v>
      </c>
      <c r="G56" s="6">
        <v>11014</v>
      </c>
      <c r="H56" s="6">
        <v>68</v>
      </c>
      <c r="I56" s="6">
        <v>74895.199999999997</v>
      </c>
      <c r="J56" s="6">
        <v>101</v>
      </c>
      <c r="K56" s="6">
        <v>111241.4</v>
      </c>
      <c r="L56" s="6"/>
      <c r="M56" s="6"/>
      <c r="N56" s="6">
        <f t="shared" si="1"/>
        <v>179</v>
      </c>
      <c r="O56" s="6">
        <f t="shared" si="2"/>
        <v>197150.6</v>
      </c>
      <c r="P56" s="6">
        <v>11</v>
      </c>
      <c r="Q56" s="6">
        <v>11250</v>
      </c>
      <c r="R56" s="60"/>
      <c r="S56" s="60"/>
    </row>
    <row r="57" spans="1:19" s="1" customFormat="1" hidden="1" outlineLevel="1" x14ac:dyDescent="0.25">
      <c r="A57" s="7" t="s">
        <v>163</v>
      </c>
      <c r="B57" s="7" t="s">
        <v>164</v>
      </c>
      <c r="C57" s="14">
        <v>1399.01</v>
      </c>
      <c r="D57" s="6">
        <v>41.69</v>
      </c>
      <c r="E57" s="6">
        <v>29.03</v>
      </c>
      <c r="F57" s="6">
        <v>5</v>
      </c>
      <c r="G57" s="6">
        <v>6995.05</v>
      </c>
      <c r="H57" s="6">
        <v>81</v>
      </c>
      <c r="I57" s="6">
        <v>113319.81</v>
      </c>
      <c r="J57" s="6">
        <v>173</v>
      </c>
      <c r="K57" s="6">
        <v>242028.73</v>
      </c>
      <c r="L57" s="6"/>
      <c r="M57" s="6"/>
      <c r="N57" s="6">
        <f t="shared" si="1"/>
        <v>259</v>
      </c>
      <c r="O57" s="6">
        <f t="shared" si="2"/>
        <v>362343.59</v>
      </c>
      <c r="P57" s="6">
        <v>30</v>
      </c>
      <c r="Q57" s="6">
        <v>38228</v>
      </c>
      <c r="R57" s="60"/>
      <c r="S57" s="60"/>
    </row>
    <row r="58" spans="1:19" s="1" customFormat="1" hidden="1" outlineLevel="1" x14ac:dyDescent="0.25">
      <c r="A58" s="7" t="s">
        <v>333</v>
      </c>
      <c r="B58" s="7" t="s">
        <v>334</v>
      </c>
      <c r="C58" s="14">
        <v>136.13999999999999</v>
      </c>
      <c r="D58" s="6">
        <v>59.43</v>
      </c>
      <c r="E58" s="6">
        <v>100</v>
      </c>
      <c r="F58" s="6"/>
      <c r="G58" s="6"/>
      <c r="H58" s="6">
        <v>128</v>
      </c>
      <c r="I58" s="6">
        <v>17425.919999999998</v>
      </c>
      <c r="J58" s="6">
        <v>2433</v>
      </c>
      <c r="K58" s="6">
        <v>331228.62</v>
      </c>
      <c r="L58" s="6"/>
      <c r="M58" s="6"/>
      <c r="N58" s="6">
        <f t="shared" si="1"/>
        <v>2561</v>
      </c>
      <c r="O58" s="6">
        <f t="shared" si="2"/>
        <v>348654.54</v>
      </c>
      <c r="P58" s="6">
        <v>450</v>
      </c>
      <c r="Q58" s="6">
        <v>59695</v>
      </c>
      <c r="R58" s="60"/>
      <c r="S58" s="60"/>
    </row>
    <row r="59" spans="1:19" s="1" customFormat="1" hidden="1" outlineLevel="1" x14ac:dyDescent="0.25">
      <c r="A59" s="7" t="s">
        <v>373</v>
      </c>
      <c r="B59" s="7" t="s">
        <v>374</v>
      </c>
      <c r="C59" s="14">
        <v>252.16</v>
      </c>
      <c r="D59" s="6">
        <v>11.18</v>
      </c>
      <c r="E59" s="6">
        <v>44.09</v>
      </c>
      <c r="F59" s="6"/>
      <c r="G59" s="6"/>
      <c r="H59" s="6"/>
      <c r="I59" s="6"/>
      <c r="J59" s="6"/>
      <c r="K59" s="6"/>
      <c r="L59" s="6">
        <v>1176</v>
      </c>
      <c r="M59" s="6">
        <v>296540.15999999997</v>
      </c>
      <c r="N59" s="6">
        <f t="shared" si="1"/>
        <v>1176</v>
      </c>
      <c r="O59" s="6">
        <f t="shared" si="2"/>
        <v>296540.15999999997</v>
      </c>
      <c r="P59" s="6">
        <v>4</v>
      </c>
      <c r="Q59" s="6">
        <v>1326</v>
      </c>
      <c r="R59" s="60"/>
      <c r="S59" s="60"/>
    </row>
    <row r="60" spans="1:19" s="1" customFormat="1" hidden="1" outlineLevel="1" x14ac:dyDescent="0.25">
      <c r="A60" s="7" t="s">
        <v>219</v>
      </c>
      <c r="B60" s="7" t="s">
        <v>220</v>
      </c>
      <c r="C60" s="14">
        <v>516.42999999999995</v>
      </c>
      <c r="D60" s="6">
        <v>31.11</v>
      </c>
      <c r="E60" s="6">
        <v>100</v>
      </c>
      <c r="F60" s="6">
        <v>108</v>
      </c>
      <c r="G60" s="6">
        <v>55774.44</v>
      </c>
      <c r="H60" s="6">
        <v>2</v>
      </c>
      <c r="I60" s="6">
        <v>1032.8599999999999</v>
      </c>
      <c r="J60" s="6">
        <v>0</v>
      </c>
      <c r="K60" s="6">
        <v>0</v>
      </c>
      <c r="L60" s="6"/>
      <c r="M60" s="6"/>
      <c r="N60" s="6">
        <f t="shared" si="1"/>
        <v>110</v>
      </c>
      <c r="O60" s="6">
        <f t="shared" si="2"/>
        <v>56807.299999999996</v>
      </c>
      <c r="P60" s="6">
        <v>37</v>
      </c>
      <c r="Q60" s="6">
        <v>19924</v>
      </c>
      <c r="R60" s="60"/>
      <c r="S60" s="60"/>
    </row>
    <row r="61" spans="1:19" s="1" customFormat="1" hidden="1" outlineLevel="1" x14ac:dyDescent="0.25">
      <c r="A61" s="7" t="s">
        <v>15</v>
      </c>
      <c r="B61" s="7" t="s">
        <v>16</v>
      </c>
      <c r="C61" s="14">
        <v>501.75</v>
      </c>
      <c r="D61" s="6">
        <v>611.16</v>
      </c>
      <c r="E61" s="6">
        <v>100</v>
      </c>
      <c r="F61" s="6"/>
      <c r="G61" s="6"/>
      <c r="H61" s="6"/>
      <c r="I61" s="6"/>
      <c r="J61" s="6">
        <v>2759</v>
      </c>
      <c r="K61" s="6">
        <v>1384328.25</v>
      </c>
      <c r="L61" s="6"/>
      <c r="M61" s="6"/>
      <c r="N61" s="6">
        <f t="shared" si="1"/>
        <v>2759</v>
      </c>
      <c r="O61" s="6">
        <f t="shared" si="2"/>
        <v>1384328.25</v>
      </c>
      <c r="P61" s="6">
        <v>88</v>
      </c>
      <c r="Q61" s="6">
        <v>50997</v>
      </c>
      <c r="R61" s="60">
        <f t="shared" si="7"/>
        <v>1946.4140977812683</v>
      </c>
      <c r="S61" s="60">
        <f t="shared" si="8"/>
        <v>976613.27356175135</v>
      </c>
    </row>
    <row r="62" spans="1:19" s="1" customFormat="1" hidden="1" outlineLevel="1" x14ac:dyDescent="0.25">
      <c r="A62" s="7" t="s">
        <v>241</v>
      </c>
      <c r="B62" s="7" t="s">
        <v>242</v>
      </c>
      <c r="C62" s="14">
        <v>1472.29</v>
      </c>
      <c r="D62" s="6">
        <v>1131.81</v>
      </c>
      <c r="E62" s="6">
        <v>100</v>
      </c>
      <c r="F62" s="6"/>
      <c r="G62" s="6"/>
      <c r="H62" s="6"/>
      <c r="I62" s="6"/>
      <c r="J62" s="6">
        <v>581</v>
      </c>
      <c r="K62" s="6">
        <v>855400.49</v>
      </c>
      <c r="L62" s="6"/>
      <c r="M62" s="6"/>
      <c r="N62" s="6">
        <f t="shared" si="1"/>
        <v>581</v>
      </c>
      <c r="O62" s="6">
        <f t="shared" si="2"/>
        <v>855400.49</v>
      </c>
      <c r="P62" s="6">
        <v>4</v>
      </c>
      <c r="Q62" s="6">
        <v>5965</v>
      </c>
      <c r="R62" s="60">
        <f t="shared" si="7"/>
        <v>488.5993320433642</v>
      </c>
      <c r="S62" s="60">
        <f t="shared" si="8"/>
        <v>719359.91057412466</v>
      </c>
    </row>
    <row r="63" spans="1:19" s="1" customFormat="1" hidden="1" outlineLevel="1" x14ac:dyDescent="0.25">
      <c r="A63" s="7" t="s">
        <v>740</v>
      </c>
      <c r="B63" s="7" t="s">
        <v>741</v>
      </c>
      <c r="C63" s="14">
        <v>272.3</v>
      </c>
      <c r="D63" s="6">
        <v>28</v>
      </c>
      <c r="E63" s="6">
        <v>100</v>
      </c>
      <c r="F63" s="6"/>
      <c r="G63" s="6"/>
      <c r="H63" s="6">
        <v>215</v>
      </c>
      <c r="I63" s="6">
        <v>58544.5</v>
      </c>
      <c r="J63" s="6">
        <v>575</v>
      </c>
      <c r="K63" s="6">
        <v>156572.5</v>
      </c>
      <c r="L63" s="6"/>
      <c r="M63" s="6"/>
      <c r="N63" s="6">
        <f t="shared" si="1"/>
        <v>790</v>
      </c>
      <c r="O63" s="6">
        <f t="shared" si="2"/>
        <v>215117</v>
      </c>
      <c r="P63" s="6">
        <v>282</v>
      </c>
      <c r="Q63" s="6">
        <v>77690</v>
      </c>
      <c r="R63" s="60"/>
      <c r="S63" s="60"/>
    </row>
    <row r="64" spans="1:19" s="1" customFormat="1" hidden="1" outlineLevel="1" x14ac:dyDescent="0.25">
      <c r="A64" s="7" t="s">
        <v>548</v>
      </c>
      <c r="B64" s="7" t="s">
        <v>549</v>
      </c>
      <c r="C64" s="14">
        <v>534.51</v>
      </c>
      <c r="D64" s="6">
        <v>9.36</v>
      </c>
      <c r="E64" s="6">
        <v>81.48</v>
      </c>
      <c r="F64" s="6"/>
      <c r="G64" s="6"/>
      <c r="H64" s="6">
        <v>59</v>
      </c>
      <c r="I64" s="6">
        <v>31536.09</v>
      </c>
      <c r="J64" s="6">
        <v>0</v>
      </c>
      <c r="K64" s="6">
        <v>0</v>
      </c>
      <c r="L64" s="6">
        <v>900</v>
      </c>
      <c r="M64" s="6">
        <v>481059</v>
      </c>
      <c r="N64" s="6">
        <f t="shared" si="1"/>
        <v>959</v>
      </c>
      <c r="O64" s="6">
        <f t="shared" si="2"/>
        <v>512595.08999999997</v>
      </c>
      <c r="P64" s="6">
        <v>34</v>
      </c>
      <c r="Q64" s="6">
        <v>17382</v>
      </c>
      <c r="R64" s="60"/>
      <c r="S64" s="60"/>
    </row>
    <row r="65" spans="1:19" s="1" customFormat="1" hidden="1" outlineLevel="1" x14ac:dyDescent="0.25">
      <c r="A65" s="7" t="s">
        <v>141</v>
      </c>
      <c r="B65" s="7" t="s">
        <v>142</v>
      </c>
      <c r="C65" s="14">
        <v>543.25</v>
      </c>
      <c r="D65" s="6">
        <v>70.67</v>
      </c>
      <c r="E65" s="6">
        <v>40.86</v>
      </c>
      <c r="F65" s="6"/>
      <c r="G65" s="6"/>
      <c r="H65" s="6">
        <v>50</v>
      </c>
      <c r="I65" s="6">
        <v>27162.5</v>
      </c>
      <c r="J65" s="6">
        <v>465</v>
      </c>
      <c r="K65" s="6">
        <v>252611.25</v>
      </c>
      <c r="L65" s="6"/>
      <c r="M65" s="6"/>
      <c r="N65" s="6">
        <f t="shared" si="1"/>
        <v>515</v>
      </c>
      <c r="O65" s="6">
        <f t="shared" si="2"/>
        <v>279773.75</v>
      </c>
      <c r="P65" s="6">
        <v>30</v>
      </c>
      <c r="Q65" s="6">
        <v>13614</v>
      </c>
      <c r="R65" s="60"/>
      <c r="S65" s="60"/>
    </row>
    <row r="66" spans="1:19" s="1" customFormat="1" hidden="1" outlineLevel="1" x14ac:dyDescent="0.25">
      <c r="A66" s="7" t="s">
        <v>738</v>
      </c>
      <c r="B66" s="7" t="s">
        <v>739</v>
      </c>
      <c r="C66" s="14">
        <v>273.14999999999998</v>
      </c>
      <c r="D66" s="6">
        <v>299.39999999999998</v>
      </c>
      <c r="E66" s="6">
        <v>100</v>
      </c>
      <c r="F66" s="6"/>
      <c r="G66" s="6"/>
      <c r="H66" s="6">
        <v>20</v>
      </c>
      <c r="I66" s="6">
        <v>5463</v>
      </c>
      <c r="J66" s="6">
        <v>659</v>
      </c>
      <c r="K66" s="6">
        <v>180005.85</v>
      </c>
      <c r="L66" s="6"/>
      <c r="M66" s="6"/>
      <c r="N66" s="6">
        <f t="shared" si="1"/>
        <v>679</v>
      </c>
      <c r="O66" s="6">
        <f t="shared" si="2"/>
        <v>185468.84999999998</v>
      </c>
      <c r="P66" s="6">
        <v>75</v>
      </c>
      <c r="Q66" s="6">
        <v>24342</v>
      </c>
      <c r="R66" s="60">
        <f t="shared" si="7"/>
        <v>262.8076152304609</v>
      </c>
      <c r="S66" s="60">
        <f t="shared" si="8"/>
        <v>71785.900100200393</v>
      </c>
    </row>
    <row r="67" spans="1:19" s="1" customFormat="1" hidden="1" outlineLevel="1" x14ac:dyDescent="0.25">
      <c r="A67" s="7" t="s">
        <v>855</v>
      </c>
      <c r="B67" s="7" t="s">
        <v>856</v>
      </c>
      <c r="C67" s="14">
        <v>475.31</v>
      </c>
      <c r="D67" s="6">
        <v>656.71</v>
      </c>
      <c r="E67" s="6">
        <v>100</v>
      </c>
      <c r="F67" s="6">
        <v>129</v>
      </c>
      <c r="G67" s="6">
        <v>61314.99</v>
      </c>
      <c r="H67" s="6">
        <v>203</v>
      </c>
      <c r="I67" s="6">
        <v>96487.93</v>
      </c>
      <c r="J67" s="6">
        <v>1010</v>
      </c>
      <c r="K67" s="6">
        <v>480063.1</v>
      </c>
      <c r="L67" s="6"/>
      <c r="M67" s="6"/>
      <c r="N67" s="6">
        <f t="shared" si="1"/>
        <v>1342</v>
      </c>
      <c r="O67" s="6">
        <f t="shared" si="2"/>
        <v>637866.02</v>
      </c>
      <c r="P67" s="6">
        <v>337</v>
      </c>
      <c r="Q67" s="6">
        <v>199068</v>
      </c>
      <c r="R67" s="60">
        <f t="shared" si="7"/>
        <v>733.16547638988288</v>
      </c>
      <c r="S67" s="60">
        <f t="shared" si="8"/>
        <v>348480.88258287526</v>
      </c>
    </row>
    <row r="68" spans="1:19" s="1" customFormat="1" hidden="1" outlineLevel="1" x14ac:dyDescent="0.25">
      <c r="A68" s="7" t="s">
        <v>205</v>
      </c>
      <c r="B68" s="7" t="s">
        <v>206</v>
      </c>
      <c r="C68" s="14">
        <v>249.9</v>
      </c>
      <c r="D68" s="6">
        <v>71.81</v>
      </c>
      <c r="E68" s="6">
        <v>100</v>
      </c>
      <c r="F68" s="6"/>
      <c r="G68" s="6"/>
      <c r="H68" s="6">
        <v>272</v>
      </c>
      <c r="I68" s="6">
        <v>67972.800000000003</v>
      </c>
      <c r="J68" s="6">
        <v>1793</v>
      </c>
      <c r="K68" s="6">
        <v>448070.7</v>
      </c>
      <c r="L68" s="6"/>
      <c r="M68" s="6"/>
      <c r="N68" s="6">
        <f t="shared" si="1"/>
        <v>2065</v>
      </c>
      <c r="O68" s="6">
        <f t="shared" si="2"/>
        <v>516043.5</v>
      </c>
      <c r="P68" s="6">
        <v>297</v>
      </c>
      <c r="Q68" s="6">
        <v>70213</v>
      </c>
      <c r="R68" s="60"/>
      <c r="S68" s="60"/>
    </row>
    <row r="69" spans="1:19" s="1" customFormat="1" hidden="1" outlineLevel="1" x14ac:dyDescent="0.25">
      <c r="A69" s="7" t="s">
        <v>221</v>
      </c>
      <c r="B69" s="7" t="s">
        <v>222</v>
      </c>
      <c r="C69" s="14">
        <v>532.74</v>
      </c>
      <c r="D69" s="6">
        <v>25.79</v>
      </c>
      <c r="E69" s="6">
        <v>100</v>
      </c>
      <c r="F69" s="6"/>
      <c r="G69" s="6"/>
      <c r="H69" s="6">
        <v>12</v>
      </c>
      <c r="I69" s="6">
        <v>6392.88</v>
      </c>
      <c r="J69" s="6">
        <v>81</v>
      </c>
      <c r="K69" s="6">
        <v>43151.94</v>
      </c>
      <c r="L69" s="6"/>
      <c r="M69" s="6"/>
      <c r="N69" s="6">
        <f t="shared" ref="N69:N132" si="9">IF(J69+L69+H69+F69&lt;=0,"",J69+L69+H69+F69)</f>
        <v>93</v>
      </c>
      <c r="O69" s="6">
        <f t="shared" ref="O69:O132" si="10">IFERROR(C69*N69,"")</f>
        <v>49544.82</v>
      </c>
      <c r="P69" s="6">
        <v>54</v>
      </c>
      <c r="Q69" s="6">
        <v>34389</v>
      </c>
      <c r="R69" s="60"/>
      <c r="S69" s="60"/>
    </row>
    <row r="70" spans="1:19" s="1" customFormat="1" hidden="1" outlineLevel="1" x14ac:dyDescent="0.25">
      <c r="A70" s="7" t="s">
        <v>367</v>
      </c>
      <c r="B70" s="7" t="s">
        <v>368</v>
      </c>
      <c r="C70" s="14">
        <v>465.87</v>
      </c>
      <c r="D70" s="6">
        <v>88.22</v>
      </c>
      <c r="E70" s="6">
        <v>100</v>
      </c>
      <c r="F70" s="6"/>
      <c r="G70" s="6"/>
      <c r="H70" s="6">
        <v>6</v>
      </c>
      <c r="I70" s="6">
        <v>2795.22</v>
      </c>
      <c r="J70" s="6">
        <v>637</v>
      </c>
      <c r="K70" s="6">
        <v>296759.19</v>
      </c>
      <c r="L70" s="6"/>
      <c r="M70" s="6"/>
      <c r="N70" s="6">
        <f t="shared" si="9"/>
        <v>643</v>
      </c>
      <c r="O70" s="6">
        <f t="shared" si="10"/>
        <v>299554.40999999997</v>
      </c>
      <c r="P70" s="6">
        <v>82</v>
      </c>
      <c r="Q70" s="6">
        <v>40682</v>
      </c>
      <c r="R70" s="60"/>
      <c r="S70" s="60"/>
    </row>
    <row r="71" spans="1:19" s="1" customFormat="1" hidden="1" outlineLevel="1" x14ac:dyDescent="0.25">
      <c r="A71" s="7" t="s">
        <v>710</v>
      </c>
      <c r="B71" s="7" t="s">
        <v>711</v>
      </c>
      <c r="C71" s="14">
        <v>852.38</v>
      </c>
      <c r="D71" s="6">
        <v>56.9</v>
      </c>
      <c r="E71" s="6">
        <v>100</v>
      </c>
      <c r="F71" s="6"/>
      <c r="G71" s="6"/>
      <c r="H71" s="6">
        <v>5</v>
      </c>
      <c r="I71" s="6">
        <v>4261.8999999999996</v>
      </c>
      <c r="J71" s="6">
        <v>606</v>
      </c>
      <c r="K71" s="6">
        <v>516542.28</v>
      </c>
      <c r="L71" s="6"/>
      <c r="M71" s="6"/>
      <c r="N71" s="6">
        <f t="shared" si="9"/>
        <v>611</v>
      </c>
      <c r="O71" s="6">
        <f t="shared" si="10"/>
        <v>520804.18</v>
      </c>
      <c r="P71" s="6">
        <v>26</v>
      </c>
      <c r="Q71" s="6">
        <v>26743</v>
      </c>
      <c r="R71" s="60"/>
      <c r="S71" s="60"/>
    </row>
    <row r="72" spans="1:19" s="1" customFormat="1" hidden="1" outlineLevel="1" x14ac:dyDescent="0.25">
      <c r="A72" s="7" t="s">
        <v>466</v>
      </c>
      <c r="B72" s="7" t="s">
        <v>467</v>
      </c>
      <c r="C72" s="14">
        <v>782.49</v>
      </c>
      <c r="D72" s="6"/>
      <c r="E72" s="6">
        <v>9.68</v>
      </c>
      <c r="F72" s="6">
        <v>8</v>
      </c>
      <c r="G72" s="6">
        <v>6259.92</v>
      </c>
      <c r="H72" s="6"/>
      <c r="I72" s="6"/>
      <c r="J72" s="6">
        <v>-7</v>
      </c>
      <c r="K72" s="6">
        <v>-5477.43</v>
      </c>
      <c r="L72" s="6"/>
      <c r="M72" s="6"/>
      <c r="N72" s="6">
        <f t="shared" si="9"/>
        <v>1</v>
      </c>
      <c r="O72" s="6">
        <f t="shared" si="10"/>
        <v>782.49</v>
      </c>
      <c r="P72" s="6">
        <v>2</v>
      </c>
      <c r="Q72" s="6">
        <v>2282</v>
      </c>
      <c r="R72" s="60"/>
      <c r="S72" s="60"/>
    </row>
    <row r="73" spans="1:19" s="1" customFormat="1" hidden="1" outlineLevel="1" x14ac:dyDescent="0.25">
      <c r="A73" s="7" t="s">
        <v>49</v>
      </c>
      <c r="B73" s="7" t="s">
        <v>50</v>
      </c>
      <c r="C73" s="14">
        <v>33.549999999999997</v>
      </c>
      <c r="D73" s="6">
        <v>320</v>
      </c>
      <c r="E73" s="6">
        <v>100</v>
      </c>
      <c r="F73" s="6">
        <v>3500</v>
      </c>
      <c r="G73" s="6">
        <v>117425</v>
      </c>
      <c r="H73" s="6">
        <v>60</v>
      </c>
      <c r="I73" s="6">
        <v>2013</v>
      </c>
      <c r="J73" s="6">
        <v>10931</v>
      </c>
      <c r="K73" s="6">
        <v>366735.05</v>
      </c>
      <c r="L73" s="6"/>
      <c r="M73" s="6"/>
      <c r="N73" s="6">
        <f t="shared" si="9"/>
        <v>14491</v>
      </c>
      <c r="O73" s="6">
        <f t="shared" si="10"/>
        <v>486173.04999999993</v>
      </c>
      <c r="P73" s="6">
        <v>49</v>
      </c>
      <c r="Q73" s="6">
        <v>1594</v>
      </c>
      <c r="R73" s="60">
        <f t="shared" si="7"/>
        <v>4782.3125</v>
      </c>
      <c r="S73" s="60">
        <f t="shared" si="8"/>
        <v>160446.58437499998</v>
      </c>
    </row>
    <row r="74" spans="1:19" s="1" customFormat="1" hidden="1" outlineLevel="1" x14ac:dyDescent="0.25">
      <c r="A74" s="7" t="s">
        <v>277</v>
      </c>
      <c r="B74" s="7" t="s">
        <v>278</v>
      </c>
      <c r="C74" s="14">
        <v>552.41</v>
      </c>
      <c r="D74" s="6">
        <v>57.17</v>
      </c>
      <c r="E74" s="6">
        <v>29.03</v>
      </c>
      <c r="F74" s="6"/>
      <c r="G74" s="6"/>
      <c r="H74" s="6">
        <v>9</v>
      </c>
      <c r="I74" s="6">
        <v>4971.6899999999996</v>
      </c>
      <c r="J74" s="6">
        <v>633</v>
      </c>
      <c r="K74" s="6">
        <v>349675.53</v>
      </c>
      <c r="L74" s="6"/>
      <c r="M74" s="6"/>
      <c r="N74" s="6">
        <f t="shared" si="9"/>
        <v>642</v>
      </c>
      <c r="O74" s="6">
        <f t="shared" si="10"/>
        <v>354647.22</v>
      </c>
      <c r="P74" s="6">
        <v>53</v>
      </c>
      <c r="Q74" s="6">
        <v>21600</v>
      </c>
      <c r="R74" s="60"/>
      <c r="S74" s="60"/>
    </row>
    <row r="75" spans="1:19" s="1" customFormat="1" hidden="1" outlineLevel="1" x14ac:dyDescent="0.25">
      <c r="A75" s="7" t="s">
        <v>195</v>
      </c>
      <c r="B75" s="7" t="s">
        <v>196</v>
      </c>
      <c r="C75" s="14">
        <v>81.05</v>
      </c>
      <c r="D75" s="6">
        <v>58.83</v>
      </c>
      <c r="E75" s="6">
        <v>100</v>
      </c>
      <c r="F75" s="6">
        <v>50</v>
      </c>
      <c r="G75" s="6">
        <v>4052.5</v>
      </c>
      <c r="H75" s="6">
        <v>45</v>
      </c>
      <c r="I75" s="6">
        <v>3647.25</v>
      </c>
      <c r="J75" s="6">
        <v>4585</v>
      </c>
      <c r="K75" s="6">
        <v>371614.25</v>
      </c>
      <c r="L75" s="6"/>
      <c r="M75" s="6"/>
      <c r="N75" s="6">
        <f t="shared" si="9"/>
        <v>4680</v>
      </c>
      <c r="O75" s="6">
        <f t="shared" si="10"/>
        <v>379314</v>
      </c>
      <c r="P75" s="6">
        <v>771</v>
      </c>
      <c r="Q75" s="6">
        <v>66556</v>
      </c>
      <c r="R75" s="60"/>
      <c r="S75" s="60"/>
    </row>
    <row r="76" spans="1:19" s="1" customFormat="1" hidden="1" outlineLevel="1" x14ac:dyDescent="0.25">
      <c r="A76" s="7" t="s">
        <v>317</v>
      </c>
      <c r="B76" s="7" t="s">
        <v>318</v>
      </c>
      <c r="C76" s="14">
        <v>193.52</v>
      </c>
      <c r="D76" s="6">
        <v>18.329999999999998</v>
      </c>
      <c r="E76" s="6">
        <v>100</v>
      </c>
      <c r="F76" s="6"/>
      <c r="G76" s="6"/>
      <c r="H76" s="6">
        <v>5</v>
      </c>
      <c r="I76" s="6">
        <v>967.6</v>
      </c>
      <c r="J76" s="6">
        <v>499</v>
      </c>
      <c r="K76" s="6">
        <v>96566.48</v>
      </c>
      <c r="L76" s="6"/>
      <c r="M76" s="6"/>
      <c r="N76" s="6">
        <f t="shared" si="9"/>
        <v>504</v>
      </c>
      <c r="O76" s="6">
        <f t="shared" si="10"/>
        <v>97534.080000000002</v>
      </c>
      <c r="P76" s="6">
        <v>211</v>
      </c>
      <c r="Q76" s="6">
        <v>49392</v>
      </c>
      <c r="R76" s="60"/>
      <c r="S76" s="60"/>
    </row>
    <row r="77" spans="1:19" s="1" customFormat="1" hidden="1" outlineLevel="1" x14ac:dyDescent="0.25">
      <c r="A77" s="7" t="s">
        <v>849</v>
      </c>
      <c r="B77" s="7" t="s">
        <v>850</v>
      </c>
      <c r="C77" s="14">
        <v>1141.26</v>
      </c>
      <c r="D77" s="6">
        <v>144.53</v>
      </c>
      <c r="E77" s="6">
        <v>100</v>
      </c>
      <c r="F77" s="6"/>
      <c r="G77" s="6"/>
      <c r="H77" s="6">
        <v>26</v>
      </c>
      <c r="I77" s="6">
        <v>29672.76</v>
      </c>
      <c r="J77" s="6">
        <v>-1</v>
      </c>
      <c r="K77" s="6">
        <v>-1141.26</v>
      </c>
      <c r="L77" s="6"/>
      <c r="M77" s="6"/>
      <c r="N77" s="6">
        <f t="shared" si="9"/>
        <v>25</v>
      </c>
      <c r="O77" s="6">
        <f t="shared" si="10"/>
        <v>28531.5</v>
      </c>
      <c r="P77" s="6">
        <v>12</v>
      </c>
      <c r="Q77" s="6">
        <v>16081</v>
      </c>
      <c r="R77" s="60"/>
      <c r="S77" s="60"/>
    </row>
    <row r="78" spans="1:19" s="1" customFormat="1" hidden="1" outlineLevel="1" x14ac:dyDescent="0.25">
      <c r="A78" s="7" t="s">
        <v>772</v>
      </c>
      <c r="B78" s="7" t="s">
        <v>773</v>
      </c>
      <c r="C78" s="14">
        <v>187.79</v>
      </c>
      <c r="D78" s="6">
        <v>328.28</v>
      </c>
      <c r="E78" s="6">
        <v>99.57</v>
      </c>
      <c r="F78" s="6"/>
      <c r="G78" s="6"/>
      <c r="H78" s="6"/>
      <c r="I78" s="6"/>
      <c r="J78" s="6">
        <v>1280</v>
      </c>
      <c r="K78" s="6">
        <v>240371.20000000001</v>
      </c>
      <c r="L78" s="6"/>
      <c r="M78" s="6"/>
      <c r="N78" s="6">
        <f t="shared" si="9"/>
        <v>1280</v>
      </c>
      <c r="O78" s="6">
        <f t="shared" si="10"/>
        <v>240371.19999999998</v>
      </c>
      <c r="P78" s="6">
        <v>89</v>
      </c>
      <c r="Q78" s="6">
        <v>18845</v>
      </c>
      <c r="R78" s="60">
        <f t="shared" si="7"/>
        <v>578.16010722553915</v>
      </c>
      <c r="S78" s="60">
        <f t="shared" si="8"/>
        <v>108572.68653588399</v>
      </c>
    </row>
    <row r="79" spans="1:19" s="1" customFormat="1" hidden="1" outlineLevel="1" x14ac:dyDescent="0.25">
      <c r="A79" s="7" t="s">
        <v>337</v>
      </c>
      <c r="B79" s="7" t="s">
        <v>338</v>
      </c>
      <c r="C79" s="14">
        <v>562.51</v>
      </c>
      <c r="D79" s="6">
        <v>158.88</v>
      </c>
      <c r="E79" s="6">
        <v>100</v>
      </c>
      <c r="F79" s="6"/>
      <c r="G79" s="6"/>
      <c r="H79" s="6">
        <v>226</v>
      </c>
      <c r="I79" s="6">
        <v>127127.26</v>
      </c>
      <c r="J79" s="6">
        <v>1517</v>
      </c>
      <c r="K79" s="6">
        <v>853327.67</v>
      </c>
      <c r="L79" s="6"/>
      <c r="M79" s="6"/>
      <c r="N79" s="6">
        <f t="shared" si="9"/>
        <v>1743</v>
      </c>
      <c r="O79" s="6">
        <f t="shared" si="10"/>
        <v>980454.92999999993</v>
      </c>
      <c r="P79" s="6">
        <v>52</v>
      </c>
      <c r="Q79" s="6">
        <v>30247</v>
      </c>
      <c r="R79" s="60"/>
      <c r="S79" s="60"/>
    </row>
    <row r="80" spans="1:19" s="1" customFormat="1" hidden="1" outlineLevel="1" x14ac:dyDescent="0.25">
      <c r="A80" s="7" t="s">
        <v>75</v>
      </c>
      <c r="B80" s="7" t="s">
        <v>76</v>
      </c>
      <c r="C80" s="14">
        <v>159.62</v>
      </c>
      <c r="D80" s="6">
        <v>91.76</v>
      </c>
      <c r="E80" s="6">
        <v>100</v>
      </c>
      <c r="F80" s="6"/>
      <c r="G80" s="6"/>
      <c r="H80" s="6">
        <v>200</v>
      </c>
      <c r="I80" s="6">
        <v>31924</v>
      </c>
      <c r="J80" s="6">
        <v>312</v>
      </c>
      <c r="K80" s="6">
        <v>49801.440000000002</v>
      </c>
      <c r="L80" s="6">
        <v>1250</v>
      </c>
      <c r="M80" s="6">
        <v>199525</v>
      </c>
      <c r="N80" s="6">
        <f t="shared" si="9"/>
        <v>1762</v>
      </c>
      <c r="O80" s="6">
        <f t="shared" si="10"/>
        <v>281250.44</v>
      </c>
      <c r="P80" s="6">
        <v>154</v>
      </c>
      <c r="Q80" s="6">
        <v>27214</v>
      </c>
      <c r="R80" s="60"/>
      <c r="S80" s="60"/>
    </row>
    <row r="81" spans="1:19" s="1" customFormat="1" hidden="1" outlineLevel="1" x14ac:dyDescent="0.25">
      <c r="A81" s="7" t="s">
        <v>193</v>
      </c>
      <c r="B81" s="7" t="s">
        <v>194</v>
      </c>
      <c r="C81" s="14">
        <v>80.400000000000006</v>
      </c>
      <c r="D81" s="6">
        <v>39.119999999999997</v>
      </c>
      <c r="E81" s="6">
        <v>100</v>
      </c>
      <c r="F81" s="6">
        <v>594</v>
      </c>
      <c r="G81" s="6">
        <v>47757.599999999999</v>
      </c>
      <c r="H81" s="6">
        <v>37</v>
      </c>
      <c r="I81" s="6">
        <v>2974.8</v>
      </c>
      <c r="J81" s="6">
        <v>622</v>
      </c>
      <c r="K81" s="6">
        <v>50008.800000000003</v>
      </c>
      <c r="L81" s="6"/>
      <c r="M81" s="6"/>
      <c r="N81" s="6">
        <f t="shared" si="9"/>
        <v>1253</v>
      </c>
      <c r="O81" s="6">
        <f t="shared" si="10"/>
        <v>100741.20000000001</v>
      </c>
      <c r="P81" s="6">
        <v>559</v>
      </c>
      <c r="Q81" s="6">
        <v>48763</v>
      </c>
      <c r="R81" s="60"/>
      <c r="S81" s="60"/>
    </row>
    <row r="82" spans="1:19" s="1" customFormat="1" hidden="1" outlineLevel="1" x14ac:dyDescent="0.25">
      <c r="A82" s="7" t="s">
        <v>153</v>
      </c>
      <c r="B82" s="7" t="s">
        <v>154</v>
      </c>
      <c r="C82" s="14">
        <v>774.01</v>
      </c>
      <c r="D82" s="6">
        <v>89.05</v>
      </c>
      <c r="E82" s="6">
        <v>29.03</v>
      </c>
      <c r="F82" s="6">
        <v>1</v>
      </c>
      <c r="G82" s="6">
        <v>774.01</v>
      </c>
      <c r="H82" s="6">
        <v>253</v>
      </c>
      <c r="I82" s="6">
        <v>195824.53</v>
      </c>
      <c r="J82" s="6">
        <v>147</v>
      </c>
      <c r="K82" s="6">
        <v>113779.47</v>
      </c>
      <c r="L82" s="6"/>
      <c r="M82" s="6"/>
      <c r="N82" s="6">
        <f t="shared" si="9"/>
        <v>401</v>
      </c>
      <c r="O82" s="6">
        <f t="shared" si="10"/>
        <v>310378.01</v>
      </c>
      <c r="P82" s="6">
        <v>17</v>
      </c>
      <c r="Q82" s="6">
        <v>11438</v>
      </c>
      <c r="R82" s="60"/>
      <c r="S82" s="60"/>
    </row>
    <row r="83" spans="1:19" s="1" customFormat="1" hidden="1" outlineLevel="1" x14ac:dyDescent="0.25">
      <c r="A83" s="7" t="s">
        <v>117</v>
      </c>
      <c r="B83" s="7" t="s">
        <v>118</v>
      </c>
      <c r="C83" s="14">
        <v>533.70000000000005</v>
      </c>
      <c r="D83" s="6">
        <v>20.7</v>
      </c>
      <c r="E83" s="6">
        <v>100</v>
      </c>
      <c r="F83" s="6"/>
      <c r="G83" s="6"/>
      <c r="H83" s="6">
        <v>8</v>
      </c>
      <c r="I83" s="6">
        <v>4269.6000000000004</v>
      </c>
      <c r="J83" s="6">
        <v>367</v>
      </c>
      <c r="K83" s="6">
        <v>195867.9</v>
      </c>
      <c r="L83" s="6"/>
      <c r="M83" s="6"/>
      <c r="N83" s="6">
        <f t="shared" si="9"/>
        <v>375</v>
      </c>
      <c r="O83" s="6">
        <f t="shared" si="10"/>
        <v>200137.50000000003</v>
      </c>
      <c r="P83" s="6">
        <v>90</v>
      </c>
      <c r="Q83" s="6">
        <v>51398</v>
      </c>
      <c r="R83" s="60"/>
      <c r="S83" s="60"/>
    </row>
    <row r="84" spans="1:19" s="1" customFormat="1" hidden="1" outlineLevel="1" x14ac:dyDescent="0.25">
      <c r="A84" s="7" t="s">
        <v>379</v>
      </c>
      <c r="B84" s="7" t="s">
        <v>380</v>
      </c>
      <c r="C84" s="14">
        <v>322.29000000000002</v>
      </c>
      <c r="D84" s="6">
        <v>7.33</v>
      </c>
      <c r="E84" s="6">
        <v>26.88</v>
      </c>
      <c r="F84" s="6"/>
      <c r="G84" s="6"/>
      <c r="H84" s="6"/>
      <c r="I84" s="6"/>
      <c r="J84" s="6"/>
      <c r="K84" s="6"/>
      <c r="L84" s="6">
        <v>1152</v>
      </c>
      <c r="M84" s="6">
        <v>371278.08000000002</v>
      </c>
      <c r="N84" s="6">
        <f t="shared" si="9"/>
        <v>1152</v>
      </c>
      <c r="O84" s="6">
        <f t="shared" si="10"/>
        <v>371278.08000000002</v>
      </c>
      <c r="P84" s="6">
        <v>8</v>
      </c>
      <c r="Q84" s="6">
        <v>2267</v>
      </c>
      <c r="R84" s="60"/>
      <c r="S84" s="60"/>
    </row>
    <row r="85" spans="1:19" s="1" customFormat="1" hidden="1" outlineLevel="1" x14ac:dyDescent="0.25">
      <c r="A85" s="7" t="s">
        <v>123</v>
      </c>
      <c r="B85" s="7" t="s">
        <v>124</v>
      </c>
      <c r="C85" s="14">
        <v>199.86</v>
      </c>
      <c r="D85" s="6">
        <v>50.2</v>
      </c>
      <c r="E85" s="6">
        <v>100</v>
      </c>
      <c r="F85" s="6">
        <v>10</v>
      </c>
      <c r="G85" s="6">
        <v>1998.6</v>
      </c>
      <c r="H85" s="6">
        <v>270</v>
      </c>
      <c r="I85" s="6">
        <v>53962.2</v>
      </c>
      <c r="J85" s="6">
        <v>2160</v>
      </c>
      <c r="K85" s="6">
        <v>431697.6</v>
      </c>
      <c r="L85" s="6"/>
      <c r="M85" s="6"/>
      <c r="N85" s="6">
        <f t="shared" si="9"/>
        <v>2440</v>
      </c>
      <c r="O85" s="6">
        <f t="shared" si="10"/>
        <v>487658.4</v>
      </c>
      <c r="P85" s="6">
        <v>305</v>
      </c>
      <c r="Q85" s="6">
        <v>54544</v>
      </c>
      <c r="R85" s="60"/>
      <c r="S85" s="60"/>
    </row>
    <row r="86" spans="1:19" s="1" customFormat="1" hidden="1" outlineLevel="1" x14ac:dyDescent="0.25">
      <c r="A86" s="7" t="s">
        <v>111</v>
      </c>
      <c r="B86" s="7" t="s">
        <v>112</v>
      </c>
      <c r="C86" s="14">
        <v>252.18</v>
      </c>
      <c r="D86" s="6">
        <v>29.17</v>
      </c>
      <c r="E86" s="6">
        <v>100</v>
      </c>
      <c r="F86" s="6"/>
      <c r="G86" s="6"/>
      <c r="H86" s="6">
        <v>10</v>
      </c>
      <c r="I86" s="6">
        <v>2521.8000000000002</v>
      </c>
      <c r="J86" s="6">
        <v>872</v>
      </c>
      <c r="K86" s="6">
        <v>219900.96</v>
      </c>
      <c r="L86" s="6"/>
      <c r="M86" s="6"/>
      <c r="N86" s="6">
        <f t="shared" si="9"/>
        <v>882</v>
      </c>
      <c r="O86" s="6">
        <f t="shared" si="10"/>
        <v>222422.76</v>
      </c>
      <c r="P86" s="6">
        <v>201</v>
      </c>
      <c r="Q86" s="6">
        <v>50229</v>
      </c>
      <c r="R86" s="60"/>
      <c r="S86" s="60"/>
    </row>
    <row r="87" spans="1:19" s="1" customFormat="1" hidden="1" outlineLevel="1" x14ac:dyDescent="0.25">
      <c r="A87" s="7" t="s">
        <v>323</v>
      </c>
      <c r="B87" s="7" t="s">
        <v>324</v>
      </c>
      <c r="C87" s="14">
        <v>28.53</v>
      </c>
      <c r="D87" s="6">
        <v>77.680000000000007</v>
      </c>
      <c r="E87" s="6">
        <v>99.27</v>
      </c>
      <c r="F87" s="6">
        <v>143</v>
      </c>
      <c r="G87" s="6">
        <v>4079.79</v>
      </c>
      <c r="H87" s="6">
        <v>26</v>
      </c>
      <c r="I87" s="6">
        <v>741.78</v>
      </c>
      <c r="J87" s="6">
        <v>7939</v>
      </c>
      <c r="K87" s="6">
        <v>226499.67</v>
      </c>
      <c r="L87" s="6"/>
      <c r="M87" s="6"/>
      <c r="N87" s="6">
        <f t="shared" si="9"/>
        <v>8108</v>
      </c>
      <c r="O87" s="6">
        <f t="shared" si="10"/>
        <v>231321.24000000002</v>
      </c>
      <c r="P87" s="6">
        <v>940</v>
      </c>
      <c r="Q87" s="6">
        <v>27433</v>
      </c>
      <c r="R87" s="60"/>
      <c r="S87" s="60"/>
    </row>
    <row r="88" spans="1:19" s="1" customFormat="1" hidden="1" outlineLevel="1" x14ac:dyDescent="0.25">
      <c r="A88" s="7" t="s">
        <v>796</v>
      </c>
      <c r="B88" s="7" t="s">
        <v>797</v>
      </c>
      <c r="C88" s="14">
        <v>91.61</v>
      </c>
      <c r="D88" s="6">
        <v>342.66</v>
      </c>
      <c r="E88" s="6">
        <v>100</v>
      </c>
      <c r="F88" s="6">
        <v>1</v>
      </c>
      <c r="G88" s="6">
        <v>91.61</v>
      </c>
      <c r="H88" s="6">
        <v>65</v>
      </c>
      <c r="I88" s="6">
        <v>5954.65</v>
      </c>
      <c r="J88" s="6">
        <v>4290</v>
      </c>
      <c r="K88" s="6">
        <v>393006.9</v>
      </c>
      <c r="L88" s="6"/>
      <c r="M88" s="6"/>
      <c r="N88" s="6">
        <f t="shared" si="9"/>
        <v>4356</v>
      </c>
      <c r="O88" s="6">
        <f t="shared" si="10"/>
        <v>399053.16</v>
      </c>
      <c r="P88" s="6">
        <v>288</v>
      </c>
      <c r="Q88" s="6">
        <v>30617</v>
      </c>
      <c r="R88" s="60">
        <f t="shared" si="7"/>
        <v>2036.4542111714238</v>
      </c>
      <c r="S88" s="60">
        <f t="shared" si="8"/>
        <v>186559.57028541414</v>
      </c>
    </row>
    <row r="89" spans="1:19" s="1" customFormat="1" hidden="1" outlineLevel="1" x14ac:dyDescent="0.25">
      <c r="A89" s="7" t="s">
        <v>329</v>
      </c>
      <c r="B89" s="7" t="s">
        <v>330</v>
      </c>
      <c r="C89" s="14">
        <v>138.37</v>
      </c>
      <c r="D89" s="6">
        <v>144.88</v>
      </c>
      <c r="E89" s="6">
        <v>100</v>
      </c>
      <c r="F89" s="6"/>
      <c r="G89" s="6"/>
      <c r="H89" s="6">
        <v>84</v>
      </c>
      <c r="I89" s="6">
        <v>11623.08</v>
      </c>
      <c r="J89" s="6">
        <v>2499</v>
      </c>
      <c r="K89" s="6">
        <v>345786.63</v>
      </c>
      <c r="L89" s="6"/>
      <c r="M89" s="6"/>
      <c r="N89" s="6">
        <f t="shared" si="9"/>
        <v>2583</v>
      </c>
      <c r="O89" s="6">
        <f t="shared" si="10"/>
        <v>357409.71</v>
      </c>
      <c r="P89" s="6">
        <v>238</v>
      </c>
      <c r="Q89" s="6">
        <v>34255</v>
      </c>
      <c r="R89" s="60"/>
      <c r="S89" s="60"/>
    </row>
    <row r="90" spans="1:19" s="1" customFormat="1" hidden="1" outlineLevel="1" x14ac:dyDescent="0.25">
      <c r="A90" s="7" t="s">
        <v>263</v>
      </c>
      <c r="B90" s="7" t="s">
        <v>264</v>
      </c>
      <c r="C90" s="14">
        <v>1423.27</v>
      </c>
      <c r="D90" s="6">
        <v>1693.11</v>
      </c>
      <c r="E90" s="6">
        <v>100</v>
      </c>
      <c r="F90" s="6"/>
      <c r="G90" s="6"/>
      <c r="H90" s="6"/>
      <c r="I90" s="6"/>
      <c r="J90" s="6">
        <v>510</v>
      </c>
      <c r="K90" s="6">
        <v>725867.7</v>
      </c>
      <c r="L90" s="6"/>
      <c r="M90" s="6"/>
      <c r="N90" s="6">
        <f t="shared" si="9"/>
        <v>510</v>
      </c>
      <c r="O90" s="6">
        <f t="shared" si="10"/>
        <v>725867.7</v>
      </c>
      <c r="P90" s="6">
        <v>11</v>
      </c>
      <c r="Q90" s="6">
        <v>19226</v>
      </c>
      <c r="R90" s="60">
        <f t="shared" si="7"/>
        <v>455.78025054485533</v>
      </c>
      <c r="S90" s="60">
        <f t="shared" si="8"/>
        <v>648698.35719297628</v>
      </c>
    </row>
    <row r="91" spans="1:19" s="1" customFormat="1" hidden="1" outlineLevel="1" x14ac:dyDescent="0.25">
      <c r="A91" s="7" t="s">
        <v>1069</v>
      </c>
      <c r="B91" s="7" t="s">
        <v>1070</v>
      </c>
      <c r="C91" s="14">
        <v>68.510000000000005</v>
      </c>
      <c r="D91" s="6">
        <v>41.55</v>
      </c>
      <c r="E91" s="6">
        <v>100</v>
      </c>
      <c r="F91" s="6"/>
      <c r="G91" s="6"/>
      <c r="H91" s="6">
        <v>154</v>
      </c>
      <c r="I91" s="6">
        <v>10550.54</v>
      </c>
      <c r="J91" s="6">
        <v>1709</v>
      </c>
      <c r="K91" s="6">
        <v>117083.59</v>
      </c>
      <c r="L91" s="6"/>
      <c r="M91" s="6"/>
      <c r="N91" s="6">
        <f t="shared" si="9"/>
        <v>1863</v>
      </c>
      <c r="O91" s="6">
        <f t="shared" si="10"/>
        <v>127634.13</v>
      </c>
      <c r="P91" s="6">
        <v>354</v>
      </c>
      <c r="Q91" s="6">
        <v>25105</v>
      </c>
      <c r="R91" s="60"/>
      <c r="S91" s="60"/>
    </row>
    <row r="92" spans="1:19" s="1" customFormat="1" hidden="1" outlineLevel="1" x14ac:dyDescent="0.25">
      <c r="A92" s="7" t="s">
        <v>798</v>
      </c>
      <c r="B92" s="7" t="s">
        <v>799</v>
      </c>
      <c r="C92" s="14">
        <v>92.6</v>
      </c>
      <c r="D92" s="6">
        <v>408.32</v>
      </c>
      <c r="E92" s="6">
        <v>100</v>
      </c>
      <c r="F92" s="6"/>
      <c r="G92" s="6"/>
      <c r="H92" s="6">
        <v>15</v>
      </c>
      <c r="I92" s="6">
        <v>1389</v>
      </c>
      <c r="J92" s="6">
        <v>4056</v>
      </c>
      <c r="K92" s="6">
        <v>375585.6</v>
      </c>
      <c r="L92" s="6"/>
      <c r="M92" s="6"/>
      <c r="N92" s="6">
        <f t="shared" si="9"/>
        <v>4071</v>
      </c>
      <c r="O92" s="6">
        <f t="shared" si="10"/>
        <v>376974.6</v>
      </c>
      <c r="P92" s="6">
        <v>201</v>
      </c>
      <c r="Q92" s="6">
        <v>21001</v>
      </c>
      <c r="R92" s="60">
        <f t="shared" si="7"/>
        <v>2267.9905956112852</v>
      </c>
      <c r="S92" s="60">
        <f t="shared" si="8"/>
        <v>210015.92915360502</v>
      </c>
    </row>
    <row r="93" spans="1:19" s="1" customFormat="1" hidden="1" outlineLevel="1" x14ac:dyDescent="0.25">
      <c r="A93" s="7" t="s">
        <v>105</v>
      </c>
      <c r="B93" s="7" t="s">
        <v>106</v>
      </c>
      <c r="C93" s="14">
        <v>270.25</v>
      </c>
      <c r="D93" s="6">
        <v>227.61</v>
      </c>
      <c r="E93" s="6">
        <v>100</v>
      </c>
      <c r="F93" s="6"/>
      <c r="G93" s="6"/>
      <c r="H93" s="6">
        <v>215</v>
      </c>
      <c r="I93" s="6">
        <v>58103.75</v>
      </c>
      <c r="J93" s="6">
        <v>5350</v>
      </c>
      <c r="K93" s="6">
        <v>1445837.5</v>
      </c>
      <c r="L93" s="6"/>
      <c r="M93" s="6"/>
      <c r="N93" s="6">
        <f t="shared" si="9"/>
        <v>5565</v>
      </c>
      <c r="O93" s="6">
        <f t="shared" si="10"/>
        <v>1503941.25</v>
      </c>
      <c r="P93" s="6">
        <v>240</v>
      </c>
      <c r="Q93" s="6">
        <v>82491</v>
      </c>
      <c r="R93" s="60">
        <f t="shared" si="7"/>
        <v>1119.0786872281535</v>
      </c>
      <c r="S93" s="60">
        <f t="shared" si="8"/>
        <v>302431.01522340847</v>
      </c>
    </row>
    <row r="94" spans="1:19" s="1" customFormat="1" hidden="1" outlineLevel="1" x14ac:dyDescent="0.25">
      <c r="A94" s="7" t="s">
        <v>1233</v>
      </c>
      <c r="B94" s="7" t="s">
        <v>1234</v>
      </c>
      <c r="C94" s="14">
        <v>298.58</v>
      </c>
      <c r="D94" s="6">
        <v>0.28999999999999998</v>
      </c>
      <c r="E94" s="6">
        <v>68.8</v>
      </c>
      <c r="F94" s="6">
        <v>213</v>
      </c>
      <c r="G94" s="6">
        <v>63597.54</v>
      </c>
      <c r="H94" s="6">
        <v>5</v>
      </c>
      <c r="I94" s="6">
        <v>1492.9</v>
      </c>
      <c r="J94" s="6">
        <v>27</v>
      </c>
      <c r="K94" s="6">
        <v>8061.66</v>
      </c>
      <c r="L94" s="6"/>
      <c r="M94" s="6"/>
      <c r="N94" s="6">
        <f t="shared" si="9"/>
        <v>245</v>
      </c>
      <c r="O94" s="6">
        <f t="shared" si="10"/>
        <v>73152.099999999991</v>
      </c>
      <c r="P94" s="6">
        <v>68</v>
      </c>
      <c r="Q94" s="6">
        <v>24991</v>
      </c>
      <c r="R94" s="60"/>
      <c r="S94" s="60"/>
    </row>
    <row r="95" spans="1:19" s="1" customFormat="1" hidden="1" outlineLevel="1" x14ac:dyDescent="0.25">
      <c r="A95" s="7" t="s">
        <v>339</v>
      </c>
      <c r="B95" s="7" t="s">
        <v>340</v>
      </c>
      <c r="C95" s="14">
        <v>562.51</v>
      </c>
      <c r="D95" s="6">
        <v>83.69</v>
      </c>
      <c r="E95" s="6">
        <v>100</v>
      </c>
      <c r="F95" s="6">
        <v>1</v>
      </c>
      <c r="G95" s="6">
        <v>562.51</v>
      </c>
      <c r="H95" s="6">
        <v>212</v>
      </c>
      <c r="I95" s="6">
        <v>119252.12</v>
      </c>
      <c r="J95" s="6">
        <v>1710</v>
      </c>
      <c r="K95" s="6">
        <v>961892.1</v>
      </c>
      <c r="L95" s="6"/>
      <c r="M95" s="6"/>
      <c r="N95" s="6">
        <f t="shared" si="9"/>
        <v>1923</v>
      </c>
      <c r="O95" s="6">
        <f t="shared" si="10"/>
        <v>1081706.73</v>
      </c>
      <c r="P95" s="6">
        <v>151</v>
      </c>
      <c r="Q95" s="6">
        <v>70404</v>
      </c>
      <c r="R95" s="60"/>
      <c r="S95" s="60"/>
    </row>
    <row r="96" spans="1:19" s="1" customFormat="1" hidden="1" outlineLevel="1" x14ac:dyDescent="0.25">
      <c r="A96" s="7" t="s">
        <v>33</v>
      </c>
      <c r="B96" s="7" t="s">
        <v>34</v>
      </c>
      <c r="C96" s="14">
        <v>59.21</v>
      </c>
      <c r="D96" s="6">
        <v>156.11000000000001</v>
      </c>
      <c r="E96" s="6">
        <v>100</v>
      </c>
      <c r="F96" s="6">
        <v>157</v>
      </c>
      <c r="G96" s="6">
        <v>9295.9699999999993</v>
      </c>
      <c r="H96" s="6">
        <v>1543</v>
      </c>
      <c r="I96" s="6">
        <v>91361.03</v>
      </c>
      <c r="J96" s="6">
        <v>1285</v>
      </c>
      <c r="K96" s="6">
        <v>76084.850000000006</v>
      </c>
      <c r="L96" s="6"/>
      <c r="M96" s="6"/>
      <c r="N96" s="6">
        <f t="shared" si="9"/>
        <v>2985</v>
      </c>
      <c r="O96" s="6">
        <f t="shared" si="10"/>
        <v>176741.85</v>
      </c>
      <c r="P96" s="6">
        <v>36</v>
      </c>
      <c r="Q96" s="6">
        <v>1998</v>
      </c>
      <c r="R96" s="60"/>
      <c r="S96" s="60"/>
    </row>
    <row r="97" spans="1:19" s="1" customFormat="1" hidden="1" outlineLevel="1" x14ac:dyDescent="0.25">
      <c r="A97" s="7" t="s">
        <v>55</v>
      </c>
      <c r="B97" s="7" t="s">
        <v>56</v>
      </c>
      <c r="C97" s="14">
        <v>55.9</v>
      </c>
      <c r="D97" s="6">
        <v>17.48</v>
      </c>
      <c r="E97" s="6">
        <v>100</v>
      </c>
      <c r="F97" s="6"/>
      <c r="G97" s="6"/>
      <c r="H97" s="6">
        <v>289</v>
      </c>
      <c r="I97" s="6">
        <v>16155.1</v>
      </c>
      <c r="J97" s="6">
        <v>2560</v>
      </c>
      <c r="K97" s="6">
        <v>143104</v>
      </c>
      <c r="L97" s="6"/>
      <c r="M97" s="6"/>
      <c r="N97" s="6">
        <f t="shared" si="9"/>
        <v>2849</v>
      </c>
      <c r="O97" s="6">
        <f t="shared" si="10"/>
        <v>159259.1</v>
      </c>
      <c r="P97" s="6">
        <v>8</v>
      </c>
      <c r="Q97" s="6">
        <v>394</v>
      </c>
      <c r="R97" s="60"/>
      <c r="S97" s="60"/>
    </row>
    <row r="98" spans="1:19" s="1" customFormat="1" hidden="1" outlineLevel="1" x14ac:dyDescent="0.25">
      <c r="A98" s="7" t="s">
        <v>1221</v>
      </c>
      <c r="B98" s="7" t="s">
        <v>1222</v>
      </c>
      <c r="C98" s="14">
        <v>114.56</v>
      </c>
      <c r="D98" s="6">
        <v>12123.5</v>
      </c>
      <c r="E98" s="6">
        <v>100</v>
      </c>
      <c r="F98" s="6">
        <v>1211</v>
      </c>
      <c r="G98" s="6">
        <v>138732.16</v>
      </c>
      <c r="H98" s="6">
        <v>169</v>
      </c>
      <c r="I98" s="6">
        <v>19360.64</v>
      </c>
      <c r="J98" s="6">
        <v>578</v>
      </c>
      <c r="K98" s="6">
        <v>66215.679999999993</v>
      </c>
      <c r="L98" s="6"/>
      <c r="M98" s="6"/>
      <c r="N98" s="6">
        <f t="shared" si="9"/>
        <v>1958</v>
      </c>
      <c r="O98" s="6">
        <f t="shared" si="10"/>
        <v>224308.48000000001</v>
      </c>
      <c r="P98" s="6">
        <v>1</v>
      </c>
      <c r="Q98" s="6">
        <v>120</v>
      </c>
      <c r="R98" s="60">
        <f t="shared" si="7"/>
        <v>569.4183197921393</v>
      </c>
      <c r="S98" s="60">
        <f t="shared" si="8"/>
        <v>65232.562715387481</v>
      </c>
    </row>
    <row r="99" spans="1:19" s="1" customFormat="1" hidden="1" outlineLevel="1" x14ac:dyDescent="0.25">
      <c r="A99" s="7" t="s">
        <v>289</v>
      </c>
      <c r="B99" s="7" t="s">
        <v>290</v>
      </c>
      <c r="C99" s="14">
        <v>448.96</v>
      </c>
      <c r="D99" s="6">
        <v>104.49</v>
      </c>
      <c r="E99" s="6">
        <v>100</v>
      </c>
      <c r="F99" s="6"/>
      <c r="G99" s="6"/>
      <c r="H99" s="6">
        <v>9</v>
      </c>
      <c r="I99" s="6">
        <v>4040.64</v>
      </c>
      <c r="J99" s="6">
        <v>1493</v>
      </c>
      <c r="K99" s="6">
        <v>670297.28</v>
      </c>
      <c r="L99" s="6"/>
      <c r="M99" s="6"/>
      <c r="N99" s="6">
        <f t="shared" si="9"/>
        <v>1502</v>
      </c>
      <c r="O99" s="6">
        <f t="shared" si="10"/>
        <v>674337.91999999993</v>
      </c>
      <c r="P99" s="6">
        <v>92</v>
      </c>
      <c r="Q99" s="6">
        <v>37454</v>
      </c>
      <c r="R99" s="60"/>
      <c r="S99" s="60"/>
    </row>
    <row r="100" spans="1:19" s="1" customFormat="1" hidden="1" outlineLevel="1" x14ac:dyDescent="0.25">
      <c r="A100" s="7" t="s">
        <v>1321</v>
      </c>
      <c r="B100" s="7" t="s">
        <v>1322</v>
      </c>
      <c r="C100" s="14">
        <v>165.86</v>
      </c>
      <c r="D100" s="6">
        <v>395.55</v>
      </c>
      <c r="E100" s="6">
        <v>61.29</v>
      </c>
      <c r="F100" s="6">
        <v>1</v>
      </c>
      <c r="G100" s="6">
        <v>165.86</v>
      </c>
      <c r="H100" s="6"/>
      <c r="I100" s="6"/>
      <c r="J100" s="6">
        <v>957</v>
      </c>
      <c r="K100" s="6">
        <v>158728.01999999999</v>
      </c>
      <c r="L100" s="6"/>
      <c r="M100" s="6"/>
      <c r="N100" s="6">
        <f t="shared" si="9"/>
        <v>958</v>
      </c>
      <c r="O100" s="6">
        <f t="shared" si="10"/>
        <v>158893.88</v>
      </c>
      <c r="P100" s="6">
        <v>71</v>
      </c>
      <c r="Q100" s="6">
        <v>13704</v>
      </c>
      <c r="R100" s="60">
        <f t="shared" si="7"/>
        <v>521.50511945392498</v>
      </c>
      <c r="S100" s="60">
        <f t="shared" si="8"/>
        <v>86496.839112628004</v>
      </c>
    </row>
    <row r="101" spans="1:19" s="1" customFormat="1" hidden="1" outlineLevel="1" x14ac:dyDescent="0.25">
      <c r="A101" s="7" t="s">
        <v>682</v>
      </c>
      <c r="B101" s="7" t="s">
        <v>683</v>
      </c>
      <c r="C101" s="14">
        <v>375.58</v>
      </c>
      <c r="D101" s="6">
        <v>30.46</v>
      </c>
      <c r="E101" s="6">
        <v>100</v>
      </c>
      <c r="F101" s="6"/>
      <c r="G101" s="6"/>
      <c r="H101" s="6">
        <v>80</v>
      </c>
      <c r="I101" s="6">
        <v>30046.400000000001</v>
      </c>
      <c r="J101" s="6">
        <v>166</v>
      </c>
      <c r="K101" s="6">
        <v>62346.28</v>
      </c>
      <c r="L101" s="6"/>
      <c r="M101" s="6"/>
      <c r="N101" s="6">
        <f t="shared" si="9"/>
        <v>246</v>
      </c>
      <c r="O101" s="6">
        <f t="shared" si="10"/>
        <v>92392.68</v>
      </c>
      <c r="P101" s="6">
        <v>151</v>
      </c>
      <c r="Q101" s="6">
        <v>40239</v>
      </c>
      <c r="R101" s="60"/>
      <c r="S101" s="60"/>
    </row>
    <row r="102" spans="1:19" s="1" customFormat="1" hidden="1" outlineLevel="1" x14ac:dyDescent="0.25">
      <c r="A102" s="7" t="s">
        <v>13</v>
      </c>
      <c r="B102" s="7" t="s">
        <v>14</v>
      </c>
      <c r="C102" s="14">
        <v>498.78</v>
      </c>
      <c r="D102" s="6">
        <v>31.19</v>
      </c>
      <c r="E102" s="6">
        <v>100</v>
      </c>
      <c r="F102" s="6"/>
      <c r="G102" s="6"/>
      <c r="H102" s="6"/>
      <c r="I102" s="6"/>
      <c r="J102" s="6">
        <v>92</v>
      </c>
      <c r="K102" s="6">
        <v>45887.76</v>
      </c>
      <c r="L102" s="6"/>
      <c r="M102" s="6"/>
      <c r="N102" s="6">
        <f t="shared" si="9"/>
        <v>92</v>
      </c>
      <c r="O102" s="6">
        <f t="shared" si="10"/>
        <v>45887.759999999995</v>
      </c>
      <c r="P102" s="6">
        <v>11</v>
      </c>
      <c r="Q102" s="6">
        <v>5767</v>
      </c>
      <c r="R102" s="60"/>
      <c r="S102" s="60"/>
    </row>
    <row r="103" spans="1:19" s="1" customFormat="1" hidden="1" outlineLevel="1" x14ac:dyDescent="0.25">
      <c r="A103" s="7" t="s">
        <v>782</v>
      </c>
      <c r="B103" s="7" t="s">
        <v>783</v>
      </c>
      <c r="C103" s="14">
        <v>370.89</v>
      </c>
      <c r="D103" s="6">
        <v>319.98</v>
      </c>
      <c r="E103" s="6">
        <v>100</v>
      </c>
      <c r="F103" s="6"/>
      <c r="G103" s="6"/>
      <c r="H103" s="6"/>
      <c r="I103" s="6"/>
      <c r="J103" s="6">
        <v>43</v>
      </c>
      <c r="K103" s="6">
        <v>15948.27</v>
      </c>
      <c r="L103" s="6"/>
      <c r="M103" s="6"/>
      <c r="N103" s="6">
        <f t="shared" si="9"/>
        <v>43</v>
      </c>
      <c r="O103" s="6">
        <f t="shared" si="10"/>
        <v>15948.269999999999</v>
      </c>
      <c r="P103" s="6">
        <v>35</v>
      </c>
      <c r="Q103" s="6">
        <v>15743</v>
      </c>
      <c r="R103" s="60">
        <f t="shared" si="7"/>
        <v>18.810988186761673</v>
      </c>
      <c r="S103" s="60">
        <f t="shared" si="8"/>
        <v>6976.8074085880362</v>
      </c>
    </row>
    <row r="104" spans="1:19" s="1" customFormat="1" hidden="1" outlineLevel="1" x14ac:dyDescent="0.25">
      <c r="A104" s="7" t="s">
        <v>474</v>
      </c>
      <c r="B104" s="7" t="s">
        <v>475</v>
      </c>
      <c r="C104" s="14">
        <v>1888.8</v>
      </c>
      <c r="D104" s="6">
        <v>1727</v>
      </c>
      <c r="E104" s="6">
        <v>100</v>
      </c>
      <c r="F104" s="6"/>
      <c r="G104" s="6"/>
      <c r="H104" s="6"/>
      <c r="I104" s="6"/>
      <c r="J104" s="6">
        <v>91</v>
      </c>
      <c r="K104" s="6">
        <v>171880.8</v>
      </c>
      <c r="L104" s="6"/>
      <c r="M104" s="6"/>
      <c r="N104" s="6">
        <f t="shared" si="9"/>
        <v>91</v>
      </c>
      <c r="O104" s="6">
        <f t="shared" si="10"/>
        <v>171880.8</v>
      </c>
      <c r="P104" s="6">
        <v>17</v>
      </c>
      <c r="Q104" s="6">
        <v>40641</v>
      </c>
      <c r="R104" s="60">
        <f t="shared" si="7"/>
        <v>81.515344528083375</v>
      </c>
      <c r="S104" s="60">
        <f t="shared" si="8"/>
        <v>153966.18274464388</v>
      </c>
    </row>
    <row r="105" spans="1:19" s="1" customFormat="1" hidden="1" outlineLevel="1" x14ac:dyDescent="0.25">
      <c r="A105" s="7" t="s">
        <v>839</v>
      </c>
      <c r="B105" s="7" t="s">
        <v>840</v>
      </c>
      <c r="C105" s="14">
        <v>289.54000000000002</v>
      </c>
      <c r="D105" s="6">
        <v>6493.35</v>
      </c>
      <c r="E105" s="6">
        <v>100</v>
      </c>
      <c r="F105" s="6"/>
      <c r="G105" s="6"/>
      <c r="H105" s="6"/>
      <c r="I105" s="6"/>
      <c r="J105" s="6">
        <v>4670</v>
      </c>
      <c r="K105" s="6">
        <v>1352151.8</v>
      </c>
      <c r="L105" s="6"/>
      <c r="M105" s="6"/>
      <c r="N105" s="6">
        <f t="shared" si="9"/>
        <v>4670</v>
      </c>
      <c r="O105" s="6">
        <f t="shared" si="10"/>
        <v>1352151.8</v>
      </c>
      <c r="P105" s="6">
        <v>12</v>
      </c>
      <c r="Q105" s="6">
        <v>3540</v>
      </c>
      <c r="R105" s="60">
        <f t="shared" si="7"/>
        <v>4540.544480121971</v>
      </c>
      <c r="S105" s="60">
        <f t="shared" si="8"/>
        <v>1314669.2487745155</v>
      </c>
    </row>
    <row r="106" spans="1:19" s="1" customFormat="1" hidden="1" outlineLevel="1" x14ac:dyDescent="0.25">
      <c r="A106" s="7" t="s">
        <v>552</v>
      </c>
      <c r="B106" s="7" t="s">
        <v>553</v>
      </c>
      <c r="C106" s="14">
        <v>189.85</v>
      </c>
      <c r="D106" s="6">
        <v>412.33</v>
      </c>
      <c r="E106" s="6">
        <v>100</v>
      </c>
      <c r="F106" s="6"/>
      <c r="G106" s="6"/>
      <c r="H106" s="6"/>
      <c r="I106" s="6"/>
      <c r="J106" s="6">
        <v>28</v>
      </c>
      <c r="K106" s="6">
        <v>5315.8</v>
      </c>
      <c r="L106" s="6">
        <v>1600</v>
      </c>
      <c r="M106" s="6">
        <v>303760</v>
      </c>
      <c r="N106" s="6">
        <f t="shared" si="9"/>
        <v>1628</v>
      </c>
      <c r="O106" s="6">
        <f t="shared" si="10"/>
        <v>309075.8</v>
      </c>
      <c r="P106" s="6">
        <v>4</v>
      </c>
      <c r="Q106" s="6">
        <v>1047</v>
      </c>
      <c r="R106" s="60">
        <f t="shared" ref="R106:R168" si="11">J106/D106*(D106-180)</f>
        <v>15.776780733878203</v>
      </c>
      <c r="S106" s="60">
        <f t="shared" ref="S106:S168" si="12">R106*C106</f>
        <v>2995.2218223267769</v>
      </c>
    </row>
    <row r="107" spans="1:19" s="1" customFormat="1" hidden="1" outlineLevel="1" x14ac:dyDescent="0.25">
      <c r="A107" s="7" t="s">
        <v>602</v>
      </c>
      <c r="B107" s="7" t="s">
        <v>603</v>
      </c>
      <c r="C107" s="14">
        <v>328.79</v>
      </c>
      <c r="D107" s="6">
        <v>223.87</v>
      </c>
      <c r="E107" s="6">
        <v>100</v>
      </c>
      <c r="F107" s="6"/>
      <c r="G107" s="6"/>
      <c r="H107" s="6">
        <v>200</v>
      </c>
      <c r="I107" s="6">
        <v>65758</v>
      </c>
      <c r="J107" s="6">
        <v>952</v>
      </c>
      <c r="K107" s="6">
        <v>313008.08</v>
      </c>
      <c r="L107" s="6"/>
      <c r="M107" s="6"/>
      <c r="N107" s="6">
        <f t="shared" si="9"/>
        <v>1152</v>
      </c>
      <c r="O107" s="6">
        <f t="shared" si="10"/>
        <v>378766.08000000002</v>
      </c>
      <c r="P107" s="6">
        <v>177</v>
      </c>
      <c r="Q107" s="6">
        <v>76450</v>
      </c>
      <c r="R107" s="60">
        <f t="shared" si="11"/>
        <v>186.55576897306472</v>
      </c>
      <c r="S107" s="60">
        <f t="shared" si="12"/>
        <v>61337.671280653951</v>
      </c>
    </row>
    <row r="108" spans="1:19" s="1" customFormat="1" hidden="1" outlineLevel="1" x14ac:dyDescent="0.25">
      <c r="A108" s="7" t="s">
        <v>321</v>
      </c>
      <c r="B108" s="7" t="s">
        <v>322</v>
      </c>
      <c r="C108" s="14">
        <v>225.35</v>
      </c>
      <c r="D108" s="6">
        <v>112.73</v>
      </c>
      <c r="E108" s="6">
        <v>100</v>
      </c>
      <c r="F108" s="6"/>
      <c r="G108" s="6"/>
      <c r="H108" s="6">
        <v>50</v>
      </c>
      <c r="I108" s="6">
        <v>11267.5</v>
      </c>
      <c r="J108" s="6">
        <v>3752</v>
      </c>
      <c r="K108" s="6">
        <v>845513.2</v>
      </c>
      <c r="L108" s="6"/>
      <c r="M108" s="6"/>
      <c r="N108" s="6">
        <f t="shared" si="9"/>
        <v>3802</v>
      </c>
      <c r="O108" s="6">
        <f t="shared" si="10"/>
        <v>856780.7</v>
      </c>
      <c r="P108" s="6">
        <v>222</v>
      </c>
      <c r="Q108" s="6">
        <v>50955</v>
      </c>
      <c r="R108" s="60"/>
      <c r="S108" s="60"/>
    </row>
    <row r="109" spans="1:19" s="1" customFormat="1" hidden="1" outlineLevel="1" x14ac:dyDescent="0.25">
      <c r="A109" s="7" t="s">
        <v>79</v>
      </c>
      <c r="B109" s="7" t="s">
        <v>80</v>
      </c>
      <c r="C109" s="14">
        <v>101.71</v>
      </c>
      <c r="D109" s="6">
        <v>35.08</v>
      </c>
      <c r="E109" s="6">
        <v>100</v>
      </c>
      <c r="F109" s="6">
        <v>52</v>
      </c>
      <c r="G109" s="6">
        <v>5288.92</v>
      </c>
      <c r="H109" s="6">
        <v>564</v>
      </c>
      <c r="I109" s="6">
        <v>57364.44</v>
      </c>
      <c r="J109" s="6">
        <v>496</v>
      </c>
      <c r="K109" s="6">
        <v>50448.159999999996</v>
      </c>
      <c r="L109" s="6">
        <v>5500</v>
      </c>
      <c r="M109" s="6">
        <v>559405</v>
      </c>
      <c r="N109" s="6">
        <f t="shared" si="9"/>
        <v>6612</v>
      </c>
      <c r="O109" s="6">
        <f t="shared" si="10"/>
        <v>672506.5199999999</v>
      </c>
      <c r="P109" s="6">
        <v>383</v>
      </c>
      <c r="Q109" s="6">
        <v>32314</v>
      </c>
      <c r="R109" s="60"/>
      <c r="S109" s="60"/>
    </row>
    <row r="110" spans="1:19" s="1" customFormat="1" hidden="1" outlineLevel="1" x14ac:dyDescent="0.25">
      <c r="A110" s="7" t="s">
        <v>303</v>
      </c>
      <c r="B110" s="7" t="s">
        <v>304</v>
      </c>
      <c r="C110" s="14">
        <v>260.18</v>
      </c>
      <c r="D110" s="6">
        <v>78.22</v>
      </c>
      <c r="E110" s="6">
        <v>100</v>
      </c>
      <c r="F110" s="6"/>
      <c r="G110" s="6"/>
      <c r="H110" s="6">
        <v>245</v>
      </c>
      <c r="I110" s="6">
        <v>63744.1</v>
      </c>
      <c r="J110" s="6">
        <v>1131</v>
      </c>
      <c r="K110" s="6">
        <v>294263.58</v>
      </c>
      <c r="L110" s="6"/>
      <c r="M110" s="6"/>
      <c r="N110" s="6">
        <f t="shared" si="9"/>
        <v>1376</v>
      </c>
      <c r="O110" s="6">
        <f t="shared" si="10"/>
        <v>358007.68</v>
      </c>
      <c r="P110" s="6">
        <v>99</v>
      </c>
      <c r="Q110" s="6">
        <v>26049</v>
      </c>
      <c r="R110" s="60"/>
      <c r="S110" s="60"/>
    </row>
    <row r="111" spans="1:19" s="1" customFormat="1" hidden="1" outlineLevel="1" x14ac:dyDescent="0.25">
      <c r="A111" s="7" t="s">
        <v>847</v>
      </c>
      <c r="B111" s="7" t="s">
        <v>848</v>
      </c>
      <c r="C111" s="14">
        <v>860.31</v>
      </c>
      <c r="D111" s="6">
        <v>1047.73</v>
      </c>
      <c r="E111" s="6">
        <v>100</v>
      </c>
      <c r="F111" s="6"/>
      <c r="G111" s="6"/>
      <c r="H111" s="6">
        <v>195</v>
      </c>
      <c r="I111" s="6">
        <v>167760.45000000001</v>
      </c>
      <c r="J111" s="6">
        <v>-40</v>
      </c>
      <c r="K111" s="6">
        <v>-34412.400000000001</v>
      </c>
      <c r="L111" s="6"/>
      <c r="M111" s="6"/>
      <c r="N111" s="6">
        <f t="shared" si="9"/>
        <v>155</v>
      </c>
      <c r="O111" s="6">
        <f t="shared" si="10"/>
        <v>133348.04999999999</v>
      </c>
      <c r="P111" s="6">
        <v>18</v>
      </c>
      <c r="Q111" s="6">
        <v>19393</v>
      </c>
      <c r="R111" s="60"/>
      <c r="S111" s="60"/>
    </row>
    <row r="112" spans="1:19" s="1" customFormat="1" hidden="1" outlineLevel="1" x14ac:dyDescent="0.25">
      <c r="A112" s="7" t="s">
        <v>816</v>
      </c>
      <c r="B112" s="7" t="s">
        <v>817</v>
      </c>
      <c r="C112" s="14">
        <v>151.43</v>
      </c>
      <c r="D112" s="6">
        <v>199.43</v>
      </c>
      <c r="E112" s="6">
        <v>100</v>
      </c>
      <c r="F112" s="6"/>
      <c r="G112" s="6"/>
      <c r="H112" s="6">
        <v>25</v>
      </c>
      <c r="I112" s="6">
        <v>3785.75</v>
      </c>
      <c r="J112" s="6">
        <v>1770</v>
      </c>
      <c r="K112" s="6">
        <v>268031.09999999998</v>
      </c>
      <c r="L112" s="6"/>
      <c r="M112" s="6"/>
      <c r="N112" s="6">
        <f t="shared" si="9"/>
        <v>1795</v>
      </c>
      <c r="O112" s="6">
        <f t="shared" si="10"/>
        <v>271816.85000000003</v>
      </c>
      <c r="P112" s="6">
        <v>151</v>
      </c>
      <c r="Q112" s="6">
        <v>29386</v>
      </c>
      <c r="R112" s="60">
        <f t="shared" si="11"/>
        <v>172.44697387554535</v>
      </c>
      <c r="S112" s="60">
        <f t="shared" si="12"/>
        <v>26113.645253973835</v>
      </c>
    </row>
    <row r="113" spans="1:19" s="1" customFormat="1" hidden="1" outlineLevel="1" x14ac:dyDescent="0.25">
      <c r="A113" s="7" t="s">
        <v>1325</v>
      </c>
      <c r="B113" s="7" t="s">
        <v>1326</v>
      </c>
      <c r="C113" s="14">
        <v>258.69</v>
      </c>
      <c r="D113" s="6">
        <v>252.74</v>
      </c>
      <c r="E113" s="6">
        <v>80.650000000000006</v>
      </c>
      <c r="F113" s="6"/>
      <c r="G113" s="6"/>
      <c r="H113" s="6">
        <v>16</v>
      </c>
      <c r="I113" s="6">
        <v>4139.04</v>
      </c>
      <c r="J113" s="6">
        <v>1048</v>
      </c>
      <c r="K113" s="6">
        <v>271107.12</v>
      </c>
      <c r="L113" s="6"/>
      <c r="M113" s="6"/>
      <c r="N113" s="6">
        <f t="shared" si="9"/>
        <v>1064</v>
      </c>
      <c r="O113" s="6">
        <f t="shared" si="10"/>
        <v>275246.15999999997</v>
      </c>
      <c r="P113" s="6">
        <v>76</v>
      </c>
      <c r="Q113" s="6">
        <v>21886</v>
      </c>
      <c r="R113" s="60">
        <f t="shared" si="11"/>
        <v>301.62032127878456</v>
      </c>
      <c r="S113" s="60">
        <f t="shared" si="12"/>
        <v>78026.160911608778</v>
      </c>
    </row>
    <row r="114" spans="1:19" s="1" customFormat="1" hidden="1" outlineLevel="1" x14ac:dyDescent="0.25">
      <c r="A114" s="7" t="s">
        <v>728</v>
      </c>
      <c r="B114" s="7" t="s">
        <v>729</v>
      </c>
      <c r="C114" s="14">
        <v>524.26</v>
      </c>
      <c r="D114" s="6">
        <v>182.76</v>
      </c>
      <c r="E114" s="6">
        <v>100</v>
      </c>
      <c r="F114" s="6">
        <v>1</v>
      </c>
      <c r="G114" s="6">
        <v>524.26</v>
      </c>
      <c r="H114" s="6">
        <v>20</v>
      </c>
      <c r="I114" s="6">
        <v>10485.200000000001</v>
      </c>
      <c r="J114" s="6">
        <v>476</v>
      </c>
      <c r="K114" s="6">
        <v>249547.76</v>
      </c>
      <c r="L114" s="6"/>
      <c r="M114" s="6"/>
      <c r="N114" s="6">
        <f t="shared" si="9"/>
        <v>497</v>
      </c>
      <c r="O114" s="6">
        <f t="shared" si="10"/>
        <v>260557.22</v>
      </c>
      <c r="P114" s="6">
        <v>37</v>
      </c>
      <c r="Q114" s="6">
        <v>21422</v>
      </c>
      <c r="R114" s="60">
        <f t="shared" si="11"/>
        <v>7.1884438608010273</v>
      </c>
      <c r="S114" s="60">
        <f t="shared" si="12"/>
        <v>3768.6135784635467</v>
      </c>
    </row>
    <row r="115" spans="1:19" s="1" customFormat="1" hidden="1" outlineLevel="1" x14ac:dyDescent="0.25">
      <c r="A115" s="7" t="s">
        <v>17</v>
      </c>
      <c r="B115" s="7" t="s">
        <v>18</v>
      </c>
      <c r="C115" s="14">
        <v>340.1</v>
      </c>
      <c r="D115" s="6">
        <v>164.45</v>
      </c>
      <c r="E115" s="6">
        <v>100</v>
      </c>
      <c r="F115" s="6">
        <v>15</v>
      </c>
      <c r="G115" s="6">
        <v>5101.5</v>
      </c>
      <c r="H115" s="6">
        <v>8</v>
      </c>
      <c r="I115" s="6">
        <v>2720.8</v>
      </c>
      <c r="J115" s="6">
        <v>723</v>
      </c>
      <c r="K115" s="6">
        <v>245892.3</v>
      </c>
      <c r="L115" s="6"/>
      <c r="M115" s="6"/>
      <c r="N115" s="6">
        <f t="shared" si="9"/>
        <v>746</v>
      </c>
      <c r="O115" s="6">
        <f t="shared" si="10"/>
        <v>253714.6</v>
      </c>
      <c r="P115" s="6">
        <v>78</v>
      </c>
      <c r="Q115" s="6">
        <v>29684</v>
      </c>
      <c r="R115" s="60"/>
      <c r="S115" s="60"/>
    </row>
    <row r="116" spans="1:19" s="1" customFormat="1" hidden="1" outlineLevel="1" x14ac:dyDescent="0.25">
      <c r="A116" s="7" t="s">
        <v>127</v>
      </c>
      <c r="B116" s="7" t="s">
        <v>128</v>
      </c>
      <c r="C116" s="14">
        <v>288.17</v>
      </c>
      <c r="D116" s="6">
        <v>82.85</v>
      </c>
      <c r="E116" s="6">
        <v>100</v>
      </c>
      <c r="F116" s="6"/>
      <c r="G116" s="6"/>
      <c r="H116" s="6">
        <v>20</v>
      </c>
      <c r="I116" s="6">
        <v>5763.4</v>
      </c>
      <c r="J116" s="6">
        <v>1523</v>
      </c>
      <c r="K116" s="6">
        <v>438882.91</v>
      </c>
      <c r="L116" s="6"/>
      <c r="M116" s="6"/>
      <c r="N116" s="6">
        <f t="shared" si="9"/>
        <v>1543</v>
      </c>
      <c r="O116" s="6">
        <f t="shared" si="10"/>
        <v>444646.31</v>
      </c>
      <c r="P116" s="6">
        <v>129</v>
      </c>
      <c r="Q116" s="6">
        <v>33227</v>
      </c>
      <c r="R116" s="60"/>
      <c r="S116" s="60"/>
    </row>
    <row r="117" spans="1:19" s="1" customFormat="1" hidden="1" outlineLevel="1" x14ac:dyDescent="0.25">
      <c r="A117" s="7" t="s">
        <v>305</v>
      </c>
      <c r="B117" s="7" t="s">
        <v>306</v>
      </c>
      <c r="C117" s="14">
        <v>1050</v>
      </c>
      <c r="D117" s="6">
        <v>100.14</v>
      </c>
      <c r="E117" s="6">
        <v>100</v>
      </c>
      <c r="F117" s="6"/>
      <c r="G117" s="6"/>
      <c r="H117" s="6"/>
      <c r="I117" s="6"/>
      <c r="J117" s="6">
        <v>399</v>
      </c>
      <c r="K117" s="6">
        <v>418950</v>
      </c>
      <c r="L117" s="6"/>
      <c r="M117" s="6"/>
      <c r="N117" s="6">
        <f t="shared" si="9"/>
        <v>399</v>
      </c>
      <c r="O117" s="6">
        <f t="shared" si="10"/>
        <v>418950</v>
      </c>
      <c r="P117" s="6">
        <v>43</v>
      </c>
      <c r="Q117" s="6">
        <v>34841</v>
      </c>
      <c r="R117" s="60"/>
      <c r="S117" s="60"/>
    </row>
    <row r="118" spans="1:19" s="1" customFormat="1" hidden="1" outlineLevel="1" x14ac:dyDescent="0.25">
      <c r="A118" s="7" t="s">
        <v>279</v>
      </c>
      <c r="B118" s="7" t="s">
        <v>280</v>
      </c>
      <c r="C118" s="14">
        <v>514.61</v>
      </c>
      <c r="D118" s="6">
        <v>15.06</v>
      </c>
      <c r="E118" s="6">
        <v>99.06</v>
      </c>
      <c r="F118" s="6">
        <v>7</v>
      </c>
      <c r="G118" s="6">
        <v>3602.27</v>
      </c>
      <c r="H118" s="6"/>
      <c r="I118" s="6"/>
      <c r="J118" s="6">
        <v>191</v>
      </c>
      <c r="K118" s="6">
        <v>98290.51</v>
      </c>
      <c r="L118" s="6"/>
      <c r="M118" s="6"/>
      <c r="N118" s="6">
        <f t="shared" si="9"/>
        <v>198</v>
      </c>
      <c r="O118" s="6">
        <f t="shared" si="10"/>
        <v>101892.78</v>
      </c>
      <c r="P118" s="6">
        <v>180</v>
      </c>
      <c r="Q118" s="6">
        <v>73690</v>
      </c>
      <c r="R118" s="60"/>
      <c r="S118" s="60"/>
    </row>
    <row r="119" spans="1:19" s="1" customFormat="1" hidden="1" outlineLevel="1" x14ac:dyDescent="0.25">
      <c r="A119" s="7" t="s">
        <v>377</v>
      </c>
      <c r="B119" s="7" t="s">
        <v>378</v>
      </c>
      <c r="C119" s="14">
        <v>289.51</v>
      </c>
      <c r="D119" s="6">
        <v>39.409999999999997</v>
      </c>
      <c r="E119" s="6">
        <v>48.39</v>
      </c>
      <c r="F119" s="6"/>
      <c r="G119" s="6"/>
      <c r="H119" s="6"/>
      <c r="I119" s="6"/>
      <c r="J119" s="6">
        <v>20</v>
      </c>
      <c r="K119" s="6">
        <v>5790.2</v>
      </c>
      <c r="L119" s="6">
        <v>840</v>
      </c>
      <c r="M119" s="6">
        <v>243188.4</v>
      </c>
      <c r="N119" s="6">
        <f t="shared" si="9"/>
        <v>860</v>
      </c>
      <c r="O119" s="6">
        <f t="shared" si="10"/>
        <v>248978.6</v>
      </c>
      <c r="P119" s="6">
        <v>8</v>
      </c>
      <c r="Q119" s="6">
        <v>2528</v>
      </c>
      <c r="R119" s="60"/>
      <c r="S119" s="60"/>
    </row>
    <row r="120" spans="1:19" s="1" customFormat="1" hidden="1" outlineLevel="1" x14ac:dyDescent="0.25">
      <c r="A120" s="7" t="s">
        <v>794</v>
      </c>
      <c r="B120" s="7" t="s">
        <v>795</v>
      </c>
      <c r="C120" s="14">
        <v>243.25</v>
      </c>
      <c r="D120" s="6">
        <v>4.88</v>
      </c>
      <c r="E120" s="6">
        <v>58.06</v>
      </c>
      <c r="F120" s="6">
        <v>21</v>
      </c>
      <c r="G120" s="6">
        <v>5108.25</v>
      </c>
      <c r="H120" s="6"/>
      <c r="I120" s="6"/>
      <c r="J120" s="6">
        <v>0</v>
      </c>
      <c r="K120" s="6">
        <v>0</v>
      </c>
      <c r="L120" s="6">
        <v>1488</v>
      </c>
      <c r="M120" s="6">
        <v>361956</v>
      </c>
      <c r="N120" s="6">
        <f t="shared" si="9"/>
        <v>1509</v>
      </c>
      <c r="O120" s="6">
        <f t="shared" si="10"/>
        <v>367064.25</v>
      </c>
      <c r="P120" s="6">
        <v>0</v>
      </c>
      <c r="Q120" s="6">
        <v>64</v>
      </c>
      <c r="R120" s="60"/>
      <c r="S120" s="60"/>
    </row>
    <row r="121" spans="1:19" s="1" customFormat="1" hidden="1" outlineLevel="1" x14ac:dyDescent="0.25">
      <c r="A121" s="7" t="s">
        <v>365</v>
      </c>
      <c r="B121" s="7" t="s">
        <v>366</v>
      </c>
      <c r="C121" s="14">
        <v>253.52</v>
      </c>
      <c r="D121" s="6">
        <v>220.88</v>
      </c>
      <c r="E121" s="6">
        <v>100</v>
      </c>
      <c r="F121" s="6"/>
      <c r="G121" s="6"/>
      <c r="H121" s="6">
        <v>16</v>
      </c>
      <c r="I121" s="6">
        <v>4056.32</v>
      </c>
      <c r="J121" s="6">
        <v>1637</v>
      </c>
      <c r="K121" s="6">
        <v>415012.24</v>
      </c>
      <c r="L121" s="6"/>
      <c r="M121" s="6"/>
      <c r="N121" s="6">
        <f t="shared" si="9"/>
        <v>1653</v>
      </c>
      <c r="O121" s="6">
        <f t="shared" si="10"/>
        <v>419068.56</v>
      </c>
      <c r="P121" s="6">
        <v>123</v>
      </c>
      <c r="Q121" s="6">
        <v>35810</v>
      </c>
      <c r="R121" s="60">
        <f t="shared" si="11"/>
        <v>302.97247374139801</v>
      </c>
      <c r="S121" s="60">
        <f t="shared" si="12"/>
        <v>76809.58154291923</v>
      </c>
    </row>
    <row r="122" spans="1:19" s="1" customFormat="1" hidden="1" outlineLevel="1" x14ac:dyDescent="0.25">
      <c r="A122" s="7" t="s">
        <v>426</v>
      </c>
      <c r="B122" s="7" t="s">
        <v>427</v>
      </c>
      <c r="C122" s="14">
        <v>202.22</v>
      </c>
      <c r="D122" s="6">
        <v>86.85</v>
      </c>
      <c r="E122" s="6">
        <v>100</v>
      </c>
      <c r="F122" s="6"/>
      <c r="G122" s="6"/>
      <c r="H122" s="6">
        <v>10</v>
      </c>
      <c r="I122" s="6">
        <v>2022.2</v>
      </c>
      <c r="J122" s="6">
        <v>676</v>
      </c>
      <c r="K122" s="6">
        <v>136700.72</v>
      </c>
      <c r="L122" s="6"/>
      <c r="M122" s="6"/>
      <c r="N122" s="6">
        <f t="shared" si="9"/>
        <v>686</v>
      </c>
      <c r="O122" s="6">
        <f t="shared" si="10"/>
        <v>138722.92000000001</v>
      </c>
      <c r="P122" s="6">
        <v>107</v>
      </c>
      <c r="Q122" s="6">
        <v>24376</v>
      </c>
      <c r="R122" s="60"/>
      <c r="S122" s="60"/>
    </row>
    <row r="123" spans="1:19" s="1" customFormat="1" hidden="1" outlineLevel="1" x14ac:dyDescent="0.25">
      <c r="A123" s="7" t="s">
        <v>287</v>
      </c>
      <c r="B123" s="7" t="s">
        <v>288</v>
      </c>
      <c r="C123" s="14">
        <v>448.96</v>
      </c>
      <c r="D123" s="6">
        <v>14.49</v>
      </c>
      <c r="E123" s="6">
        <v>99.82</v>
      </c>
      <c r="F123" s="6"/>
      <c r="G123" s="6"/>
      <c r="H123" s="6">
        <v>5</v>
      </c>
      <c r="I123" s="6">
        <v>2244.8000000000002</v>
      </c>
      <c r="J123" s="6">
        <v>224</v>
      </c>
      <c r="K123" s="6">
        <v>100567.03999999999</v>
      </c>
      <c r="L123" s="6"/>
      <c r="M123" s="6"/>
      <c r="N123" s="6">
        <f t="shared" si="9"/>
        <v>229</v>
      </c>
      <c r="O123" s="6">
        <f t="shared" si="10"/>
        <v>102811.84</v>
      </c>
      <c r="P123" s="6">
        <v>192</v>
      </c>
      <c r="Q123" s="6">
        <v>84847</v>
      </c>
      <c r="R123" s="60"/>
      <c r="S123" s="60"/>
    </row>
    <row r="124" spans="1:19" s="1" customFormat="1" hidden="1" outlineLevel="1" x14ac:dyDescent="0.25">
      <c r="A124" s="7" t="s">
        <v>53</v>
      </c>
      <c r="B124" s="7" t="s">
        <v>54</v>
      </c>
      <c r="C124" s="14">
        <v>45</v>
      </c>
      <c r="D124" s="6">
        <v>35.44</v>
      </c>
      <c r="E124" s="6">
        <v>100</v>
      </c>
      <c r="F124" s="6">
        <v>170</v>
      </c>
      <c r="G124" s="6">
        <v>7650</v>
      </c>
      <c r="H124" s="6">
        <v>477</v>
      </c>
      <c r="I124" s="6">
        <v>21465</v>
      </c>
      <c r="J124" s="6">
        <v>2868</v>
      </c>
      <c r="K124" s="6">
        <v>129060</v>
      </c>
      <c r="L124" s="6"/>
      <c r="M124" s="6"/>
      <c r="N124" s="6">
        <f t="shared" si="9"/>
        <v>3515</v>
      </c>
      <c r="O124" s="6">
        <f t="shared" si="10"/>
        <v>158175</v>
      </c>
      <c r="P124" s="6">
        <v>223</v>
      </c>
      <c r="Q124" s="6">
        <v>12112</v>
      </c>
      <c r="R124" s="60"/>
      <c r="S124" s="60"/>
    </row>
    <row r="125" spans="1:19" s="1" customFormat="1" hidden="1" outlineLevel="1" x14ac:dyDescent="0.25">
      <c r="A125" s="7" t="s">
        <v>77</v>
      </c>
      <c r="B125" s="7" t="s">
        <v>78</v>
      </c>
      <c r="C125" s="14">
        <v>58.11</v>
      </c>
      <c r="D125" s="6">
        <v>43.1</v>
      </c>
      <c r="E125" s="6">
        <v>100</v>
      </c>
      <c r="F125" s="6"/>
      <c r="G125" s="6"/>
      <c r="H125" s="6">
        <v>631</v>
      </c>
      <c r="I125" s="6">
        <v>36667.410000000003</v>
      </c>
      <c r="J125" s="6">
        <v>232</v>
      </c>
      <c r="K125" s="6">
        <v>13481.52</v>
      </c>
      <c r="L125" s="6">
        <v>3000</v>
      </c>
      <c r="M125" s="6">
        <v>174330</v>
      </c>
      <c r="N125" s="6">
        <f t="shared" si="9"/>
        <v>3863</v>
      </c>
      <c r="O125" s="6">
        <f t="shared" si="10"/>
        <v>224478.93</v>
      </c>
      <c r="P125" s="6">
        <v>393</v>
      </c>
      <c r="Q125" s="6">
        <v>21337</v>
      </c>
      <c r="R125" s="60"/>
      <c r="S125" s="60"/>
    </row>
    <row r="126" spans="1:19" s="1" customFormat="1" hidden="1" outlineLevel="1" x14ac:dyDescent="0.25">
      <c r="A126" s="7" t="s">
        <v>1327</v>
      </c>
      <c r="B126" s="7" t="s">
        <v>1328</v>
      </c>
      <c r="C126" s="14">
        <v>553.98</v>
      </c>
      <c r="D126" s="6"/>
      <c r="E126" s="6">
        <v>100</v>
      </c>
      <c r="F126" s="6"/>
      <c r="G126" s="6"/>
      <c r="H126" s="6"/>
      <c r="I126" s="6"/>
      <c r="J126" s="6">
        <v>36</v>
      </c>
      <c r="K126" s="6">
        <v>19943.28</v>
      </c>
      <c r="L126" s="6"/>
      <c r="M126" s="6"/>
      <c r="N126" s="6">
        <f t="shared" si="9"/>
        <v>36</v>
      </c>
      <c r="O126" s="6">
        <f t="shared" si="10"/>
        <v>19943.28</v>
      </c>
      <c r="P126" s="6">
        <v>48</v>
      </c>
      <c r="Q126" s="6">
        <v>33470</v>
      </c>
      <c r="R126" s="60"/>
      <c r="S126" s="60"/>
    </row>
    <row r="127" spans="1:19" s="1" customFormat="1" hidden="1" outlineLevel="1" x14ac:dyDescent="0.25">
      <c r="A127" s="7" t="s">
        <v>295</v>
      </c>
      <c r="B127" s="7" t="s">
        <v>296</v>
      </c>
      <c r="C127" s="14">
        <v>502.65</v>
      </c>
      <c r="D127" s="6">
        <v>58.43</v>
      </c>
      <c r="E127" s="6">
        <v>49.46</v>
      </c>
      <c r="F127" s="6"/>
      <c r="G127" s="6"/>
      <c r="H127" s="6">
        <v>29</v>
      </c>
      <c r="I127" s="6">
        <v>14576.85</v>
      </c>
      <c r="J127" s="6">
        <v>283</v>
      </c>
      <c r="K127" s="6">
        <v>142249.95000000001</v>
      </c>
      <c r="L127" s="6"/>
      <c r="M127" s="6"/>
      <c r="N127" s="6">
        <f t="shared" si="9"/>
        <v>312</v>
      </c>
      <c r="O127" s="6">
        <f t="shared" si="10"/>
        <v>156826.79999999999</v>
      </c>
      <c r="P127" s="6">
        <v>29</v>
      </c>
      <c r="Q127" s="6">
        <v>11930</v>
      </c>
      <c r="R127" s="60"/>
      <c r="S127" s="60"/>
    </row>
    <row r="128" spans="1:19" s="1" customFormat="1" hidden="1" outlineLevel="1" x14ac:dyDescent="0.25">
      <c r="A128" s="7" t="s">
        <v>708</v>
      </c>
      <c r="B128" s="7" t="s">
        <v>709</v>
      </c>
      <c r="C128" s="14">
        <v>573.58000000000004</v>
      </c>
      <c r="D128" s="6">
        <v>442.76</v>
      </c>
      <c r="E128" s="6">
        <v>100</v>
      </c>
      <c r="F128" s="6"/>
      <c r="G128" s="6"/>
      <c r="H128" s="6"/>
      <c r="I128" s="6"/>
      <c r="J128" s="6">
        <v>728</v>
      </c>
      <c r="K128" s="6">
        <v>417566.24</v>
      </c>
      <c r="L128" s="6"/>
      <c r="M128" s="6"/>
      <c r="N128" s="6">
        <f t="shared" si="9"/>
        <v>728</v>
      </c>
      <c r="O128" s="6">
        <f t="shared" si="10"/>
        <v>417566.24000000005</v>
      </c>
      <c r="P128" s="6">
        <v>19</v>
      </c>
      <c r="Q128" s="6">
        <v>13855</v>
      </c>
      <c r="R128" s="60">
        <f t="shared" si="11"/>
        <v>432.03830517661936</v>
      </c>
      <c r="S128" s="60">
        <f t="shared" si="12"/>
        <v>247808.53108320534</v>
      </c>
    </row>
    <row r="129" spans="1:19" s="1" customFormat="1" hidden="1" outlineLevel="1" x14ac:dyDescent="0.25">
      <c r="A129" s="7" t="s">
        <v>65</v>
      </c>
      <c r="B129" s="7" t="s">
        <v>66</v>
      </c>
      <c r="C129" s="14">
        <v>230.05</v>
      </c>
      <c r="D129" s="6">
        <v>115.58</v>
      </c>
      <c r="E129" s="6">
        <v>84.95</v>
      </c>
      <c r="F129" s="6">
        <v>151</v>
      </c>
      <c r="G129" s="6">
        <v>34737.550000000003</v>
      </c>
      <c r="H129" s="6"/>
      <c r="I129" s="6"/>
      <c r="J129" s="6">
        <v>1</v>
      </c>
      <c r="K129" s="6">
        <v>230.05</v>
      </c>
      <c r="L129" s="6">
        <v>1650</v>
      </c>
      <c r="M129" s="6">
        <v>379582.5</v>
      </c>
      <c r="N129" s="6">
        <f t="shared" si="9"/>
        <v>1802</v>
      </c>
      <c r="O129" s="6">
        <f t="shared" si="10"/>
        <v>414550.10000000003</v>
      </c>
      <c r="P129" s="6">
        <v>23</v>
      </c>
      <c r="Q129" s="6">
        <v>5974</v>
      </c>
      <c r="R129" s="60"/>
      <c r="S129" s="60"/>
    </row>
    <row r="130" spans="1:19" s="1" customFormat="1" hidden="1" outlineLevel="1" x14ac:dyDescent="0.25">
      <c r="A130" s="7" t="s">
        <v>598</v>
      </c>
      <c r="B130" s="7" t="s">
        <v>599</v>
      </c>
      <c r="C130" s="14">
        <v>220.61</v>
      </c>
      <c r="D130" s="6">
        <v>69.569999999999993</v>
      </c>
      <c r="E130" s="6">
        <v>100</v>
      </c>
      <c r="F130" s="6"/>
      <c r="G130" s="6"/>
      <c r="H130" s="6">
        <v>58</v>
      </c>
      <c r="I130" s="6">
        <v>12795.38</v>
      </c>
      <c r="J130" s="6">
        <v>1042</v>
      </c>
      <c r="K130" s="6">
        <v>229875.62</v>
      </c>
      <c r="L130" s="6"/>
      <c r="M130" s="6"/>
      <c r="N130" s="6">
        <f t="shared" si="9"/>
        <v>1100</v>
      </c>
      <c r="O130" s="6">
        <f t="shared" si="10"/>
        <v>242671.00000000003</v>
      </c>
      <c r="P130" s="6">
        <v>73</v>
      </c>
      <c r="Q130" s="6">
        <v>21318</v>
      </c>
      <c r="R130" s="60"/>
      <c r="S130" s="60"/>
    </row>
    <row r="131" spans="1:19" s="1" customFormat="1" hidden="1" outlineLevel="1" x14ac:dyDescent="0.25">
      <c r="A131" s="7" t="s">
        <v>554</v>
      </c>
      <c r="B131" s="7" t="s">
        <v>555</v>
      </c>
      <c r="C131" s="14">
        <v>87.89</v>
      </c>
      <c r="D131" s="6">
        <v>72.33</v>
      </c>
      <c r="E131" s="6">
        <v>13.98</v>
      </c>
      <c r="F131" s="6">
        <v>35</v>
      </c>
      <c r="G131" s="6">
        <v>3076.15</v>
      </c>
      <c r="H131" s="6">
        <v>10</v>
      </c>
      <c r="I131" s="6">
        <v>878.9</v>
      </c>
      <c r="J131" s="6">
        <v>0</v>
      </c>
      <c r="K131" s="6">
        <v>0</v>
      </c>
      <c r="L131" s="6">
        <v>3300</v>
      </c>
      <c r="M131" s="6">
        <v>290037</v>
      </c>
      <c r="N131" s="6">
        <f t="shared" si="9"/>
        <v>3345</v>
      </c>
      <c r="O131" s="6">
        <f t="shared" si="10"/>
        <v>293992.05</v>
      </c>
      <c r="P131" s="6">
        <v>1</v>
      </c>
      <c r="Q131" s="6">
        <v>128</v>
      </c>
      <c r="R131" s="60"/>
      <c r="S131" s="60"/>
    </row>
    <row r="132" spans="1:19" s="1" customFormat="1" hidden="1" outlineLevel="1" x14ac:dyDescent="0.25">
      <c r="A132" s="7" t="s">
        <v>67</v>
      </c>
      <c r="B132" s="7" t="s">
        <v>68</v>
      </c>
      <c r="C132" s="14">
        <v>810.47</v>
      </c>
      <c r="D132" s="6">
        <v>233.03</v>
      </c>
      <c r="E132" s="6">
        <v>100</v>
      </c>
      <c r="F132" s="6"/>
      <c r="G132" s="6"/>
      <c r="H132" s="6"/>
      <c r="I132" s="6"/>
      <c r="J132" s="6">
        <v>500</v>
      </c>
      <c r="K132" s="6">
        <v>405235</v>
      </c>
      <c r="L132" s="6"/>
      <c r="M132" s="6"/>
      <c r="N132" s="6">
        <f t="shared" si="9"/>
        <v>500</v>
      </c>
      <c r="O132" s="6">
        <f t="shared" si="10"/>
        <v>405235</v>
      </c>
      <c r="P132" s="6">
        <v>76</v>
      </c>
      <c r="Q132" s="6">
        <v>73435</v>
      </c>
      <c r="R132" s="60">
        <f t="shared" si="11"/>
        <v>113.78363300862551</v>
      </c>
      <c r="S132" s="60">
        <f t="shared" si="12"/>
        <v>92218.221044500722</v>
      </c>
    </row>
    <row r="133" spans="1:19" s="1" customFormat="1" hidden="1" outlineLevel="1" x14ac:dyDescent="0.25">
      <c r="A133" s="7" t="s">
        <v>622</v>
      </c>
      <c r="B133" s="7" t="s">
        <v>623</v>
      </c>
      <c r="C133" s="14">
        <v>461.4</v>
      </c>
      <c r="D133" s="6">
        <v>66.599999999999994</v>
      </c>
      <c r="E133" s="6">
        <v>100</v>
      </c>
      <c r="F133" s="6"/>
      <c r="G133" s="6"/>
      <c r="H133" s="6">
        <v>4</v>
      </c>
      <c r="I133" s="6">
        <v>1845.6</v>
      </c>
      <c r="J133" s="6">
        <v>773</v>
      </c>
      <c r="K133" s="6">
        <v>356662.2</v>
      </c>
      <c r="L133" s="6"/>
      <c r="M133" s="6"/>
      <c r="N133" s="6">
        <f t="shared" ref="N133:N196" si="13">IF(J133+L133+H133+F133&lt;=0,"",J133+L133+H133+F133)</f>
        <v>777</v>
      </c>
      <c r="O133" s="6">
        <f t="shared" ref="O133:O196" si="14">IFERROR(C133*N133,"")</f>
        <v>358507.8</v>
      </c>
      <c r="P133" s="6">
        <v>48</v>
      </c>
      <c r="Q133" s="6">
        <v>17660</v>
      </c>
      <c r="R133" s="60"/>
      <c r="S133" s="60"/>
    </row>
    <row r="134" spans="1:19" s="1" customFormat="1" hidden="1" outlineLevel="1" x14ac:dyDescent="0.25">
      <c r="A134" s="7" t="s">
        <v>19</v>
      </c>
      <c r="B134" s="7" t="s">
        <v>20</v>
      </c>
      <c r="C134" s="14">
        <v>604.30999999999995</v>
      </c>
      <c r="D134" s="6">
        <v>230.31</v>
      </c>
      <c r="E134" s="6">
        <v>100</v>
      </c>
      <c r="F134" s="6"/>
      <c r="G134" s="6"/>
      <c r="H134" s="6">
        <v>200</v>
      </c>
      <c r="I134" s="6">
        <v>120862</v>
      </c>
      <c r="J134" s="6">
        <v>279</v>
      </c>
      <c r="K134" s="6">
        <v>168602.49</v>
      </c>
      <c r="L134" s="6"/>
      <c r="M134" s="6"/>
      <c r="N134" s="6">
        <f t="shared" si="13"/>
        <v>479</v>
      </c>
      <c r="O134" s="6">
        <f t="shared" si="14"/>
        <v>289464.49</v>
      </c>
      <c r="P134" s="6">
        <v>58</v>
      </c>
      <c r="Q134" s="6">
        <v>41002</v>
      </c>
      <c r="R134" s="60">
        <f t="shared" si="11"/>
        <v>60.946072684642438</v>
      </c>
      <c r="S134" s="60">
        <f t="shared" si="12"/>
        <v>36830.321184056265</v>
      </c>
    </row>
    <row r="135" spans="1:19" s="1" customFormat="1" hidden="1" outlineLevel="1" x14ac:dyDescent="0.25">
      <c r="A135" s="7" t="s">
        <v>11</v>
      </c>
      <c r="B135" s="7" t="s">
        <v>12</v>
      </c>
      <c r="C135" s="14">
        <v>461.97</v>
      </c>
      <c r="D135" s="6">
        <v>12.46</v>
      </c>
      <c r="E135" s="6">
        <v>81.72</v>
      </c>
      <c r="F135" s="6">
        <v>83</v>
      </c>
      <c r="G135" s="6">
        <v>38343.51</v>
      </c>
      <c r="H135" s="6">
        <v>9</v>
      </c>
      <c r="I135" s="6">
        <v>4157.7299999999996</v>
      </c>
      <c r="J135" s="6">
        <v>3</v>
      </c>
      <c r="K135" s="6">
        <v>1385.91</v>
      </c>
      <c r="L135" s="6"/>
      <c r="M135" s="6"/>
      <c r="N135" s="6">
        <f t="shared" si="13"/>
        <v>95</v>
      </c>
      <c r="O135" s="6">
        <f t="shared" si="14"/>
        <v>43887.15</v>
      </c>
      <c r="P135" s="6">
        <v>28</v>
      </c>
      <c r="Q135" s="6">
        <v>12830</v>
      </c>
      <c r="R135" s="60"/>
      <c r="S135" s="60"/>
    </row>
    <row r="136" spans="1:19" s="1" customFormat="1" hidden="1" outlineLevel="1" x14ac:dyDescent="0.25">
      <c r="A136" s="7" t="s">
        <v>722</v>
      </c>
      <c r="B136" s="7" t="s">
        <v>723</v>
      </c>
      <c r="C136" s="14">
        <v>951.95</v>
      </c>
      <c r="D136" s="6">
        <v>172.1</v>
      </c>
      <c r="E136" s="6">
        <v>100</v>
      </c>
      <c r="F136" s="6"/>
      <c r="G136" s="6"/>
      <c r="H136" s="6"/>
      <c r="I136" s="6"/>
      <c r="J136" s="6">
        <v>307</v>
      </c>
      <c r="K136" s="6">
        <v>292248.65000000002</v>
      </c>
      <c r="L136" s="6"/>
      <c r="M136" s="6"/>
      <c r="N136" s="6">
        <f t="shared" si="13"/>
        <v>307</v>
      </c>
      <c r="O136" s="6">
        <f t="shared" si="14"/>
        <v>292248.65000000002</v>
      </c>
      <c r="P136" s="6">
        <v>14</v>
      </c>
      <c r="Q136" s="6">
        <v>12264</v>
      </c>
      <c r="R136" s="60"/>
      <c r="S136" s="60"/>
    </row>
    <row r="137" spans="1:19" s="1" customFormat="1" hidden="1" outlineLevel="1" x14ac:dyDescent="0.25">
      <c r="A137" s="7" t="s">
        <v>203</v>
      </c>
      <c r="B137" s="7" t="s">
        <v>204</v>
      </c>
      <c r="C137" s="14">
        <v>181.87</v>
      </c>
      <c r="D137" s="6">
        <v>145.66</v>
      </c>
      <c r="E137" s="6">
        <v>100</v>
      </c>
      <c r="F137" s="6"/>
      <c r="G137" s="6"/>
      <c r="H137" s="6">
        <v>206</v>
      </c>
      <c r="I137" s="6">
        <v>37465.22</v>
      </c>
      <c r="J137" s="6">
        <v>1702</v>
      </c>
      <c r="K137" s="6">
        <v>309542.74</v>
      </c>
      <c r="L137" s="6"/>
      <c r="M137" s="6"/>
      <c r="N137" s="6">
        <f t="shared" si="13"/>
        <v>1908</v>
      </c>
      <c r="O137" s="6">
        <f t="shared" si="14"/>
        <v>347007.96</v>
      </c>
      <c r="P137" s="6">
        <v>95</v>
      </c>
      <c r="Q137" s="6">
        <v>16968</v>
      </c>
      <c r="R137" s="60"/>
      <c r="S137" s="60"/>
    </row>
    <row r="138" spans="1:19" s="1" customFormat="1" hidden="1" outlineLevel="1" x14ac:dyDescent="0.25">
      <c r="A138" s="7" t="s">
        <v>706</v>
      </c>
      <c r="B138" s="7" t="s">
        <v>707</v>
      </c>
      <c r="C138" s="14">
        <v>348.7</v>
      </c>
      <c r="D138" s="6">
        <v>88.09</v>
      </c>
      <c r="E138" s="6">
        <v>100</v>
      </c>
      <c r="F138" s="6"/>
      <c r="G138" s="6"/>
      <c r="H138" s="6">
        <v>305</v>
      </c>
      <c r="I138" s="6">
        <v>106353.5</v>
      </c>
      <c r="J138" s="6">
        <v>491</v>
      </c>
      <c r="K138" s="6">
        <v>171211.7</v>
      </c>
      <c r="L138" s="6"/>
      <c r="M138" s="6"/>
      <c r="N138" s="6">
        <f t="shared" si="13"/>
        <v>796</v>
      </c>
      <c r="O138" s="6">
        <f t="shared" si="14"/>
        <v>277565.2</v>
      </c>
      <c r="P138" s="6">
        <v>59</v>
      </c>
      <c r="Q138" s="6">
        <v>20735</v>
      </c>
      <c r="R138" s="60"/>
      <c r="S138" s="60"/>
    </row>
    <row r="139" spans="1:19" s="1" customFormat="1" hidden="1" outlineLevel="1" x14ac:dyDescent="0.25">
      <c r="A139" s="7" t="s">
        <v>1311</v>
      </c>
      <c r="B139" s="7" t="s">
        <v>1312</v>
      </c>
      <c r="C139" s="14">
        <v>237.31</v>
      </c>
      <c r="D139" s="6"/>
      <c r="E139" s="6">
        <v>100</v>
      </c>
      <c r="F139" s="6">
        <v>2</v>
      </c>
      <c r="G139" s="6">
        <v>474.62</v>
      </c>
      <c r="H139" s="6"/>
      <c r="I139" s="6"/>
      <c r="J139" s="6">
        <v>422</v>
      </c>
      <c r="K139" s="6">
        <v>100144.82</v>
      </c>
      <c r="L139" s="6"/>
      <c r="M139" s="6"/>
      <c r="N139" s="6">
        <f t="shared" si="13"/>
        <v>424</v>
      </c>
      <c r="O139" s="6">
        <f t="shared" si="14"/>
        <v>100619.44</v>
      </c>
      <c r="P139" s="6"/>
      <c r="Q139" s="6"/>
      <c r="R139" s="60"/>
      <c r="S139" s="60"/>
    </row>
    <row r="140" spans="1:19" s="1" customFormat="1" hidden="1" outlineLevel="1" x14ac:dyDescent="0.25">
      <c r="A140" s="7" t="s">
        <v>239</v>
      </c>
      <c r="B140" s="7" t="s">
        <v>240</v>
      </c>
      <c r="C140" s="14">
        <v>1364.77</v>
      </c>
      <c r="D140" s="6">
        <v>153.37</v>
      </c>
      <c r="E140" s="6">
        <v>100</v>
      </c>
      <c r="F140" s="6"/>
      <c r="G140" s="6"/>
      <c r="H140" s="6"/>
      <c r="I140" s="6"/>
      <c r="J140" s="6">
        <v>312</v>
      </c>
      <c r="K140" s="6">
        <v>425808.24</v>
      </c>
      <c r="L140" s="6"/>
      <c r="M140" s="6"/>
      <c r="N140" s="6">
        <f t="shared" si="13"/>
        <v>312</v>
      </c>
      <c r="O140" s="6">
        <f t="shared" si="14"/>
        <v>425808.24</v>
      </c>
      <c r="P140" s="6">
        <v>17</v>
      </c>
      <c r="Q140" s="6">
        <v>23025</v>
      </c>
      <c r="R140" s="60"/>
      <c r="S140" s="60"/>
    </row>
    <row r="141" spans="1:19" s="1" customFormat="1" hidden="1" outlineLevel="1" x14ac:dyDescent="0.25">
      <c r="A141" s="7" t="s">
        <v>35</v>
      </c>
      <c r="B141" s="7" t="s">
        <v>36</v>
      </c>
      <c r="C141" s="14">
        <v>69</v>
      </c>
      <c r="D141" s="6">
        <v>112.58</v>
      </c>
      <c r="E141" s="6">
        <v>100</v>
      </c>
      <c r="F141" s="6">
        <v>484</v>
      </c>
      <c r="G141" s="6">
        <v>33396</v>
      </c>
      <c r="H141" s="6">
        <v>807</v>
      </c>
      <c r="I141" s="6">
        <v>55683</v>
      </c>
      <c r="J141" s="6">
        <v>926</v>
      </c>
      <c r="K141" s="6">
        <v>63894</v>
      </c>
      <c r="L141" s="6"/>
      <c r="M141" s="6"/>
      <c r="N141" s="6">
        <f t="shared" si="13"/>
        <v>2217</v>
      </c>
      <c r="O141" s="6">
        <f t="shared" si="14"/>
        <v>152973</v>
      </c>
      <c r="P141" s="6">
        <v>485</v>
      </c>
      <c r="Q141" s="6">
        <v>39537</v>
      </c>
      <c r="R141" s="60"/>
      <c r="S141" s="60"/>
    </row>
    <row r="142" spans="1:19" s="1" customFormat="1" hidden="1" outlineLevel="1" x14ac:dyDescent="0.25">
      <c r="A142" s="7" t="s">
        <v>528</v>
      </c>
      <c r="B142" s="7" t="s">
        <v>529</v>
      </c>
      <c r="C142" s="14">
        <v>54.64</v>
      </c>
      <c r="D142" s="6">
        <v>67.209999999999994</v>
      </c>
      <c r="E142" s="6">
        <v>100</v>
      </c>
      <c r="F142" s="6"/>
      <c r="G142" s="6"/>
      <c r="H142" s="6">
        <v>300</v>
      </c>
      <c r="I142" s="6">
        <v>16392</v>
      </c>
      <c r="J142" s="6">
        <v>2491</v>
      </c>
      <c r="K142" s="6">
        <v>136108.24</v>
      </c>
      <c r="L142" s="6"/>
      <c r="M142" s="6"/>
      <c r="N142" s="6">
        <f t="shared" si="13"/>
        <v>2791</v>
      </c>
      <c r="O142" s="6">
        <f t="shared" si="14"/>
        <v>152500.24</v>
      </c>
      <c r="P142" s="6">
        <v>56</v>
      </c>
      <c r="Q142" s="6">
        <v>3184</v>
      </c>
      <c r="R142" s="60"/>
      <c r="S142" s="60"/>
    </row>
    <row r="143" spans="1:19" s="1" customFormat="1" hidden="1" outlineLevel="1" x14ac:dyDescent="0.25">
      <c r="A143" s="7" t="s">
        <v>145</v>
      </c>
      <c r="B143" s="7" t="s">
        <v>146</v>
      </c>
      <c r="C143" s="14">
        <v>729.11</v>
      </c>
      <c r="D143" s="6">
        <v>18.86</v>
      </c>
      <c r="E143" s="6">
        <v>100</v>
      </c>
      <c r="F143" s="6"/>
      <c r="G143" s="6"/>
      <c r="H143" s="6">
        <v>6</v>
      </c>
      <c r="I143" s="6">
        <v>4374.66</v>
      </c>
      <c r="J143" s="6">
        <v>20</v>
      </c>
      <c r="K143" s="6">
        <v>14582.2</v>
      </c>
      <c r="L143" s="6"/>
      <c r="M143" s="6"/>
      <c r="N143" s="6">
        <f t="shared" si="13"/>
        <v>26</v>
      </c>
      <c r="O143" s="6">
        <f t="shared" si="14"/>
        <v>18956.86</v>
      </c>
      <c r="P143" s="6">
        <v>34</v>
      </c>
      <c r="Q143" s="6">
        <v>21587</v>
      </c>
      <c r="R143" s="60"/>
      <c r="S143" s="60"/>
    </row>
    <row r="144" spans="1:19" s="1" customFormat="1" hidden="1" outlineLevel="1" x14ac:dyDescent="0.25">
      <c r="A144" s="7" t="s">
        <v>770</v>
      </c>
      <c r="B144" s="7" t="s">
        <v>771</v>
      </c>
      <c r="C144" s="14">
        <v>157.74</v>
      </c>
      <c r="D144" s="6">
        <v>287.61</v>
      </c>
      <c r="E144" s="6">
        <v>100</v>
      </c>
      <c r="F144" s="6"/>
      <c r="G144" s="6"/>
      <c r="H144" s="6">
        <v>2</v>
      </c>
      <c r="I144" s="6">
        <v>315.48</v>
      </c>
      <c r="J144" s="6">
        <v>1755</v>
      </c>
      <c r="K144" s="6">
        <v>276833.7</v>
      </c>
      <c r="L144" s="6"/>
      <c r="M144" s="6"/>
      <c r="N144" s="6">
        <f t="shared" si="13"/>
        <v>1757</v>
      </c>
      <c r="O144" s="6">
        <f t="shared" si="14"/>
        <v>277149.18</v>
      </c>
      <c r="P144" s="6">
        <v>94</v>
      </c>
      <c r="Q144" s="6">
        <v>16253</v>
      </c>
      <c r="R144" s="60">
        <f t="shared" si="11"/>
        <v>656.63763429644314</v>
      </c>
      <c r="S144" s="60">
        <f t="shared" si="12"/>
        <v>103578.02043392094</v>
      </c>
    </row>
    <row r="145" spans="1:19" s="1" customFormat="1" hidden="1" outlineLevel="1" x14ac:dyDescent="0.25">
      <c r="A145" s="7" t="s">
        <v>169</v>
      </c>
      <c r="B145" s="7" t="s">
        <v>170</v>
      </c>
      <c r="C145" s="14">
        <v>195.26</v>
      </c>
      <c r="D145" s="6">
        <v>187.57</v>
      </c>
      <c r="E145" s="6">
        <v>100</v>
      </c>
      <c r="F145" s="6"/>
      <c r="G145" s="6"/>
      <c r="H145" s="6">
        <v>90</v>
      </c>
      <c r="I145" s="6">
        <v>17573.400000000001</v>
      </c>
      <c r="J145" s="6">
        <v>18</v>
      </c>
      <c r="K145" s="6">
        <v>3514.68</v>
      </c>
      <c r="L145" s="6"/>
      <c r="M145" s="6"/>
      <c r="N145" s="6">
        <f t="shared" si="13"/>
        <v>108</v>
      </c>
      <c r="O145" s="6">
        <f t="shared" si="14"/>
        <v>21088.079999999998</v>
      </c>
      <c r="P145" s="6">
        <v>7</v>
      </c>
      <c r="Q145" s="6">
        <v>1942</v>
      </c>
      <c r="R145" s="60">
        <f t="shared" si="11"/>
        <v>0.72644879245081773</v>
      </c>
      <c r="S145" s="60">
        <f t="shared" si="12"/>
        <v>141.84639121394667</v>
      </c>
    </row>
    <row r="146" spans="1:19" s="1" customFormat="1" hidden="1" outlineLevel="1" x14ac:dyDescent="0.25">
      <c r="A146" s="7" t="s">
        <v>462</v>
      </c>
      <c r="B146" s="7" t="s">
        <v>463</v>
      </c>
      <c r="C146" s="14">
        <v>575.76</v>
      </c>
      <c r="D146" s="6"/>
      <c r="E146" s="6">
        <v>100</v>
      </c>
      <c r="F146" s="6"/>
      <c r="G146" s="6"/>
      <c r="H146" s="6">
        <v>10</v>
      </c>
      <c r="I146" s="6">
        <v>5757.6</v>
      </c>
      <c r="J146" s="6">
        <v>10</v>
      </c>
      <c r="K146" s="6">
        <v>5757.6</v>
      </c>
      <c r="L146" s="6"/>
      <c r="M146" s="6"/>
      <c r="N146" s="6">
        <f t="shared" si="13"/>
        <v>20</v>
      </c>
      <c r="O146" s="6">
        <f t="shared" si="14"/>
        <v>11515.2</v>
      </c>
      <c r="P146" s="6"/>
      <c r="Q146" s="6"/>
      <c r="R146" s="60"/>
      <c r="S146" s="60"/>
    </row>
    <row r="147" spans="1:19" s="1" customFormat="1" hidden="1" outlineLevel="1" x14ac:dyDescent="0.25">
      <c r="A147" s="7" t="s">
        <v>255</v>
      </c>
      <c r="B147" s="7" t="s">
        <v>256</v>
      </c>
      <c r="C147" s="14">
        <v>114.25</v>
      </c>
      <c r="D147" s="6">
        <v>21.24</v>
      </c>
      <c r="E147" s="6">
        <v>100</v>
      </c>
      <c r="F147" s="6"/>
      <c r="G147" s="6"/>
      <c r="H147" s="6">
        <v>109</v>
      </c>
      <c r="I147" s="6">
        <v>12453.25</v>
      </c>
      <c r="J147" s="6">
        <v>1850</v>
      </c>
      <c r="K147" s="6">
        <v>211362.5</v>
      </c>
      <c r="L147" s="6"/>
      <c r="M147" s="6"/>
      <c r="N147" s="6">
        <f t="shared" si="13"/>
        <v>1959</v>
      </c>
      <c r="O147" s="6">
        <f t="shared" si="14"/>
        <v>223815.75</v>
      </c>
      <c r="P147" s="6">
        <v>70</v>
      </c>
      <c r="Q147" s="6">
        <v>9338</v>
      </c>
      <c r="R147" s="60"/>
      <c r="S147" s="60"/>
    </row>
    <row r="148" spans="1:19" s="1" customFormat="1" hidden="1" outlineLevel="1" x14ac:dyDescent="0.25">
      <c r="A148" s="7" t="s">
        <v>403</v>
      </c>
      <c r="B148" s="7" t="s">
        <v>404</v>
      </c>
      <c r="C148" s="14">
        <v>101.22</v>
      </c>
      <c r="D148" s="6">
        <v>291.43</v>
      </c>
      <c r="E148" s="6">
        <v>100</v>
      </c>
      <c r="F148" s="6"/>
      <c r="G148" s="6"/>
      <c r="H148" s="6">
        <v>25</v>
      </c>
      <c r="I148" s="6">
        <v>2530.5</v>
      </c>
      <c r="J148" s="6">
        <v>3967</v>
      </c>
      <c r="K148" s="6">
        <v>401539.74</v>
      </c>
      <c r="L148" s="6"/>
      <c r="M148" s="6"/>
      <c r="N148" s="6">
        <f t="shared" si="13"/>
        <v>3992</v>
      </c>
      <c r="O148" s="6">
        <f t="shared" si="14"/>
        <v>404070.24</v>
      </c>
      <c r="P148" s="6">
        <v>415</v>
      </c>
      <c r="Q148" s="6">
        <v>49322</v>
      </c>
      <c r="R148" s="60">
        <f t="shared" si="11"/>
        <v>1516.8061284013315</v>
      </c>
      <c r="S148" s="60">
        <f t="shared" si="12"/>
        <v>153531.11631678278</v>
      </c>
    </row>
    <row r="149" spans="1:19" s="1" customFormat="1" hidden="1" outlineLevel="1" x14ac:dyDescent="0.25">
      <c r="A149" s="7" t="s">
        <v>1241</v>
      </c>
      <c r="B149" s="7" t="s">
        <v>1242</v>
      </c>
      <c r="C149" s="14">
        <v>240</v>
      </c>
      <c r="D149" s="6">
        <v>41.34</v>
      </c>
      <c r="E149" s="6">
        <v>95.7</v>
      </c>
      <c r="F149" s="6">
        <v>158</v>
      </c>
      <c r="G149" s="6">
        <v>37920</v>
      </c>
      <c r="H149" s="6"/>
      <c r="I149" s="6"/>
      <c r="J149" s="6">
        <v>50</v>
      </c>
      <c r="K149" s="6">
        <v>12000</v>
      </c>
      <c r="L149" s="6"/>
      <c r="M149" s="6"/>
      <c r="N149" s="6">
        <f t="shared" si="13"/>
        <v>208</v>
      </c>
      <c r="O149" s="6">
        <f t="shared" si="14"/>
        <v>49920</v>
      </c>
      <c r="P149" s="6">
        <v>39</v>
      </c>
      <c r="Q149" s="6">
        <v>12014</v>
      </c>
      <c r="R149" s="60"/>
      <c r="S149" s="60"/>
    </row>
    <row r="150" spans="1:19" s="1" customFormat="1" hidden="1" outlineLevel="1" x14ac:dyDescent="0.25">
      <c r="A150" s="7" t="s">
        <v>125</v>
      </c>
      <c r="B150" s="7" t="s">
        <v>126</v>
      </c>
      <c r="C150" s="14">
        <v>260.27999999999997</v>
      </c>
      <c r="D150" s="6">
        <v>114.95</v>
      </c>
      <c r="E150" s="6">
        <v>100</v>
      </c>
      <c r="F150" s="6"/>
      <c r="G150" s="6"/>
      <c r="H150" s="6">
        <v>18</v>
      </c>
      <c r="I150" s="6">
        <v>4685.04</v>
      </c>
      <c r="J150" s="6">
        <v>1732</v>
      </c>
      <c r="K150" s="6">
        <v>450804.96</v>
      </c>
      <c r="L150" s="6"/>
      <c r="M150" s="6"/>
      <c r="N150" s="6">
        <f t="shared" si="13"/>
        <v>1750</v>
      </c>
      <c r="O150" s="6">
        <f t="shared" si="14"/>
        <v>455489.99999999994</v>
      </c>
      <c r="P150" s="6">
        <v>113</v>
      </c>
      <c r="Q150" s="6">
        <v>26379</v>
      </c>
      <c r="R150" s="60"/>
      <c r="S150" s="60"/>
    </row>
    <row r="151" spans="1:19" s="1" customFormat="1" hidden="1" outlineLevel="1" x14ac:dyDescent="0.25">
      <c r="A151" s="7" t="s">
        <v>319</v>
      </c>
      <c r="B151" s="7" t="s">
        <v>320</v>
      </c>
      <c r="C151" s="14">
        <v>46.75</v>
      </c>
      <c r="D151" s="6">
        <v>14.7</v>
      </c>
      <c r="E151" s="6">
        <v>99.37</v>
      </c>
      <c r="F151" s="6"/>
      <c r="G151" s="6"/>
      <c r="H151" s="6">
        <v>256</v>
      </c>
      <c r="I151" s="6">
        <v>11968</v>
      </c>
      <c r="J151" s="6">
        <v>2251</v>
      </c>
      <c r="K151" s="6">
        <v>105234.25</v>
      </c>
      <c r="L151" s="6"/>
      <c r="M151" s="6"/>
      <c r="N151" s="6">
        <f t="shared" si="13"/>
        <v>2507</v>
      </c>
      <c r="O151" s="6">
        <f t="shared" si="14"/>
        <v>117202.25</v>
      </c>
      <c r="P151" s="6">
        <v>1251</v>
      </c>
      <c r="Q151" s="6">
        <v>55878</v>
      </c>
      <c r="R151" s="60"/>
      <c r="S151" s="60"/>
    </row>
    <row r="152" spans="1:19" s="1" customFormat="1" hidden="1" outlineLevel="1" x14ac:dyDescent="0.25">
      <c r="A152" s="7" t="s">
        <v>405</v>
      </c>
      <c r="B152" s="7" t="s">
        <v>406</v>
      </c>
      <c r="C152" s="14">
        <v>264.99</v>
      </c>
      <c r="D152" s="6">
        <v>53.97</v>
      </c>
      <c r="E152" s="6">
        <v>100</v>
      </c>
      <c r="F152" s="6">
        <v>47</v>
      </c>
      <c r="G152" s="6">
        <v>12454.53</v>
      </c>
      <c r="H152" s="6">
        <v>10</v>
      </c>
      <c r="I152" s="6">
        <v>2649.9</v>
      </c>
      <c r="J152" s="6">
        <v>483</v>
      </c>
      <c r="K152" s="6">
        <v>127990.17</v>
      </c>
      <c r="L152" s="6"/>
      <c r="M152" s="6"/>
      <c r="N152" s="6">
        <f t="shared" si="13"/>
        <v>540</v>
      </c>
      <c r="O152" s="6">
        <f t="shared" si="14"/>
        <v>143094.6</v>
      </c>
      <c r="P152" s="6">
        <v>72</v>
      </c>
      <c r="Q152" s="6">
        <v>19478</v>
      </c>
      <c r="R152" s="60"/>
      <c r="S152" s="60"/>
    </row>
    <row r="153" spans="1:19" s="1" customFormat="1" hidden="1" outlineLevel="1" x14ac:dyDescent="0.25">
      <c r="A153" s="7" t="s">
        <v>21</v>
      </c>
      <c r="B153" s="7" t="s">
        <v>22</v>
      </c>
      <c r="C153" s="14">
        <v>27</v>
      </c>
      <c r="D153" s="6">
        <v>22.29</v>
      </c>
      <c r="E153" s="6">
        <v>100</v>
      </c>
      <c r="F153" s="6"/>
      <c r="G153" s="6"/>
      <c r="H153" s="6">
        <v>1537</v>
      </c>
      <c r="I153" s="6">
        <v>41499</v>
      </c>
      <c r="J153" s="6">
        <v>337</v>
      </c>
      <c r="K153" s="6">
        <v>9099</v>
      </c>
      <c r="L153" s="6"/>
      <c r="M153" s="6"/>
      <c r="N153" s="6">
        <f t="shared" si="13"/>
        <v>1874</v>
      </c>
      <c r="O153" s="6">
        <f t="shared" si="14"/>
        <v>50598</v>
      </c>
      <c r="P153" s="6">
        <v>925</v>
      </c>
      <c r="Q153" s="6">
        <v>27399</v>
      </c>
      <c r="R153" s="60"/>
      <c r="S153" s="60"/>
    </row>
    <row r="154" spans="1:19" s="1" customFormat="1" hidden="1" outlineLevel="1" x14ac:dyDescent="0.25">
      <c r="A154" s="7" t="s">
        <v>133</v>
      </c>
      <c r="B154" s="7" t="s">
        <v>134</v>
      </c>
      <c r="C154" s="14">
        <v>381.9</v>
      </c>
      <c r="D154" s="6">
        <v>46.27</v>
      </c>
      <c r="E154" s="6">
        <v>100</v>
      </c>
      <c r="F154" s="6">
        <v>30</v>
      </c>
      <c r="G154" s="6">
        <v>11457</v>
      </c>
      <c r="H154" s="6">
        <v>280</v>
      </c>
      <c r="I154" s="6">
        <v>106932</v>
      </c>
      <c r="J154" s="6">
        <v>1996</v>
      </c>
      <c r="K154" s="6">
        <v>762272.4</v>
      </c>
      <c r="L154" s="6"/>
      <c r="M154" s="6"/>
      <c r="N154" s="6">
        <f t="shared" si="13"/>
        <v>2306</v>
      </c>
      <c r="O154" s="6">
        <f t="shared" si="14"/>
        <v>880661.39999999991</v>
      </c>
      <c r="P154" s="6">
        <v>237</v>
      </c>
      <c r="Q154" s="6">
        <v>79820</v>
      </c>
      <c r="R154" s="60"/>
      <c r="S154" s="60"/>
    </row>
    <row r="155" spans="1:19" s="1" customFormat="1" hidden="1" outlineLevel="1" x14ac:dyDescent="0.25">
      <c r="A155" s="7" t="s">
        <v>792</v>
      </c>
      <c r="B155" s="7" t="s">
        <v>793</v>
      </c>
      <c r="C155" s="14">
        <v>819.72</v>
      </c>
      <c r="D155" s="6">
        <v>1756.93</v>
      </c>
      <c r="E155" s="6">
        <v>81.72</v>
      </c>
      <c r="F155" s="6"/>
      <c r="G155" s="6"/>
      <c r="H155" s="6"/>
      <c r="I155" s="6"/>
      <c r="J155" s="6">
        <v>338</v>
      </c>
      <c r="K155" s="6">
        <v>277065.36</v>
      </c>
      <c r="L155" s="6"/>
      <c r="M155" s="6"/>
      <c r="N155" s="6">
        <f t="shared" si="13"/>
        <v>338</v>
      </c>
      <c r="O155" s="6">
        <f t="shared" si="14"/>
        <v>277065.36</v>
      </c>
      <c r="P155" s="6">
        <v>70</v>
      </c>
      <c r="Q155" s="6">
        <v>71789</v>
      </c>
      <c r="R155" s="60">
        <f t="shared" si="11"/>
        <v>303.37141491123725</v>
      </c>
      <c r="S155" s="60">
        <f t="shared" si="12"/>
        <v>248679.6162310394</v>
      </c>
    </row>
    <row r="156" spans="1:19" s="1" customFormat="1" hidden="1" outlineLevel="1" x14ac:dyDescent="0.25">
      <c r="A156" s="7" t="s">
        <v>231</v>
      </c>
      <c r="B156" s="7" t="s">
        <v>232</v>
      </c>
      <c r="C156" s="14">
        <v>1574.15</v>
      </c>
      <c r="D156" s="6">
        <v>346.33</v>
      </c>
      <c r="E156" s="6">
        <v>100</v>
      </c>
      <c r="F156" s="6">
        <v>3</v>
      </c>
      <c r="G156" s="6">
        <v>4722.45</v>
      </c>
      <c r="H156" s="6"/>
      <c r="I156" s="6"/>
      <c r="J156" s="6">
        <v>0</v>
      </c>
      <c r="K156" s="6">
        <v>0</v>
      </c>
      <c r="L156" s="6"/>
      <c r="M156" s="6"/>
      <c r="N156" s="6">
        <f t="shared" si="13"/>
        <v>3</v>
      </c>
      <c r="O156" s="6">
        <f t="shared" si="14"/>
        <v>4722.4500000000007</v>
      </c>
      <c r="P156" s="6">
        <v>1</v>
      </c>
      <c r="Q156" s="6">
        <v>1763</v>
      </c>
      <c r="R156" s="60"/>
      <c r="S156" s="60"/>
    </row>
    <row r="157" spans="1:19" s="1" customFormat="1" hidden="1" outlineLevel="1" x14ac:dyDescent="0.25">
      <c r="A157" s="7" t="s">
        <v>197</v>
      </c>
      <c r="B157" s="7" t="s">
        <v>198</v>
      </c>
      <c r="C157" s="14">
        <v>72.150000000000006</v>
      </c>
      <c r="D157" s="6">
        <v>159.99</v>
      </c>
      <c r="E157" s="6">
        <v>100</v>
      </c>
      <c r="F157" s="6">
        <v>50</v>
      </c>
      <c r="G157" s="6">
        <v>3607.5</v>
      </c>
      <c r="H157" s="6">
        <v>24</v>
      </c>
      <c r="I157" s="6">
        <v>1731.6</v>
      </c>
      <c r="J157" s="6">
        <v>3096</v>
      </c>
      <c r="K157" s="6">
        <v>223376.40000000002</v>
      </c>
      <c r="L157" s="6"/>
      <c r="M157" s="6"/>
      <c r="N157" s="6">
        <f t="shared" si="13"/>
        <v>3170</v>
      </c>
      <c r="O157" s="6">
        <f t="shared" si="14"/>
        <v>228715.50000000003</v>
      </c>
      <c r="P157" s="6">
        <v>194</v>
      </c>
      <c r="Q157" s="6">
        <v>14505</v>
      </c>
      <c r="R157" s="60"/>
      <c r="S157" s="60"/>
    </row>
    <row r="158" spans="1:19" s="1" customFormat="1" hidden="1" outlineLevel="1" x14ac:dyDescent="0.25">
      <c r="A158" s="7" t="s">
        <v>608</v>
      </c>
      <c r="B158" s="7" t="s">
        <v>609</v>
      </c>
      <c r="C158" s="14">
        <v>1304.03</v>
      </c>
      <c r="D158" s="6">
        <v>32.65</v>
      </c>
      <c r="E158" s="6">
        <v>48.39</v>
      </c>
      <c r="F158" s="6"/>
      <c r="G158" s="6"/>
      <c r="H158" s="6">
        <v>30</v>
      </c>
      <c r="I158" s="6">
        <v>39120.9</v>
      </c>
      <c r="J158" s="6">
        <v>147</v>
      </c>
      <c r="K158" s="6">
        <v>191692.41</v>
      </c>
      <c r="L158" s="6"/>
      <c r="M158" s="6"/>
      <c r="N158" s="6">
        <f t="shared" si="13"/>
        <v>177</v>
      </c>
      <c r="O158" s="6">
        <f t="shared" si="14"/>
        <v>230813.31</v>
      </c>
      <c r="P158" s="6">
        <v>25</v>
      </c>
      <c r="Q158" s="6">
        <v>38091</v>
      </c>
      <c r="R158" s="60"/>
      <c r="S158" s="60"/>
    </row>
    <row r="159" spans="1:19" s="1" customFormat="1" hidden="1" outlineLevel="1" x14ac:dyDescent="0.25">
      <c r="A159" s="7" t="s">
        <v>293</v>
      </c>
      <c r="B159" s="7" t="s">
        <v>294</v>
      </c>
      <c r="C159" s="14">
        <v>461.61</v>
      </c>
      <c r="D159" s="6">
        <v>24.79</v>
      </c>
      <c r="E159" s="6">
        <v>100</v>
      </c>
      <c r="F159" s="6">
        <v>167</v>
      </c>
      <c r="G159" s="6">
        <v>77088.87</v>
      </c>
      <c r="H159" s="6">
        <v>21</v>
      </c>
      <c r="I159" s="6">
        <v>9693.81</v>
      </c>
      <c r="J159" s="6">
        <v>233</v>
      </c>
      <c r="K159" s="6">
        <v>107555.13</v>
      </c>
      <c r="L159" s="6"/>
      <c r="M159" s="6"/>
      <c r="N159" s="6">
        <f t="shared" si="13"/>
        <v>421</v>
      </c>
      <c r="O159" s="6">
        <f t="shared" si="14"/>
        <v>194337.81</v>
      </c>
      <c r="P159" s="6">
        <v>58</v>
      </c>
      <c r="Q159" s="6">
        <v>25284</v>
      </c>
      <c r="R159" s="60"/>
      <c r="S159" s="60"/>
    </row>
    <row r="160" spans="1:19" s="1" customFormat="1" hidden="1" outlineLevel="1" x14ac:dyDescent="0.25">
      <c r="A160" s="7" t="s">
        <v>1155</v>
      </c>
      <c r="B160" s="7" t="s">
        <v>1156</v>
      </c>
      <c r="C160" s="14">
        <v>791.1</v>
      </c>
      <c r="D160" s="6"/>
      <c r="E160" s="6">
        <v>100</v>
      </c>
      <c r="F160" s="6"/>
      <c r="G160" s="6"/>
      <c r="H160" s="6"/>
      <c r="I160" s="6"/>
      <c r="J160" s="6">
        <v>386</v>
      </c>
      <c r="K160" s="6">
        <v>305364.59999999998</v>
      </c>
      <c r="L160" s="6"/>
      <c r="M160" s="6"/>
      <c r="N160" s="6">
        <f t="shared" si="13"/>
        <v>386</v>
      </c>
      <c r="O160" s="6">
        <f t="shared" si="14"/>
        <v>305364.60000000003</v>
      </c>
      <c r="P160" s="6">
        <v>42</v>
      </c>
      <c r="Q160" s="6">
        <v>41203</v>
      </c>
      <c r="R160" s="60"/>
      <c r="S160" s="60"/>
    </row>
    <row r="161" spans="1:19" s="1" customFormat="1" hidden="1" outlineLevel="1" x14ac:dyDescent="0.25">
      <c r="A161" s="7" t="s">
        <v>267</v>
      </c>
      <c r="B161" s="7" t="s">
        <v>268</v>
      </c>
      <c r="C161" s="14">
        <v>389.1</v>
      </c>
      <c r="D161" s="6">
        <v>35.1</v>
      </c>
      <c r="E161" s="6">
        <v>100</v>
      </c>
      <c r="F161" s="6">
        <v>4</v>
      </c>
      <c r="G161" s="6">
        <v>1556.4</v>
      </c>
      <c r="H161" s="6">
        <v>3</v>
      </c>
      <c r="I161" s="6">
        <v>1167.3</v>
      </c>
      <c r="J161" s="6">
        <v>258</v>
      </c>
      <c r="K161" s="6">
        <v>100387.8</v>
      </c>
      <c r="L161" s="6"/>
      <c r="M161" s="6"/>
      <c r="N161" s="6">
        <f t="shared" si="13"/>
        <v>265</v>
      </c>
      <c r="O161" s="6">
        <f t="shared" si="14"/>
        <v>103111.5</v>
      </c>
      <c r="P161" s="6">
        <v>78</v>
      </c>
      <c r="Q161" s="6">
        <v>32233</v>
      </c>
      <c r="R161" s="60"/>
      <c r="S161" s="60"/>
    </row>
    <row r="162" spans="1:19" s="1" customFormat="1" hidden="1" outlineLevel="1" x14ac:dyDescent="0.25">
      <c r="A162" s="7" t="s">
        <v>299</v>
      </c>
      <c r="B162" s="7" t="s">
        <v>300</v>
      </c>
      <c r="C162" s="14">
        <v>371.64</v>
      </c>
      <c r="D162" s="6">
        <v>80.790000000000006</v>
      </c>
      <c r="E162" s="6">
        <v>100</v>
      </c>
      <c r="F162" s="6"/>
      <c r="G162" s="6"/>
      <c r="H162" s="6">
        <v>245</v>
      </c>
      <c r="I162" s="6">
        <v>91051.8</v>
      </c>
      <c r="J162" s="6">
        <v>402</v>
      </c>
      <c r="K162" s="6">
        <v>149399.28</v>
      </c>
      <c r="L162" s="6"/>
      <c r="M162" s="6"/>
      <c r="N162" s="6">
        <f t="shared" si="13"/>
        <v>647</v>
      </c>
      <c r="O162" s="6">
        <f t="shared" si="14"/>
        <v>240451.08</v>
      </c>
      <c r="P162" s="6">
        <v>75</v>
      </c>
      <c r="Q162" s="6">
        <v>28791</v>
      </c>
      <c r="R162" s="60"/>
      <c r="S162" s="60"/>
    </row>
    <row r="163" spans="1:19" s="1" customFormat="1" hidden="1" outlineLevel="1" x14ac:dyDescent="0.25">
      <c r="A163" s="7" t="s">
        <v>600</v>
      </c>
      <c r="B163" s="7" t="s">
        <v>601</v>
      </c>
      <c r="C163" s="14">
        <v>292.02999999999997</v>
      </c>
      <c r="D163" s="6">
        <v>230.23</v>
      </c>
      <c r="E163" s="6">
        <v>100</v>
      </c>
      <c r="F163" s="6">
        <v>85</v>
      </c>
      <c r="G163" s="6">
        <v>24822.55</v>
      </c>
      <c r="H163" s="6">
        <v>285</v>
      </c>
      <c r="I163" s="6">
        <v>83228.55</v>
      </c>
      <c r="J163" s="6">
        <v>1366</v>
      </c>
      <c r="K163" s="6">
        <v>398912.98</v>
      </c>
      <c r="L163" s="6"/>
      <c r="M163" s="6"/>
      <c r="N163" s="6">
        <f t="shared" si="13"/>
        <v>1736</v>
      </c>
      <c r="O163" s="6">
        <f t="shared" si="14"/>
        <v>506964.07999999996</v>
      </c>
      <c r="P163" s="6">
        <v>212</v>
      </c>
      <c r="Q163" s="6">
        <v>80972</v>
      </c>
      <c r="R163" s="60">
        <f t="shared" si="11"/>
        <v>298.02449724188853</v>
      </c>
      <c r="S163" s="60">
        <f t="shared" si="12"/>
        <v>87032.093929548704</v>
      </c>
    </row>
    <row r="164" spans="1:19" s="1" customFormat="1" hidden="1" outlineLevel="1" x14ac:dyDescent="0.25">
      <c r="A164" s="7" t="s">
        <v>784</v>
      </c>
      <c r="B164" s="7" t="s">
        <v>785</v>
      </c>
      <c r="C164" s="14">
        <v>394.36</v>
      </c>
      <c r="D164" s="6">
        <v>1605.62</v>
      </c>
      <c r="E164" s="6">
        <v>100</v>
      </c>
      <c r="F164" s="6"/>
      <c r="G164" s="6"/>
      <c r="H164" s="6">
        <v>25</v>
      </c>
      <c r="I164" s="6">
        <v>9859</v>
      </c>
      <c r="J164" s="6">
        <v>1460</v>
      </c>
      <c r="K164" s="6">
        <v>575765.6</v>
      </c>
      <c r="L164" s="6"/>
      <c r="M164" s="6"/>
      <c r="N164" s="6">
        <f t="shared" si="13"/>
        <v>1485</v>
      </c>
      <c r="O164" s="6">
        <f t="shared" si="14"/>
        <v>585624.6</v>
      </c>
      <c r="P164" s="6">
        <v>57</v>
      </c>
      <c r="Q164" s="6">
        <v>28142</v>
      </c>
      <c r="R164" s="60">
        <f t="shared" si="11"/>
        <v>1296.3249087579877</v>
      </c>
      <c r="S164" s="60">
        <f t="shared" si="12"/>
        <v>511218.69101780007</v>
      </c>
    </row>
    <row r="165" spans="1:19" s="1" customFormat="1" hidden="1" outlineLevel="1" x14ac:dyDescent="0.25">
      <c r="A165" s="7" t="s">
        <v>716</v>
      </c>
      <c r="B165" s="7" t="s">
        <v>717</v>
      </c>
      <c r="C165" s="14">
        <v>878.87</v>
      </c>
      <c r="D165" s="6">
        <v>227.73</v>
      </c>
      <c r="E165" s="6">
        <v>100</v>
      </c>
      <c r="F165" s="6"/>
      <c r="G165" s="6"/>
      <c r="H165" s="6">
        <v>10</v>
      </c>
      <c r="I165" s="6">
        <v>8788.7000000000007</v>
      </c>
      <c r="J165" s="6">
        <v>145</v>
      </c>
      <c r="K165" s="6">
        <v>127436.15</v>
      </c>
      <c r="L165" s="6"/>
      <c r="M165" s="6"/>
      <c r="N165" s="6">
        <f t="shared" si="13"/>
        <v>155</v>
      </c>
      <c r="O165" s="6">
        <f t="shared" si="14"/>
        <v>136224.85</v>
      </c>
      <c r="P165" s="6">
        <v>4</v>
      </c>
      <c r="Q165" s="6">
        <v>3636</v>
      </c>
      <c r="R165" s="60">
        <f t="shared" si="11"/>
        <v>30.390594124621256</v>
      </c>
      <c r="S165" s="60">
        <f t="shared" si="12"/>
        <v>26709.381458305885</v>
      </c>
    </row>
    <row r="166" spans="1:19" s="1" customFormat="1" hidden="1" outlineLevel="1" x14ac:dyDescent="0.25">
      <c r="A166" s="7" t="s">
        <v>301</v>
      </c>
      <c r="B166" s="7" t="s">
        <v>302</v>
      </c>
      <c r="C166" s="14">
        <v>216.86</v>
      </c>
      <c r="D166" s="6">
        <v>103.32</v>
      </c>
      <c r="E166" s="6">
        <v>100</v>
      </c>
      <c r="F166" s="6"/>
      <c r="G166" s="6"/>
      <c r="H166" s="6">
        <v>235</v>
      </c>
      <c r="I166" s="6">
        <v>50962.1</v>
      </c>
      <c r="J166" s="6">
        <v>918</v>
      </c>
      <c r="K166" s="6">
        <v>199077.48</v>
      </c>
      <c r="L166" s="6"/>
      <c r="M166" s="6"/>
      <c r="N166" s="6">
        <f t="shared" si="13"/>
        <v>1153</v>
      </c>
      <c r="O166" s="6">
        <f t="shared" si="14"/>
        <v>250039.58000000002</v>
      </c>
      <c r="P166" s="6">
        <v>123</v>
      </c>
      <c r="Q166" s="6">
        <v>29589</v>
      </c>
      <c r="R166" s="60"/>
      <c r="S166" s="60"/>
    </row>
    <row r="167" spans="1:19" s="1" customFormat="1" hidden="1" outlineLevel="1" x14ac:dyDescent="0.25">
      <c r="A167" s="7" t="s">
        <v>454</v>
      </c>
      <c r="B167" s="7" t="s">
        <v>455</v>
      </c>
      <c r="C167" s="14">
        <v>176.49</v>
      </c>
      <c r="D167" s="6">
        <v>57.18</v>
      </c>
      <c r="E167" s="6">
        <v>100</v>
      </c>
      <c r="F167" s="6"/>
      <c r="G167" s="6"/>
      <c r="H167" s="6">
        <v>94</v>
      </c>
      <c r="I167" s="6">
        <v>16590.060000000001</v>
      </c>
      <c r="J167" s="6">
        <v>640</v>
      </c>
      <c r="K167" s="6">
        <v>112953.60000000001</v>
      </c>
      <c r="L167" s="6"/>
      <c r="M167" s="6"/>
      <c r="N167" s="6">
        <f t="shared" si="13"/>
        <v>734</v>
      </c>
      <c r="O167" s="6">
        <f t="shared" si="14"/>
        <v>129543.66</v>
      </c>
      <c r="P167" s="6">
        <v>87</v>
      </c>
      <c r="Q167" s="6">
        <v>17141</v>
      </c>
      <c r="R167" s="60"/>
      <c r="S167" s="60"/>
    </row>
    <row r="168" spans="1:19" s="1" customFormat="1" hidden="1" outlineLevel="1" x14ac:dyDescent="0.25">
      <c r="A168" s="7" t="s">
        <v>468</v>
      </c>
      <c r="B168" s="7" t="s">
        <v>469</v>
      </c>
      <c r="C168" s="14">
        <v>860.75</v>
      </c>
      <c r="D168" s="6">
        <v>1594.56</v>
      </c>
      <c r="E168" s="6">
        <v>100</v>
      </c>
      <c r="F168" s="6"/>
      <c r="G168" s="6"/>
      <c r="H168" s="6"/>
      <c r="I168" s="6"/>
      <c r="J168" s="6">
        <v>140</v>
      </c>
      <c r="K168" s="6">
        <v>120505</v>
      </c>
      <c r="L168" s="6"/>
      <c r="M168" s="6"/>
      <c r="N168" s="6">
        <f t="shared" si="13"/>
        <v>140</v>
      </c>
      <c r="O168" s="6">
        <f t="shared" si="14"/>
        <v>120505</v>
      </c>
      <c r="P168" s="6">
        <v>14</v>
      </c>
      <c r="Q168" s="6">
        <v>15228</v>
      </c>
      <c r="R168" s="60">
        <f t="shared" si="11"/>
        <v>124.1962673088501</v>
      </c>
      <c r="S168" s="60">
        <f t="shared" si="12"/>
        <v>106901.93708609272</v>
      </c>
    </row>
    <row r="169" spans="1:19" s="1" customFormat="1" hidden="1" outlineLevel="1" x14ac:dyDescent="0.25">
      <c r="A169" s="7" t="s">
        <v>95</v>
      </c>
      <c r="B169" s="7" t="s">
        <v>96</v>
      </c>
      <c r="C169" s="14">
        <v>342.72</v>
      </c>
      <c r="D169" s="6">
        <v>34.880000000000003</v>
      </c>
      <c r="E169" s="6">
        <v>100</v>
      </c>
      <c r="F169" s="6">
        <v>6</v>
      </c>
      <c r="G169" s="6">
        <v>2056.3200000000002</v>
      </c>
      <c r="H169" s="6">
        <v>2</v>
      </c>
      <c r="I169" s="6">
        <v>685.44</v>
      </c>
      <c r="J169" s="6">
        <v>189</v>
      </c>
      <c r="K169" s="6">
        <v>64774.080000000002</v>
      </c>
      <c r="L169" s="6"/>
      <c r="M169" s="6"/>
      <c r="N169" s="6">
        <f t="shared" si="13"/>
        <v>197</v>
      </c>
      <c r="O169" s="6">
        <f t="shared" si="14"/>
        <v>67515.840000000011</v>
      </c>
      <c r="P169" s="6">
        <v>60</v>
      </c>
      <c r="Q169" s="6">
        <v>19886</v>
      </c>
      <c r="R169" s="60"/>
      <c r="S169" s="60"/>
    </row>
    <row r="170" spans="1:19" s="1" customFormat="1" hidden="1" outlineLevel="1" x14ac:dyDescent="0.25">
      <c r="A170" s="7" t="s">
        <v>718</v>
      </c>
      <c r="B170" s="7" t="s">
        <v>719</v>
      </c>
      <c r="C170" s="14">
        <v>878.87</v>
      </c>
      <c r="D170" s="6">
        <v>195.95</v>
      </c>
      <c r="E170" s="6">
        <v>100</v>
      </c>
      <c r="F170" s="6"/>
      <c r="G170" s="6"/>
      <c r="H170" s="6">
        <v>10</v>
      </c>
      <c r="I170" s="6">
        <v>8788.7000000000007</v>
      </c>
      <c r="J170" s="6">
        <v>158</v>
      </c>
      <c r="K170" s="6">
        <v>138861.46</v>
      </c>
      <c r="L170" s="6"/>
      <c r="M170" s="6"/>
      <c r="N170" s="6">
        <f t="shared" si="13"/>
        <v>168</v>
      </c>
      <c r="O170" s="6">
        <f t="shared" si="14"/>
        <v>147650.16</v>
      </c>
      <c r="P170" s="6">
        <v>7</v>
      </c>
      <c r="Q170" s="6">
        <v>5947</v>
      </c>
      <c r="R170" s="60">
        <f t="shared" ref="R170:R220" si="15">J170/D170*(D170-180)</f>
        <v>12.860933911712163</v>
      </c>
      <c r="S170" s="60">
        <f t="shared" ref="S170:S220" si="16">R170*C170</f>
        <v>11303.088986986468</v>
      </c>
    </row>
    <row r="171" spans="1:19" s="1" customFormat="1" hidden="1" outlineLevel="1" x14ac:dyDescent="0.25">
      <c r="A171" s="7" t="s">
        <v>720</v>
      </c>
      <c r="B171" s="7" t="s">
        <v>721</v>
      </c>
      <c r="C171" s="14">
        <v>976.52</v>
      </c>
      <c r="D171" s="6">
        <v>256.89999999999998</v>
      </c>
      <c r="E171" s="6">
        <v>100</v>
      </c>
      <c r="F171" s="6"/>
      <c r="G171" s="6"/>
      <c r="H171" s="6"/>
      <c r="I171" s="6"/>
      <c r="J171" s="6">
        <v>272</v>
      </c>
      <c r="K171" s="6">
        <v>265613.44</v>
      </c>
      <c r="L171" s="6"/>
      <c r="M171" s="6"/>
      <c r="N171" s="6">
        <f t="shared" si="13"/>
        <v>272</v>
      </c>
      <c r="O171" s="6">
        <f t="shared" si="14"/>
        <v>265613.44</v>
      </c>
      <c r="P171" s="6">
        <v>8</v>
      </c>
      <c r="Q171" s="6">
        <v>7405</v>
      </c>
      <c r="R171" s="60">
        <f t="shared" si="15"/>
        <v>81.420007785130394</v>
      </c>
      <c r="S171" s="60">
        <f t="shared" si="16"/>
        <v>79508.266002335527</v>
      </c>
    </row>
    <row r="172" spans="1:19" s="1" customFormat="1" hidden="1" outlineLevel="1" x14ac:dyDescent="0.25">
      <c r="A172" s="7" t="s">
        <v>814</v>
      </c>
      <c r="B172" s="7" t="s">
        <v>815</v>
      </c>
      <c r="C172" s="14">
        <v>107.12</v>
      </c>
      <c r="D172" s="6">
        <v>79.47</v>
      </c>
      <c r="E172" s="6">
        <v>100</v>
      </c>
      <c r="F172" s="6">
        <v>100</v>
      </c>
      <c r="G172" s="6">
        <v>10712</v>
      </c>
      <c r="H172" s="6">
        <v>50</v>
      </c>
      <c r="I172" s="6">
        <v>5356</v>
      </c>
      <c r="J172" s="6">
        <v>1929</v>
      </c>
      <c r="K172" s="6">
        <v>206634.48</v>
      </c>
      <c r="L172" s="6"/>
      <c r="M172" s="6"/>
      <c r="N172" s="6">
        <f t="shared" si="13"/>
        <v>2079</v>
      </c>
      <c r="O172" s="6">
        <f t="shared" si="14"/>
        <v>222702.48</v>
      </c>
      <c r="P172" s="6">
        <v>237</v>
      </c>
      <c r="Q172" s="6">
        <v>26086</v>
      </c>
      <c r="R172" s="60"/>
      <c r="S172" s="60"/>
    </row>
    <row r="173" spans="1:19" s="1" customFormat="1" hidden="1" outlineLevel="1" x14ac:dyDescent="0.25">
      <c r="A173" s="7" t="s">
        <v>700</v>
      </c>
      <c r="B173" s="7" t="s">
        <v>701</v>
      </c>
      <c r="C173" s="14">
        <v>642.26</v>
      </c>
      <c r="D173" s="6">
        <v>745.67</v>
      </c>
      <c r="E173" s="6">
        <v>62.37</v>
      </c>
      <c r="F173" s="6"/>
      <c r="G173" s="6"/>
      <c r="H173" s="6"/>
      <c r="I173" s="6"/>
      <c r="J173" s="6">
        <v>384</v>
      </c>
      <c r="K173" s="6">
        <v>246627.84</v>
      </c>
      <c r="L173" s="6"/>
      <c r="M173" s="6"/>
      <c r="N173" s="6">
        <f t="shared" si="13"/>
        <v>384</v>
      </c>
      <c r="O173" s="6">
        <f t="shared" si="14"/>
        <v>246627.84</v>
      </c>
      <c r="P173" s="6">
        <v>25</v>
      </c>
      <c r="Q173" s="6">
        <v>19758</v>
      </c>
      <c r="R173" s="60">
        <f t="shared" si="15"/>
        <v>291.30483994260192</v>
      </c>
      <c r="S173" s="60">
        <f t="shared" si="16"/>
        <v>187093.44650153551</v>
      </c>
    </row>
    <row r="174" spans="1:19" s="1" customFormat="1" hidden="1" outlineLevel="1" x14ac:dyDescent="0.25">
      <c r="A174" s="7" t="s">
        <v>734</v>
      </c>
      <c r="B174" s="7" t="s">
        <v>735</v>
      </c>
      <c r="C174" s="14">
        <v>150</v>
      </c>
      <c r="D174" s="6">
        <v>135</v>
      </c>
      <c r="E174" s="6">
        <v>36.56</v>
      </c>
      <c r="F174" s="6">
        <v>310</v>
      </c>
      <c r="G174" s="6">
        <v>46500</v>
      </c>
      <c r="H174" s="6">
        <v>10</v>
      </c>
      <c r="I174" s="6">
        <v>1500</v>
      </c>
      <c r="J174" s="6">
        <v>483</v>
      </c>
      <c r="K174" s="6">
        <v>72450</v>
      </c>
      <c r="L174" s="6"/>
      <c r="M174" s="6"/>
      <c r="N174" s="6">
        <f t="shared" si="13"/>
        <v>803</v>
      </c>
      <c r="O174" s="6">
        <f t="shared" si="14"/>
        <v>120450</v>
      </c>
      <c r="P174" s="6">
        <v>3</v>
      </c>
      <c r="Q174" s="6">
        <v>526</v>
      </c>
      <c r="R174" s="60"/>
      <c r="S174" s="60"/>
    </row>
    <row r="175" spans="1:19" s="1" customFormat="1" hidden="1" outlineLevel="1" x14ac:dyDescent="0.25">
      <c r="A175" s="7" t="s">
        <v>1239</v>
      </c>
      <c r="B175" s="7" t="s">
        <v>1240</v>
      </c>
      <c r="C175" s="14">
        <v>235</v>
      </c>
      <c r="D175" s="6">
        <v>44.41</v>
      </c>
      <c r="E175" s="6">
        <v>100</v>
      </c>
      <c r="F175" s="6">
        <v>107</v>
      </c>
      <c r="G175" s="6">
        <v>25145</v>
      </c>
      <c r="H175" s="6"/>
      <c r="I175" s="6"/>
      <c r="J175" s="6">
        <v>0</v>
      </c>
      <c r="K175" s="6">
        <v>0</v>
      </c>
      <c r="L175" s="6"/>
      <c r="M175" s="6"/>
      <c r="N175" s="6">
        <f t="shared" si="13"/>
        <v>107</v>
      </c>
      <c r="O175" s="6">
        <f t="shared" si="14"/>
        <v>25145</v>
      </c>
      <c r="P175" s="6">
        <v>14</v>
      </c>
      <c r="Q175" s="6">
        <v>3864</v>
      </c>
      <c r="R175" s="60"/>
      <c r="S175" s="60"/>
    </row>
    <row r="176" spans="1:19" s="1" customFormat="1" hidden="1" outlineLevel="1" x14ac:dyDescent="0.25">
      <c r="A176" s="7" t="s">
        <v>748</v>
      </c>
      <c r="B176" s="7" t="s">
        <v>749</v>
      </c>
      <c r="C176" s="14">
        <v>182.16</v>
      </c>
      <c r="D176" s="6">
        <v>70.42</v>
      </c>
      <c r="E176" s="6">
        <v>100</v>
      </c>
      <c r="F176" s="6"/>
      <c r="G176" s="6"/>
      <c r="H176" s="6">
        <v>50</v>
      </c>
      <c r="I176" s="6">
        <v>9108</v>
      </c>
      <c r="J176" s="6">
        <v>580</v>
      </c>
      <c r="K176" s="6">
        <v>105652.8</v>
      </c>
      <c r="L176" s="6"/>
      <c r="M176" s="6"/>
      <c r="N176" s="6">
        <f t="shared" si="13"/>
        <v>630</v>
      </c>
      <c r="O176" s="6">
        <f t="shared" si="14"/>
        <v>114760.8</v>
      </c>
      <c r="P176" s="6">
        <v>107</v>
      </c>
      <c r="Q176" s="6">
        <v>19036</v>
      </c>
      <c r="R176" s="60"/>
      <c r="S176" s="60"/>
    </row>
    <row r="177" spans="1:19" s="1" customFormat="1" hidden="1" outlineLevel="1" x14ac:dyDescent="0.25">
      <c r="A177" s="7" t="s">
        <v>422</v>
      </c>
      <c r="B177" s="7" t="s">
        <v>423</v>
      </c>
      <c r="C177" s="14">
        <v>147.07</v>
      </c>
      <c r="D177" s="6">
        <v>45.84</v>
      </c>
      <c r="E177" s="6">
        <v>100</v>
      </c>
      <c r="F177" s="6">
        <v>53</v>
      </c>
      <c r="G177" s="6">
        <v>7794.71</v>
      </c>
      <c r="H177" s="6">
        <v>76</v>
      </c>
      <c r="I177" s="6">
        <v>11177.32</v>
      </c>
      <c r="J177" s="6">
        <v>113</v>
      </c>
      <c r="K177" s="6">
        <v>16618.91</v>
      </c>
      <c r="L177" s="6"/>
      <c r="M177" s="6"/>
      <c r="N177" s="6">
        <f t="shared" si="13"/>
        <v>242</v>
      </c>
      <c r="O177" s="6">
        <f t="shared" si="14"/>
        <v>35590.939999999995</v>
      </c>
      <c r="P177" s="6">
        <v>95</v>
      </c>
      <c r="Q177" s="6">
        <v>15724</v>
      </c>
      <c r="R177" s="60"/>
      <c r="S177" s="60"/>
    </row>
    <row r="178" spans="1:19" s="1" customFormat="1" hidden="1" outlineLevel="1" x14ac:dyDescent="0.25">
      <c r="A178" s="7" t="s">
        <v>586</v>
      </c>
      <c r="B178" s="7" t="s">
        <v>587</v>
      </c>
      <c r="C178" s="14">
        <v>490.01</v>
      </c>
      <c r="D178" s="6">
        <v>240.64</v>
      </c>
      <c r="E178" s="6">
        <v>100</v>
      </c>
      <c r="F178" s="6"/>
      <c r="G178" s="6"/>
      <c r="H178" s="6">
        <v>2</v>
      </c>
      <c r="I178" s="6">
        <v>980.02</v>
      </c>
      <c r="J178" s="6">
        <v>258</v>
      </c>
      <c r="K178" s="6">
        <v>126422.58</v>
      </c>
      <c r="L178" s="6"/>
      <c r="M178" s="6"/>
      <c r="N178" s="6">
        <f t="shared" si="13"/>
        <v>260</v>
      </c>
      <c r="O178" s="6">
        <f t="shared" si="14"/>
        <v>127402.59999999999</v>
      </c>
      <c r="P178" s="6">
        <v>9</v>
      </c>
      <c r="Q178" s="6">
        <v>4288</v>
      </c>
      <c r="R178" s="60">
        <f t="shared" si="15"/>
        <v>65.014627659574458</v>
      </c>
      <c r="S178" s="60">
        <f t="shared" si="16"/>
        <v>31857.81769946808</v>
      </c>
    </row>
    <row r="179" spans="1:19" s="1" customFormat="1" hidden="1" outlineLevel="1" x14ac:dyDescent="0.25">
      <c r="A179" s="7" t="s">
        <v>1243</v>
      </c>
      <c r="B179" s="7" t="s">
        <v>1244</v>
      </c>
      <c r="C179" s="14">
        <v>245</v>
      </c>
      <c r="D179" s="6">
        <v>651.04</v>
      </c>
      <c r="E179" s="6">
        <v>100</v>
      </c>
      <c r="F179" s="6"/>
      <c r="G179" s="6"/>
      <c r="H179" s="6"/>
      <c r="I179" s="6"/>
      <c r="J179" s="6">
        <v>117</v>
      </c>
      <c r="K179" s="6">
        <v>28665</v>
      </c>
      <c r="L179" s="6"/>
      <c r="M179" s="6"/>
      <c r="N179" s="6">
        <f t="shared" si="13"/>
        <v>117</v>
      </c>
      <c r="O179" s="6">
        <f t="shared" si="14"/>
        <v>28665</v>
      </c>
      <c r="P179" s="6">
        <v>33</v>
      </c>
      <c r="Q179" s="6">
        <v>9924</v>
      </c>
      <c r="R179" s="60">
        <f t="shared" si="15"/>
        <v>84.651757188498394</v>
      </c>
      <c r="S179" s="60">
        <f t="shared" si="16"/>
        <v>20739.680511182105</v>
      </c>
    </row>
    <row r="180" spans="1:19" s="1" customFormat="1" hidden="1" outlineLevel="1" x14ac:dyDescent="0.25">
      <c r="A180" s="7" t="s">
        <v>931</v>
      </c>
      <c r="B180" s="7" t="s">
        <v>932</v>
      </c>
      <c r="C180" s="14">
        <v>73</v>
      </c>
      <c r="D180" s="6">
        <v>55182.11</v>
      </c>
      <c r="E180" s="6">
        <v>100</v>
      </c>
      <c r="F180" s="6">
        <v>50</v>
      </c>
      <c r="G180" s="6">
        <v>3650</v>
      </c>
      <c r="H180" s="6"/>
      <c r="I180" s="6"/>
      <c r="J180" s="6">
        <v>4861</v>
      </c>
      <c r="K180" s="6">
        <v>354853</v>
      </c>
      <c r="L180" s="6"/>
      <c r="M180" s="6"/>
      <c r="N180" s="6">
        <f t="shared" si="13"/>
        <v>4911</v>
      </c>
      <c r="O180" s="6">
        <f t="shared" si="14"/>
        <v>358503</v>
      </c>
      <c r="P180" s="6">
        <v>249</v>
      </c>
      <c r="Q180" s="6">
        <v>22750</v>
      </c>
      <c r="R180" s="60">
        <f t="shared" si="15"/>
        <v>4845.1437741325954</v>
      </c>
      <c r="S180" s="60">
        <f t="shared" si="16"/>
        <v>353695.49551167944</v>
      </c>
    </row>
    <row r="181" spans="1:19" s="1" customFormat="1" hidden="1" outlineLevel="1" x14ac:dyDescent="0.25">
      <c r="A181" s="7" t="s">
        <v>235</v>
      </c>
      <c r="B181" s="7" t="s">
        <v>236</v>
      </c>
      <c r="C181" s="14">
        <v>1918.62</v>
      </c>
      <c r="D181" s="6">
        <v>1269.58</v>
      </c>
      <c r="E181" s="6">
        <v>100</v>
      </c>
      <c r="F181" s="6"/>
      <c r="G181" s="6"/>
      <c r="H181" s="6"/>
      <c r="I181" s="6"/>
      <c r="J181" s="6">
        <v>306</v>
      </c>
      <c r="K181" s="6">
        <v>587097.72</v>
      </c>
      <c r="L181" s="6"/>
      <c r="M181" s="6"/>
      <c r="N181" s="6">
        <f t="shared" si="13"/>
        <v>306</v>
      </c>
      <c r="O181" s="6">
        <f t="shared" si="14"/>
        <v>587097.72</v>
      </c>
      <c r="P181" s="6">
        <v>7</v>
      </c>
      <c r="Q181" s="6">
        <v>16087</v>
      </c>
      <c r="R181" s="60">
        <f t="shared" si="15"/>
        <v>262.61557365427933</v>
      </c>
      <c r="S181" s="60">
        <f t="shared" si="16"/>
        <v>503859.49192457338</v>
      </c>
    </row>
    <row r="182" spans="1:19" s="1" customFormat="1" hidden="1" outlineLevel="1" x14ac:dyDescent="0.25">
      <c r="A182" s="7" t="s">
        <v>774</v>
      </c>
      <c r="B182" s="7" t="s">
        <v>775</v>
      </c>
      <c r="C182" s="14">
        <v>220.66</v>
      </c>
      <c r="D182" s="6">
        <v>435.56</v>
      </c>
      <c r="E182" s="6">
        <v>100</v>
      </c>
      <c r="F182" s="6"/>
      <c r="G182" s="6"/>
      <c r="H182" s="6"/>
      <c r="I182" s="6"/>
      <c r="J182" s="6">
        <v>1304</v>
      </c>
      <c r="K182" s="6">
        <v>287740.64</v>
      </c>
      <c r="L182" s="6"/>
      <c r="M182" s="6"/>
      <c r="N182" s="6">
        <f t="shared" si="13"/>
        <v>1304</v>
      </c>
      <c r="O182" s="6">
        <f t="shared" si="14"/>
        <v>287740.64</v>
      </c>
      <c r="P182" s="6">
        <v>46</v>
      </c>
      <c r="Q182" s="6">
        <v>11795</v>
      </c>
      <c r="R182" s="60">
        <f t="shared" si="15"/>
        <v>765.10753971898248</v>
      </c>
      <c r="S182" s="60">
        <f t="shared" si="16"/>
        <v>168828.62971439067</v>
      </c>
    </row>
    <row r="183" spans="1:19" s="1" customFormat="1" hidden="1" outlineLevel="1" x14ac:dyDescent="0.25">
      <c r="A183" s="7" t="s">
        <v>953</v>
      </c>
      <c r="B183" s="7" t="s">
        <v>954</v>
      </c>
      <c r="C183" s="14">
        <v>375.58</v>
      </c>
      <c r="D183" s="6">
        <v>120.6</v>
      </c>
      <c r="E183" s="6">
        <v>100</v>
      </c>
      <c r="F183" s="6">
        <v>18</v>
      </c>
      <c r="G183" s="6">
        <v>6760.44</v>
      </c>
      <c r="H183" s="6"/>
      <c r="I183" s="6"/>
      <c r="J183" s="6">
        <v>291</v>
      </c>
      <c r="K183" s="6">
        <v>109293.78</v>
      </c>
      <c r="L183" s="6">
        <v>250</v>
      </c>
      <c r="M183" s="6">
        <v>93895</v>
      </c>
      <c r="N183" s="6">
        <f t="shared" si="13"/>
        <v>559</v>
      </c>
      <c r="O183" s="6">
        <f t="shared" si="14"/>
        <v>209949.22</v>
      </c>
      <c r="P183" s="6">
        <v>104</v>
      </c>
      <c r="Q183" s="6">
        <v>46830</v>
      </c>
      <c r="R183" s="60"/>
      <c r="S183" s="60"/>
    </row>
    <row r="184" spans="1:19" s="1" customFormat="1" hidden="1" outlineLevel="1" x14ac:dyDescent="0.25">
      <c r="A184" s="7" t="s">
        <v>37</v>
      </c>
      <c r="B184" s="7" t="s">
        <v>38</v>
      </c>
      <c r="C184" s="14">
        <v>76.88</v>
      </c>
      <c r="D184" s="6">
        <v>67.5</v>
      </c>
      <c r="E184" s="6">
        <v>81.72</v>
      </c>
      <c r="F184" s="6"/>
      <c r="G184" s="6"/>
      <c r="H184" s="6">
        <v>350</v>
      </c>
      <c r="I184" s="6">
        <v>26908</v>
      </c>
      <c r="J184" s="6">
        <v>4537</v>
      </c>
      <c r="K184" s="6">
        <v>348804.56</v>
      </c>
      <c r="L184" s="6"/>
      <c r="M184" s="6"/>
      <c r="N184" s="6">
        <f t="shared" si="13"/>
        <v>4887</v>
      </c>
      <c r="O184" s="6">
        <f t="shared" si="14"/>
        <v>375712.56</v>
      </c>
      <c r="P184" s="6">
        <v>100</v>
      </c>
      <c r="Q184" s="6">
        <v>8201</v>
      </c>
      <c r="R184" s="60"/>
      <c r="S184" s="60"/>
    </row>
    <row r="185" spans="1:19" s="1" customFormat="1" hidden="1" outlineLevel="1" x14ac:dyDescent="0.25">
      <c r="A185" s="7" t="s">
        <v>742</v>
      </c>
      <c r="B185" s="7" t="s">
        <v>743</v>
      </c>
      <c r="C185" s="14">
        <v>309.36</v>
      </c>
      <c r="D185" s="6">
        <v>210.41</v>
      </c>
      <c r="E185" s="6">
        <v>100</v>
      </c>
      <c r="F185" s="6"/>
      <c r="G185" s="6"/>
      <c r="H185" s="6">
        <v>10</v>
      </c>
      <c r="I185" s="6">
        <v>3093.6</v>
      </c>
      <c r="J185" s="6">
        <v>200</v>
      </c>
      <c r="K185" s="6">
        <v>61872</v>
      </c>
      <c r="L185" s="6"/>
      <c r="M185" s="6"/>
      <c r="N185" s="6">
        <f t="shared" si="13"/>
        <v>210</v>
      </c>
      <c r="O185" s="6">
        <f t="shared" si="14"/>
        <v>64965.600000000006</v>
      </c>
      <c r="P185" s="6">
        <v>80</v>
      </c>
      <c r="Q185" s="6">
        <v>29837</v>
      </c>
      <c r="R185" s="60">
        <f t="shared" si="15"/>
        <v>28.905470272325456</v>
      </c>
      <c r="S185" s="60">
        <f t="shared" si="16"/>
        <v>8942.196283446603</v>
      </c>
    </row>
    <row r="186" spans="1:19" s="1" customFormat="1" hidden="1" outlineLevel="1" x14ac:dyDescent="0.25">
      <c r="A186" s="7" t="s">
        <v>1305</v>
      </c>
      <c r="B186" s="7" t="s">
        <v>1306</v>
      </c>
      <c r="C186" s="14">
        <v>171.35</v>
      </c>
      <c r="D186" s="6">
        <v>210.55</v>
      </c>
      <c r="E186" s="6">
        <v>100</v>
      </c>
      <c r="F186" s="6"/>
      <c r="G186" s="6"/>
      <c r="H186" s="6"/>
      <c r="I186" s="6"/>
      <c r="J186" s="6">
        <v>899</v>
      </c>
      <c r="K186" s="6">
        <v>154043.65</v>
      </c>
      <c r="L186" s="6"/>
      <c r="M186" s="6"/>
      <c r="N186" s="6">
        <f t="shared" si="13"/>
        <v>899</v>
      </c>
      <c r="O186" s="6">
        <f t="shared" si="14"/>
        <v>154043.65</v>
      </c>
      <c r="P186" s="6">
        <v>222</v>
      </c>
      <c r="Q186" s="6">
        <v>46116</v>
      </c>
      <c r="R186" s="60">
        <f t="shared" si="15"/>
        <v>130.44146283543105</v>
      </c>
      <c r="S186" s="60">
        <f t="shared" si="16"/>
        <v>22351.144656851109</v>
      </c>
    </row>
    <row r="187" spans="1:19" s="1" customFormat="1" hidden="1" outlineLevel="1" x14ac:dyDescent="0.25">
      <c r="A187" s="7" t="s">
        <v>103</v>
      </c>
      <c r="B187" s="7" t="s">
        <v>104</v>
      </c>
      <c r="C187" s="14">
        <v>186.8</v>
      </c>
      <c r="D187" s="6">
        <v>101.68</v>
      </c>
      <c r="E187" s="6">
        <v>100</v>
      </c>
      <c r="F187" s="6"/>
      <c r="G187" s="6"/>
      <c r="H187" s="6">
        <v>460</v>
      </c>
      <c r="I187" s="6">
        <v>85928</v>
      </c>
      <c r="J187" s="6">
        <v>193</v>
      </c>
      <c r="K187" s="6">
        <v>36052.400000000001</v>
      </c>
      <c r="L187" s="6"/>
      <c r="M187" s="6"/>
      <c r="N187" s="6">
        <f t="shared" si="13"/>
        <v>653</v>
      </c>
      <c r="O187" s="6">
        <f t="shared" si="14"/>
        <v>121980.40000000001</v>
      </c>
      <c r="P187" s="6">
        <v>257</v>
      </c>
      <c r="Q187" s="6">
        <v>59572</v>
      </c>
      <c r="R187" s="60"/>
      <c r="S187" s="60"/>
    </row>
    <row r="188" spans="1:19" s="1" customFormat="1" hidden="1" outlineLevel="1" x14ac:dyDescent="0.25">
      <c r="A188" s="7" t="s">
        <v>424</v>
      </c>
      <c r="B188" s="7" t="s">
        <v>425</v>
      </c>
      <c r="C188" s="14">
        <v>174.64</v>
      </c>
      <c r="D188" s="6">
        <v>28.52</v>
      </c>
      <c r="E188" s="6">
        <v>100</v>
      </c>
      <c r="F188" s="6"/>
      <c r="G188" s="6"/>
      <c r="H188" s="6">
        <v>53</v>
      </c>
      <c r="I188" s="6">
        <v>9255.92</v>
      </c>
      <c r="J188" s="6">
        <v>254</v>
      </c>
      <c r="K188" s="6">
        <v>44358.559999999998</v>
      </c>
      <c r="L188" s="6"/>
      <c r="M188" s="6"/>
      <c r="N188" s="6">
        <f t="shared" si="13"/>
        <v>307</v>
      </c>
      <c r="O188" s="6">
        <f t="shared" si="14"/>
        <v>53614.479999999996</v>
      </c>
      <c r="P188" s="6">
        <v>138</v>
      </c>
      <c r="Q188" s="6">
        <v>27055</v>
      </c>
      <c r="R188" s="60"/>
      <c r="S188" s="60"/>
    </row>
    <row r="189" spans="1:19" s="1" customFormat="1" hidden="1" outlineLevel="1" x14ac:dyDescent="0.25">
      <c r="A189" s="7" t="s">
        <v>31</v>
      </c>
      <c r="B189" s="7" t="s">
        <v>32</v>
      </c>
      <c r="C189" s="14">
        <v>50.54</v>
      </c>
      <c r="D189" s="6">
        <v>54.7</v>
      </c>
      <c r="E189" s="6">
        <v>100</v>
      </c>
      <c r="F189" s="6">
        <v>327</v>
      </c>
      <c r="G189" s="6">
        <v>16526.580000000002</v>
      </c>
      <c r="H189" s="6">
        <v>500</v>
      </c>
      <c r="I189" s="6">
        <v>25270</v>
      </c>
      <c r="J189" s="6">
        <v>1690</v>
      </c>
      <c r="K189" s="6">
        <v>85412.6</v>
      </c>
      <c r="L189" s="6"/>
      <c r="M189" s="6"/>
      <c r="N189" s="6">
        <f t="shared" si="13"/>
        <v>2517</v>
      </c>
      <c r="O189" s="6">
        <f t="shared" si="14"/>
        <v>127209.18</v>
      </c>
      <c r="P189" s="6">
        <v>545</v>
      </c>
      <c r="Q189" s="6">
        <v>28817</v>
      </c>
      <c r="R189" s="60"/>
      <c r="S189" s="60"/>
    </row>
    <row r="190" spans="1:19" s="1" customFormat="1" hidden="1" outlineLevel="1" x14ac:dyDescent="0.25">
      <c r="A190" s="7" t="s">
        <v>1141</v>
      </c>
      <c r="B190" s="7" t="s">
        <v>1142</v>
      </c>
      <c r="C190" s="14">
        <v>591.54999999999995</v>
      </c>
      <c r="D190" s="6"/>
      <c r="E190" s="6">
        <v>100</v>
      </c>
      <c r="F190" s="6"/>
      <c r="G190" s="6"/>
      <c r="H190" s="6"/>
      <c r="I190" s="6"/>
      <c r="J190" s="6">
        <v>418</v>
      </c>
      <c r="K190" s="6">
        <v>247267.9</v>
      </c>
      <c r="L190" s="6"/>
      <c r="M190" s="6"/>
      <c r="N190" s="6">
        <f t="shared" si="13"/>
        <v>418</v>
      </c>
      <c r="O190" s="6">
        <f t="shared" si="14"/>
        <v>247267.9</v>
      </c>
      <c r="P190" s="6">
        <v>27</v>
      </c>
      <c r="Q190" s="6">
        <v>20211</v>
      </c>
      <c r="R190" s="60"/>
      <c r="S190" s="60"/>
    </row>
    <row r="191" spans="1:19" s="1" customFormat="1" hidden="1" outlineLevel="1" x14ac:dyDescent="0.25">
      <c r="A191" s="7" t="s">
        <v>873</v>
      </c>
      <c r="B191" s="7" t="s">
        <v>874</v>
      </c>
      <c r="C191" s="14">
        <v>210.68</v>
      </c>
      <c r="D191" s="6">
        <v>113.24</v>
      </c>
      <c r="E191" s="6">
        <v>100</v>
      </c>
      <c r="F191" s="6">
        <v>28</v>
      </c>
      <c r="G191" s="6">
        <v>5899.04</v>
      </c>
      <c r="H191" s="6">
        <v>25</v>
      </c>
      <c r="I191" s="6">
        <v>5267</v>
      </c>
      <c r="J191" s="6">
        <v>467</v>
      </c>
      <c r="K191" s="6">
        <v>98387.56</v>
      </c>
      <c r="L191" s="6"/>
      <c r="M191" s="6"/>
      <c r="N191" s="6">
        <f t="shared" si="13"/>
        <v>520</v>
      </c>
      <c r="O191" s="6">
        <f t="shared" si="14"/>
        <v>109553.60000000001</v>
      </c>
      <c r="P191" s="6">
        <v>181</v>
      </c>
      <c r="Q191" s="6">
        <v>45683</v>
      </c>
      <c r="R191" s="60"/>
      <c r="S191" s="60"/>
    </row>
    <row r="192" spans="1:19" s="1" customFormat="1" hidden="1" outlineLevel="1" x14ac:dyDescent="0.25">
      <c r="A192" s="7" t="s">
        <v>750</v>
      </c>
      <c r="B192" s="7" t="s">
        <v>751</v>
      </c>
      <c r="C192" s="14">
        <v>192.48</v>
      </c>
      <c r="D192" s="6">
        <v>192.24</v>
      </c>
      <c r="E192" s="6">
        <v>100</v>
      </c>
      <c r="F192" s="6"/>
      <c r="G192" s="6"/>
      <c r="H192" s="6">
        <v>40</v>
      </c>
      <c r="I192" s="6">
        <v>7699.2</v>
      </c>
      <c r="J192" s="6">
        <v>3246</v>
      </c>
      <c r="K192" s="6">
        <v>624790.07999999996</v>
      </c>
      <c r="L192" s="6"/>
      <c r="M192" s="6"/>
      <c r="N192" s="6">
        <f t="shared" si="13"/>
        <v>3286</v>
      </c>
      <c r="O192" s="6">
        <f t="shared" si="14"/>
        <v>632489.27999999991</v>
      </c>
      <c r="P192" s="6">
        <v>113</v>
      </c>
      <c r="Q192" s="6">
        <v>21728</v>
      </c>
      <c r="R192" s="60">
        <f t="shared" si="15"/>
        <v>206.67415730337095</v>
      </c>
      <c r="S192" s="60">
        <f t="shared" si="16"/>
        <v>39780.64179775284</v>
      </c>
    </row>
    <row r="193" spans="1:19" s="1" customFormat="1" hidden="1" outlineLevel="1" x14ac:dyDescent="0.25">
      <c r="A193" s="7" t="s">
        <v>452</v>
      </c>
      <c r="B193" s="7" t="s">
        <v>453</v>
      </c>
      <c r="C193" s="14">
        <v>148.91</v>
      </c>
      <c r="D193" s="6">
        <v>5.54</v>
      </c>
      <c r="E193" s="6">
        <v>32.26</v>
      </c>
      <c r="F193" s="6"/>
      <c r="G193" s="6"/>
      <c r="H193" s="6">
        <v>1</v>
      </c>
      <c r="I193" s="6">
        <v>148.91</v>
      </c>
      <c r="J193" s="6">
        <v>50</v>
      </c>
      <c r="K193" s="6">
        <v>7445.5</v>
      </c>
      <c r="L193" s="6"/>
      <c r="M193" s="6"/>
      <c r="N193" s="6">
        <f t="shared" si="13"/>
        <v>51</v>
      </c>
      <c r="O193" s="6">
        <f t="shared" si="14"/>
        <v>7594.41</v>
      </c>
      <c r="P193" s="6">
        <v>99</v>
      </c>
      <c r="Q193" s="6">
        <v>11752</v>
      </c>
      <c r="R193" s="60"/>
      <c r="S193" s="60"/>
    </row>
    <row r="194" spans="1:19" s="1" customFormat="1" hidden="1" outlineLevel="1" x14ac:dyDescent="0.25">
      <c r="A194" s="7" t="s">
        <v>732</v>
      </c>
      <c r="B194" s="7" t="s">
        <v>733</v>
      </c>
      <c r="C194" s="14">
        <v>208.45</v>
      </c>
      <c r="D194" s="6">
        <v>270.41000000000003</v>
      </c>
      <c r="E194" s="6">
        <v>100</v>
      </c>
      <c r="F194" s="6"/>
      <c r="G194" s="6"/>
      <c r="H194" s="6">
        <v>5</v>
      </c>
      <c r="I194" s="6">
        <v>1042.25</v>
      </c>
      <c r="J194" s="6">
        <v>800</v>
      </c>
      <c r="K194" s="6">
        <v>166760</v>
      </c>
      <c r="L194" s="6"/>
      <c r="M194" s="6"/>
      <c r="N194" s="6">
        <f t="shared" si="13"/>
        <v>805</v>
      </c>
      <c r="O194" s="6">
        <f t="shared" si="14"/>
        <v>167802.25</v>
      </c>
      <c r="P194" s="6">
        <v>68</v>
      </c>
      <c r="Q194" s="6">
        <v>16212</v>
      </c>
      <c r="R194" s="60">
        <f t="shared" si="15"/>
        <v>267.47531526200959</v>
      </c>
      <c r="S194" s="60">
        <f t="shared" si="16"/>
        <v>55755.229466365898</v>
      </c>
    </row>
    <row r="195" spans="1:19" s="1" customFormat="1" hidden="1" outlineLevel="1" x14ac:dyDescent="0.25">
      <c r="A195" s="7" t="s">
        <v>676</v>
      </c>
      <c r="B195" s="7" t="s">
        <v>677</v>
      </c>
      <c r="C195" s="14">
        <v>469.78</v>
      </c>
      <c r="D195" s="6">
        <v>91.23</v>
      </c>
      <c r="E195" s="6">
        <v>100</v>
      </c>
      <c r="F195" s="6"/>
      <c r="G195" s="6"/>
      <c r="H195" s="6"/>
      <c r="I195" s="6"/>
      <c r="J195" s="6">
        <v>656</v>
      </c>
      <c r="K195" s="6">
        <v>308175.68</v>
      </c>
      <c r="L195" s="6"/>
      <c r="M195" s="6"/>
      <c r="N195" s="6">
        <f t="shared" si="13"/>
        <v>656</v>
      </c>
      <c r="O195" s="6">
        <f t="shared" si="14"/>
        <v>308175.68</v>
      </c>
      <c r="P195" s="6">
        <v>110</v>
      </c>
      <c r="Q195" s="6">
        <v>54160</v>
      </c>
      <c r="R195" s="60"/>
      <c r="S195" s="60"/>
    </row>
    <row r="196" spans="1:19" s="1" customFormat="1" hidden="1" outlineLevel="1" x14ac:dyDescent="0.25">
      <c r="A196" s="7" t="s">
        <v>369</v>
      </c>
      <c r="B196" s="7" t="s">
        <v>370</v>
      </c>
      <c r="C196" s="14">
        <v>472.77</v>
      </c>
      <c r="D196" s="6">
        <v>652.24</v>
      </c>
      <c r="E196" s="6">
        <v>100</v>
      </c>
      <c r="F196" s="6"/>
      <c r="G196" s="6"/>
      <c r="H196" s="6">
        <v>10</v>
      </c>
      <c r="I196" s="6">
        <v>4727.7</v>
      </c>
      <c r="J196" s="6">
        <v>851</v>
      </c>
      <c r="K196" s="6">
        <v>402327.27</v>
      </c>
      <c r="L196" s="6"/>
      <c r="M196" s="6"/>
      <c r="N196" s="6">
        <f t="shared" si="13"/>
        <v>861</v>
      </c>
      <c r="O196" s="6">
        <f t="shared" si="14"/>
        <v>407054.97</v>
      </c>
      <c r="P196" s="6">
        <v>38</v>
      </c>
      <c r="Q196" s="6">
        <v>21048</v>
      </c>
      <c r="R196" s="60">
        <f t="shared" si="15"/>
        <v>616.14779835643321</v>
      </c>
      <c r="S196" s="60">
        <f t="shared" si="16"/>
        <v>291296.19462897093</v>
      </c>
    </row>
    <row r="197" spans="1:19" s="1" customFormat="1" hidden="1" outlineLevel="1" x14ac:dyDescent="0.25">
      <c r="A197" s="7" t="s">
        <v>680</v>
      </c>
      <c r="B197" s="7" t="s">
        <v>681</v>
      </c>
      <c r="C197" s="14">
        <v>233.8</v>
      </c>
      <c r="D197" s="6">
        <v>61.77</v>
      </c>
      <c r="E197" s="6">
        <v>100</v>
      </c>
      <c r="F197" s="6"/>
      <c r="G197" s="6"/>
      <c r="H197" s="6">
        <v>200</v>
      </c>
      <c r="I197" s="6">
        <v>46760</v>
      </c>
      <c r="J197" s="6">
        <v>1216</v>
      </c>
      <c r="K197" s="6">
        <v>284300.79999999999</v>
      </c>
      <c r="L197" s="6"/>
      <c r="M197" s="6"/>
      <c r="N197" s="6">
        <f t="shared" ref="N197:N220" si="17">IF(J197+L197+H197+F197&lt;=0,"",J197+L197+H197+F197)</f>
        <v>1416</v>
      </c>
      <c r="O197" s="6">
        <f t="shared" ref="O197:O220" si="18">IFERROR(C197*N197,"")</f>
        <v>331060.8</v>
      </c>
      <c r="P197" s="6">
        <v>133</v>
      </c>
      <c r="Q197" s="6">
        <v>28633</v>
      </c>
      <c r="R197" s="60"/>
      <c r="S197" s="60"/>
    </row>
    <row r="198" spans="1:19" s="1" customFormat="1" hidden="1" outlineLevel="1" x14ac:dyDescent="0.25">
      <c r="A198" s="7" t="s">
        <v>147</v>
      </c>
      <c r="B198" s="7" t="s">
        <v>148</v>
      </c>
      <c r="C198" s="14">
        <v>842.36</v>
      </c>
      <c r="D198" s="6">
        <v>39.159999999999997</v>
      </c>
      <c r="E198" s="6">
        <v>100</v>
      </c>
      <c r="F198" s="6">
        <v>3</v>
      </c>
      <c r="G198" s="6">
        <v>2527.08</v>
      </c>
      <c r="H198" s="6">
        <v>82</v>
      </c>
      <c r="I198" s="6">
        <v>69073.52</v>
      </c>
      <c r="J198" s="6">
        <v>151</v>
      </c>
      <c r="K198" s="6">
        <v>127196.36</v>
      </c>
      <c r="L198" s="6"/>
      <c r="M198" s="6"/>
      <c r="N198" s="6">
        <f t="shared" si="17"/>
        <v>236</v>
      </c>
      <c r="O198" s="6">
        <f t="shared" si="18"/>
        <v>198796.96</v>
      </c>
      <c r="P198" s="6">
        <v>35</v>
      </c>
      <c r="Q198" s="6">
        <v>25579</v>
      </c>
      <c r="R198" s="60"/>
      <c r="S198" s="60"/>
    </row>
    <row r="199" spans="1:19" s="1" customFormat="1" hidden="1" outlineLevel="1" x14ac:dyDescent="0.25">
      <c r="A199" s="7" t="s">
        <v>135</v>
      </c>
      <c r="B199" s="7" t="s">
        <v>136</v>
      </c>
      <c r="C199" s="14">
        <v>394.94</v>
      </c>
      <c r="D199" s="6">
        <v>119.95</v>
      </c>
      <c r="E199" s="6">
        <v>100</v>
      </c>
      <c r="F199" s="6"/>
      <c r="G199" s="6"/>
      <c r="H199" s="6">
        <v>50</v>
      </c>
      <c r="I199" s="6">
        <v>19747</v>
      </c>
      <c r="J199" s="6">
        <v>1328</v>
      </c>
      <c r="K199" s="6">
        <v>524480.31999999995</v>
      </c>
      <c r="L199" s="6"/>
      <c r="M199" s="6"/>
      <c r="N199" s="6">
        <f t="shared" si="17"/>
        <v>1378</v>
      </c>
      <c r="O199" s="6">
        <f t="shared" si="18"/>
        <v>544227.31999999995</v>
      </c>
      <c r="P199" s="6">
        <v>59</v>
      </c>
      <c r="Q199" s="6">
        <v>20398</v>
      </c>
      <c r="R199" s="60"/>
      <c r="S199" s="60"/>
    </row>
    <row r="200" spans="1:19" s="1" customFormat="1" hidden="1" outlineLevel="1" x14ac:dyDescent="0.25">
      <c r="A200" s="7" t="s">
        <v>291</v>
      </c>
      <c r="B200" s="7" t="s">
        <v>292</v>
      </c>
      <c r="C200" s="14">
        <v>437.32</v>
      </c>
      <c r="D200" s="6">
        <v>39.479999999999997</v>
      </c>
      <c r="E200" s="6">
        <v>100</v>
      </c>
      <c r="F200" s="6">
        <v>5</v>
      </c>
      <c r="G200" s="6">
        <v>2186.6</v>
      </c>
      <c r="H200" s="6">
        <v>12</v>
      </c>
      <c r="I200" s="6">
        <v>5247.84</v>
      </c>
      <c r="J200" s="6">
        <v>1334</v>
      </c>
      <c r="K200" s="6">
        <v>583384.88</v>
      </c>
      <c r="L200" s="6"/>
      <c r="M200" s="6"/>
      <c r="N200" s="6">
        <f t="shared" si="17"/>
        <v>1351</v>
      </c>
      <c r="O200" s="6">
        <f t="shared" si="18"/>
        <v>590819.31999999995</v>
      </c>
      <c r="P200" s="6">
        <v>126</v>
      </c>
      <c r="Q200" s="6">
        <v>50797</v>
      </c>
      <c r="R200" s="60"/>
      <c r="S200" s="60"/>
    </row>
    <row r="201" spans="1:19" s="1" customFormat="1" hidden="1" outlineLevel="1" x14ac:dyDescent="0.25">
      <c r="A201" s="7" t="s">
        <v>1341</v>
      </c>
      <c r="B201" s="7" t="s">
        <v>1342</v>
      </c>
      <c r="C201" s="14">
        <v>255.43</v>
      </c>
      <c r="D201" s="6">
        <v>2157.4299999999998</v>
      </c>
      <c r="E201" s="6">
        <v>100</v>
      </c>
      <c r="F201" s="6"/>
      <c r="G201" s="6"/>
      <c r="H201" s="6"/>
      <c r="I201" s="6"/>
      <c r="J201" s="6">
        <v>1562</v>
      </c>
      <c r="K201" s="6">
        <v>398981.66</v>
      </c>
      <c r="L201" s="6"/>
      <c r="M201" s="6"/>
      <c r="N201" s="6">
        <f t="shared" si="17"/>
        <v>1562</v>
      </c>
      <c r="O201" s="6">
        <f t="shared" si="18"/>
        <v>398981.66000000003</v>
      </c>
      <c r="P201" s="6">
        <v>57</v>
      </c>
      <c r="Q201" s="6">
        <v>17821</v>
      </c>
      <c r="R201" s="60">
        <f t="shared" si="15"/>
        <v>1431.6782746137765</v>
      </c>
      <c r="S201" s="60">
        <f t="shared" si="16"/>
        <v>365693.58168459695</v>
      </c>
    </row>
    <row r="202" spans="1:19" s="1" customFormat="1" hidden="1" outlineLevel="1" x14ac:dyDescent="0.25">
      <c r="A202" s="7" t="s">
        <v>63</v>
      </c>
      <c r="B202" s="7" t="s">
        <v>64</v>
      </c>
      <c r="C202" s="14">
        <v>173</v>
      </c>
      <c r="D202" s="6">
        <v>4.33</v>
      </c>
      <c r="E202" s="6">
        <v>13.98</v>
      </c>
      <c r="F202" s="6"/>
      <c r="G202" s="6"/>
      <c r="H202" s="6"/>
      <c r="I202" s="6"/>
      <c r="J202" s="6"/>
      <c r="K202" s="6"/>
      <c r="L202" s="6">
        <v>850</v>
      </c>
      <c r="M202" s="6">
        <v>147050</v>
      </c>
      <c r="N202" s="6">
        <f t="shared" si="17"/>
        <v>850</v>
      </c>
      <c r="O202" s="6">
        <f t="shared" si="18"/>
        <v>147050</v>
      </c>
      <c r="P202" s="6">
        <v>2</v>
      </c>
      <c r="Q202" s="6">
        <v>355</v>
      </c>
      <c r="R202" s="60"/>
      <c r="S202" s="60"/>
    </row>
    <row r="203" spans="1:19" s="1" customFormat="1" hidden="1" outlineLevel="1" x14ac:dyDescent="0.25">
      <c r="A203" s="7" t="s">
        <v>983</v>
      </c>
      <c r="B203" s="7" t="s">
        <v>984</v>
      </c>
      <c r="C203" s="14">
        <v>154.59</v>
      </c>
      <c r="D203" s="6">
        <v>469.63</v>
      </c>
      <c r="E203" s="6">
        <v>100</v>
      </c>
      <c r="F203" s="6"/>
      <c r="G203" s="6"/>
      <c r="H203" s="6">
        <v>200</v>
      </c>
      <c r="I203" s="6">
        <v>30918</v>
      </c>
      <c r="J203" s="6">
        <v>1627</v>
      </c>
      <c r="K203" s="6">
        <v>251517.93</v>
      </c>
      <c r="L203" s="6"/>
      <c r="M203" s="6"/>
      <c r="N203" s="6">
        <f t="shared" si="17"/>
        <v>1827</v>
      </c>
      <c r="O203" s="6">
        <f t="shared" si="18"/>
        <v>282435.93</v>
      </c>
      <c r="P203" s="6">
        <v>227</v>
      </c>
      <c r="Q203" s="6">
        <v>43639</v>
      </c>
      <c r="R203" s="60">
        <f t="shared" si="15"/>
        <v>1003.4026999978706</v>
      </c>
      <c r="S203" s="60">
        <f t="shared" si="16"/>
        <v>155116.02339267082</v>
      </c>
    </row>
    <row r="204" spans="1:19" s="1" customFormat="1" hidden="1" outlineLevel="1" x14ac:dyDescent="0.25">
      <c r="A204" s="7" t="s">
        <v>1005</v>
      </c>
      <c r="B204" s="7" t="s">
        <v>1006</v>
      </c>
      <c r="C204" s="14">
        <v>69.739999999999995</v>
      </c>
      <c r="D204" s="6">
        <v>65.28</v>
      </c>
      <c r="E204" s="6">
        <v>100</v>
      </c>
      <c r="F204" s="6"/>
      <c r="G204" s="6"/>
      <c r="H204" s="6">
        <v>240</v>
      </c>
      <c r="I204" s="6">
        <v>16737.599999999999</v>
      </c>
      <c r="J204" s="6">
        <v>1449</v>
      </c>
      <c r="K204" s="6">
        <v>101053.26</v>
      </c>
      <c r="L204" s="6"/>
      <c r="M204" s="6"/>
      <c r="N204" s="6">
        <f t="shared" si="17"/>
        <v>1689</v>
      </c>
      <c r="O204" s="6">
        <f t="shared" si="18"/>
        <v>117790.85999999999</v>
      </c>
      <c r="P204" s="6">
        <v>336</v>
      </c>
      <c r="Q204" s="6">
        <v>26057</v>
      </c>
      <c r="R204" s="60"/>
      <c r="S204" s="60"/>
    </row>
    <row r="205" spans="1:19" s="1" customFormat="1" hidden="1" outlineLevel="1" x14ac:dyDescent="0.25">
      <c r="A205" s="7" t="s">
        <v>207</v>
      </c>
      <c r="B205" s="7" t="s">
        <v>208</v>
      </c>
      <c r="C205" s="14">
        <v>319.45</v>
      </c>
      <c r="D205" s="6">
        <v>30.42</v>
      </c>
      <c r="E205" s="6">
        <v>100</v>
      </c>
      <c r="F205" s="6"/>
      <c r="G205" s="6"/>
      <c r="H205" s="6">
        <v>43</v>
      </c>
      <c r="I205" s="6">
        <v>13736.35</v>
      </c>
      <c r="J205" s="6">
        <v>521</v>
      </c>
      <c r="K205" s="6">
        <v>166433.45000000001</v>
      </c>
      <c r="L205" s="6"/>
      <c r="M205" s="6"/>
      <c r="N205" s="6">
        <f t="shared" si="17"/>
        <v>564</v>
      </c>
      <c r="O205" s="6">
        <f t="shared" si="18"/>
        <v>180169.8</v>
      </c>
      <c r="P205" s="6">
        <v>81</v>
      </c>
      <c r="Q205" s="6">
        <v>26665</v>
      </c>
      <c r="R205" s="60"/>
      <c r="S205" s="60"/>
    </row>
    <row r="206" spans="1:19" s="1" customFormat="1" hidden="1" outlineLevel="1" x14ac:dyDescent="0.25">
      <c r="A206" s="7" t="s">
        <v>624</v>
      </c>
      <c r="B206" s="7" t="s">
        <v>625</v>
      </c>
      <c r="C206" s="14">
        <v>116.54</v>
      </c>
      <c r="D206" s="6">
        <v>145.09</v>
      </c>
      <c r="E206" s="6">
        <v>100</v>
      </c>
      <c r="F206" s="6">
        <v>48</v>
      </c>
      <c r="G206" s="6">
        <v>5593.92</v>
      </c>
      <c r="H206" s="6">
        <v>41</v>
      </c>
      <c r="I206" s="6">
        <v>4778.1400000000003</v>
      </c>
      <c r="J206" s="6">
        <v>1612</v>
      </c>
      <c r="K206" s="6">
        <v>187862.48</v>
      </c>
      <c r="L206" s="6"/>
      <c r="M206" s="6"/>
      <c r="N206" s="6">
        <f t="shared" si="17"/>
        <v>1701</v>
      </c>
      <c r="O206" s="6">
        <f t="shared" si="18"/>
        <v>198234.54</v>
      </c>
      <c r="P206" s="6">
        <v>43</v>
      </c>
      <c r="Q206" s="6">
        <v>5151</v>
      </c>
      <c r="R206" s="60"/>
      <c r="S206" s="60"/>
    </row>
    <row r="207" spans="1:19" s="1" customFormat="1" hidden="1" outlineLevel="1" x14ac:dyDescent="0.25">
      <c r="A207" s="7" t="s">
        <v>464</v>
      </c>
      <c r="B207" s="7" t="s">
        <v>465</v>
      </c>
      <c r="C207" s="14">
        <v>599.24</v>
      </c>
      <c r="D207" s="6">
        <v>251.13</v>
      </c>
      <c r="E207" s="6">
        <v>100</v>
      </c>
      <c r="F207" s="6">
        <v>7</v>
      </c>
      <c r="G207" s="6">
        <v>4194.68</v>
      </c>
      <c r="H207" s="6">
        <v>4</v>
      </c>
      <c r="I207" s="6">
        <v>2396.96</v>
      </c>
      <c r="J207" s="6">
        <v>71</v>
      </c>
      <c r="K207" s="6">
        <v>42546.04</v>
      </c>
      <c r="L207" s="6"/>
      <c r="M207" s="6"/>
      <c r="N207" s="6">
        <f t="shared" si="17"/>
        <v>82</v>
      </c>
      <c r="O207" s="6">
        <f t="shared" si="18"/>
        <v>49137.68</v>
      </c>
      <c r="P207" s="6">
        <v>21</v>
      </c>
      <c r="Q207" s="6">
        <v>15281</v>
      </c>
      <c r="R207" s="60">
        <f t="shared" si="15"/>
        <v>20.110022697407718</v>
      </c>
      <c r="S207" s="60">
        <f t="shared" si="16"/>
        <v>12050.730001194601</v>
      </c>
    </row>
    <row r="208" spans="1:19" s="1" customFormat="1" hidden="1" outlineLevel="1" x14ac:dyDescent="0.25">
      <c r="A208" s="7" t="s">
        <v>985</v>
      </c>
      <c r="B208" s="7" t="s">
        <v>986</v>
      </c>
      <c r="C208" s="14">
        <v>289.64</v>
      </c>
      <c r="D208" s="6">
        <v>220.56</v>
      </c>
      <c r="E208" s="6">
        <v>100</v>
      </c>
      <c r="F208" s="6"/>
      <c r="G208" s="6"/>
      <c r="H208" s="6">
        <v>220</v>
      </c>
      <c r="I208" s="6">
        <v>63720.800000000003</v>
      </c>
      <c r="J208" s="6">
        <v>796</v>
      </c>
      <c r="K208" s="6">
        <v>230553.44</v>
      </c>
      <c r="L208" s="6"/>
      <c r="M208" s="6"/>
      <c r="N208" s="6">
        <f t="shared" si="17"/>
        <v>1016</v>
      </c>
      <c r="O208" s="6">
        <f t="shared" si="18"/>
        <v>294274.24</v>
      </c>
      <c r="P208" s="6">
        <v>122</v>
      </c>
      <c r="Q208" s="6">
        <v>46440</v>
      </c>
      <c r="R208" s="60">
        <f t="shared" si="15"/>
        <v>146.38084874863983</v>
      </c>
      <c r="S208" s="60">
        <f t="shared" si="16"/>
        <v>42397.749031556043</v>
      </c>
    </row>
    <row r="209" spans="1:19" s="1" customFormat="1" hidden="1" outlineLevel="1" x14ac:dyDescent="0.25">
      <c r="A209" s="7" t="s">
        <v>43</v>
      </c>
      <c r="B209" s="7" t="s">
        <v>44</v>
      </c>
      <c r="C209" s="14">
        <v>75.73</v>
      </c>
      <c r="D209" s="6">
        <v>58.86</v>
      </c>
      <c r="E209" s="6">
        <v>81.72</v>
      </c>
      <c r="F209" s="6">
        <v>80</v>
      </c>
      <c r="G209" s="6">
        <v>6058.4</v>
      </c>
      <c r="H209" s="6">
        <v>305</v>
      </c>
      <c r="I209" s="6">
        <v>23097.65</v>
      </c>
      <c r="J209" s="6">
        <v>4950</v>
      </c>
      <c r="K209" s="6">
        <v>374863.5</v>
      </c>
      <c r="L209" s="6"/>
      <c r="M209" s="6"/>
      <c r="N209" s="6">
        <f t="shared" si="17"/>
        <v>5335</v>
      </c>
      <c r="O209" s="6">
        <f t="shared" si="18"/>
        <v>404019.55000000005</v>
      </c>
      <c r="P209" s="6">
        <v>324</v>
      </c>
      <c r="Q209" s="6">
        <v>22201</v>
      </c>
      <c r="R209" s="60"/>
      <c r="S209" s="60"/>
    </row>
    <row r="210" spans="1:19" s="1" customFormat="1" hidden="1" outlineLevel="1" x14ac:dyDescent="0.25">
      <c r="A210" s="7" t="s">
        <v>363</v>
      </c>
      <c r="B210" s="7" t="s">
        <v>364</v>
      </c>
      <c r="C210" s="14">
        <v>552.11</v>
      </c>
      <c r="D210" s="6">
        <v>250.46</v>
      </c>
      <c r="E210" s="6">
        <v>100</v>
      </c>
      <c r="F210" s="6"/>
      <c r="G210" s="6"/>
      <c r="H210" s="6"/>
      <c r="I210" s="6"/>
      <c r="J210" s="6">
        <v>1087</v>
      </c>
      <c r="K210" s="6">
        <v>600143.56999999995</v>
      </c>
      <c r="L210" s="6"/>
      <c r="M210" s="6"/>
      <c r="N210" s="6">
        <f t="shared" si="17"/>
        <v>1087</v>
      </c>
      <c r="O210" s="6">
        <f t="shared" si="18"/>
        <v>600143.57000000007</v>
      </c>
      <c r="P210" s="6">
        <v>19</v>
      </c>
      <c r="Q210" s="6">
        <v>10969</v>
      </c>
      <c r="R210" s="60">
        <f t="shared" si="15"/>
        <v>305.79741276052061</v>
      </c>
      <c r="S210" s="60">
        <f t="shared" si="16"/>
        <v>168833.80955921105</v>
      </c>
    </row>
    <row r="211" spans="1:19" s="1" customFormat="1" hidden="1" outlineLevel="1" x14ac:dyDescent="0.25">
      <c r="A211" s="7" t="s">
        <v>57</v>
      </c>
      <c r="B211" s="7" t="s">
        <v>58</v>
      </c>
      <c r="C211" s="14">
        <v>45</v>
      </c>
      <c r="D211" s="6">
        <v>28.34</v>
      </c>
      <c r="E211" s="6">
        <v>100</v>
      </c>
      <c r="F211" s="6">
        <v>202</v>
      </c>
      <c r="G211" s="6">
        <v>9090</v>
      </c>
      <c r="H211" s="6">
        <v>606</v>
      </c>
      <c r="I211" s="6">
        <v>27270</v>
      </c>
      <c r="J211" s="6">
        <v>1175</v>
      </c>
      <c r="K211" s="6">
        <v>52875</v>
      </c>
      <c r="L211" s="6"/>
      <c r="M211" s="6"/>
      <c r="N211" s="6">
        <f t="shared" si="17"/>
        <v>1983</v>
      </c>
      <c r="O211" s="6">
        <f t="shared" si="18"/>
        <v>89235</v>
      </c>
      <c r="P211" s="6">
        <v>493</v>
      </c>
      <c r="Q211" s="6">
        <v>24368</v>
      </c>
      <c r="R211" s="60"/>
      <c r="S211" s="60"/>
    </row>
    <row r="212" spans="1:19" s="1" customFormat="1" hidden="1" outlineLevel="1" x14ac:dyDescent="0.25">
      <c r="A212" s="7" t="s">
        <v>1041</v>
      </c>
      <c r="B212" s="7" t="s">
        <v>1042</v>
      </c>
      <c r="C212" s="14">
        <v>196.88</v>
      </c>
      <c r="D212" s="6">
        <v>51.03</v>
      </c>
      <c r="E212" s="6">
        <v>100</v>
      </c>
      <c r="F212" s="6">
        <v>6</v>
      </c>
      <c r="G212" s="6">
        <v>1181.28</v>
      </c>
      <c r="H212" s="6">
        <v>200</v>
      </c>
      <c r="I212" s="6">
        <v>39376</v>
      </c>
      <c r="J212" s="6">
        <v>1069</v>
      </c>
      <c r="K212" s="6">
        <v>210464.72</v>
      </c>
      <c r="L212" s="6"/>
      <c r="M212" s="6"/>
      <c r="N212" s="6">
        <f t="shared" si="17"/>
        <v>1275</v>
      </c>
      <c r="O212" s="6">
        <f t="shared" si="18"/>
        <v>251022</v>
      </c>
      <c r="P212" s="6">
        <v>148</v>
      </c>
      <c r="Q212" s="6">
        <v>30398</v>
      </c>
      <c r="R212" s="60"/>
      <c r="S212" s="60"/>
    </row>
    <row r="213" spans="1:19" s="1" customFormat="1" hidden="1" outlineLevel="1" x14ac:dyDescent="0.25">
      <c r="A213" s="7" t="s">
        <v>375</v>
      </c>
      <c r="B213" s="7" t="s">
        <v>376</v>
      </c>
      <c r="C213" s="14">
        <v>266.98</v>
      </c>
      <c r="D213" s="6">
        <v>13.77</v>
      </c>
      <c r="E213" s="6">
        <v>48.39</v>
      </c>
      <c r="F213" s="6">
        <v>18</v>
      </c>
      <c r="G213" s="6">
        <v>4805.6400000000003</v>
      </c>
      <c r="H213" s="6"/>
      <c r="I213" s="6"/>
      <c r="J213" s="6">
        <v>0</v>
      </c>
      <c r="K213" s="6">
        <v>0</v>
      </c>
      <c r="L213" s="6">
        <v>1680</v>
      </c>
      <c r="M213" s="6">
        <v>448526.4</v>
      </c>
      <c r="N213" s="6">
        <f t="shared" si="17"/>
        <v>1698</v>
      </c>
      <c r="O213" s="6">
        <f t="shared" si="18"/>
        <v>453332.04000000004</v>
      </c>
      <c r="P213" s="6">
        <v>7</v>
      </c>
      <c r="Q213" s="6">
        <v>1869</v>
      </c>
      <c r="R213" s="60"/>
      <c r="S213" s="60"/>
    </row>
    <row r="214" spans="1:19" s="1" customFormat="1" hidden="1" outlineLevel="1" x14ac:dyDescent="0.25">
      <c r="A214" s="7" t="s">
        <v>875</v>
      </c>
      <c r="B214" s="7" t="s">
        <v>876</v>
      </c>
      <c r="C214" s="14">
        <v>301.31</v>
      </c>
      <c r="D214" s="6">
        <v>467.75</v>
      </c>
      <c r="E214" s="6">
        <v>100</v>
      </c>
      <c r="F214" s="6"/>
      <c r="G214" s="6"/>
      <c r="H214" s="6"/>
      <c r="I214" s="6"/>
      <c r="J214" s="6">
        <v>521</v>
      </c>
      <c r="K214" s="6">
        <v>156982.51</v>
      </c>
      <c r="L214" s="6"/>
      <c r="M214" s="6"/>
      <c r="N214" s="6">
        <f t="shared" si="17"/>
        <v>521</v>
      </c>
      <c r="O214" s="6">
        <f t="shared" si="18"/>
        <v>156982.51</v>
      </c>
      <c r="P214" s="6">
        <v>45</v>
      </c>
      <c r="Q214" s="6">
        <v>16378</v>
      </c>
      <c r="R214" s="60">
        <f t="shared" si="15"/>
        <v>320.50828433992518</v>
      </c>
      <c r="S214" s="60">
        <f t="shared" si="16"/>
        <v>96572.351154462856</v>
      </c>
    </row>
    <row r="215" spans="1:19" s="1" customFormat="1" hidden="1" outlineLevel="1" x14ac:dyDescent="0.25">
      <c r="A215" s="7" t="s">
        <v>167</v>
      </c>
      <c r="B215" s="7" t="s">
        <v>168</v>
      </c>
      <c r="C215" s="14">
        <v>363.34</v>
      </c>
      <c r="D215" s="6">
        <v>61.74</v>
      </c>
      <c r="E215" s="6">
        <v>100</v>
      </c>
      <c r="F215" s="6">
        <v>75</v>
      </c>
      <c r="G215" s="6">
        <v>27250.5</v>
      </c>
      <c r="H215" s="6">
        <v>6</v>
      </c>
      <c r="I215" s="6">
        <v>2180.04</v>
      </c>
      <c r="J215" s="6">
        <v>643</v>
      </c>
      <c r="K215" s="6">
        <v>233627.62</v>
      </c>
      <c r="L215" s="6"/>
      <c r="M215" s="6"/>
      <c r="N215" s="6">
        <f t="shared" si="17"/>
        <v>724</v>
      </c>
      <c r="O215" s="6">
        <f t="shared" si="18"/>
        <v>263058.15999999997</v>
      </c>
      <c r="P215" s="6">
        <v>53</v>
      </c>
      <c r="Q215" s="6">
        <v>14939</v>
      </c>
      <c r="R215" s="60"/>
      <c r="S215" s="60"/>
    </row>
    <row r="216" spans="1:19" s="1" customFormat="1" hidden="1" outlineLevel="1" x14ac:dyDescent="0.25">
      <c r="A216" s="7" t="s">
        <v>1335</v>
      </c>
      <c r="B216" s="7" t="s">
        <v>1336</v>
      </c>
      <c r="C216" s="14">
        <v>783.28</v>
      </c>
      <c r="D216" s="6">
        <v>887.88</v>
      </c>
      <c r="E216" s="6">
        <v>100</v>
      </c>
      <c r="F216" s="6"/>
      <c r="G216" s="6"/>
      <c r="H216" s="6"/>
      <c r="I216" s="6"/>
      <c r="J216" s="6">
        <v>384</v>
      </c>
      <c r="K216" s="6">
        <v>300779.52000000002</v>
      </c>
      <c r="L216" s="6"/>
      <c r="M216" s="6"/>
      <c r="N216" s="6">
        <f t="shared" si="17"/>
        <v>384</v>
      </c>
      <c r="O216" s="6">
        <f t="shared" si="18"/>
        <v>300779.52000000002</v>
      </c>
      <c r="P216" s="6">
        <v>42</v>
      </c>
      <c r="Q216" s="6">
        <v>40381</v>
      </c>
      <c r="R216" s="60">
        <f t="shared" si="15"/>
        <v>306.1516421137992</v>
      </c>
      <c r="S216" s="60">
        <f t="shared" si="16"/>
        <v>239802.45823489662</v>
      </c>
    </row>
    <row r="217" spans="1:19" s="1" customFormat="1" hidden="1" outlineLevel="1" x14ac:dyDescent="0.25">
      <c r="A217" s="7" t="s">
        <v>271</v>
      </c>
      <c r="B217" s="7" t="s">
        <v>272</v>
      </c>
      <c r="C217" s="14">
        <v>389.1</v>
      </c>
      <c r="D217" s="6">
        <v>130.93</v>
      </c>
      <c r="E217" s="6">
        <v>100</v>
      </c>
      <c r="F217" s="6">
        <v>1</v>
      </c>
      <c r="G217" s="6">
        <v>389.1</v>
      </c>
      <c r="H217" s="6">
        <v>3</v>
      </c>
      <c r="I217" s="6">
        <v>1167.3</v>
      </c>
      <c r="J217" s="6">
        <v>912</v>
      </c>
      <c r="K217" s="6">
        <v>354859.19999999995</v>
      </c>
      <c r="L217" s="6"/>
      <c r="M217" s="6"/>
      <c r="N217" s="6">
        <f t="shared" si="17"/>
        <v>916</v>
      </c>
      <c r="O217" s="6">
        <f t="shared" si="18"/>
        <v>356415.60000000003</v>
      </c>
      <c r="P217" s="6">
        <v>32</v>
      </c>
      <c r="Q217" s="6">
        <v>14278</v>
      </c>
      <c r="R217" s="60"/>
      <c r="S217" s="60"/>
    </row>
    <row r="218" spans="1:19" s="1" customFormat="1" hidden="1" outlineLevel="1" x14ac:dyDescent="0.25">
      <c r="A218" s="7" t="s">
        <v>359</v>
      </c>
      <c r="B218" s="7" t="s">
        <v>360</v>
      </c>
      <c r="C218" s="14">
        <v>316.27999999999997</v>
      </c>
      <c r="D218" s="6">
        <v>59.95</v>
      </c>
      <c r="E218" s="6">
        <v>100</v>
      </c>
      <c r="F218" s="6">
        <v>2</v>
      </c>
      <c r="G218" s="6">
        <v>632.55999999999995</v>
      </c>
      <c r="H218" s="6"/>
      <c r="I218" s="6"/>
      <c r="J218" s="6">
        <v>500</v>
      </c>
      <c r="K218" s="6">
        <v>158140</v>
      </c>
      <c r="L218" s="6"/>
      <c r="M218" s="6"/>
      <c r="N218" s="6">
        <f t="shared" si="17"/>
        <v>502</v>
      </c>
      <c r="O218" s="6">
        <f t="shared" si="18"/>
        <v>158772.56</v>
      </c>
      <c r="P218" s="6">
        <v>77</v>
      </c>
      <c r="Q218" s="6">
        <v>24955</v>
      </c>
      <c r="R218" s="60"/>
      <c r="S218" s="60"/>
    </row>
    <row r="219" spans="1:19" s="1" customFormat="1" hidden="1" outlineLevel="1" x14ac:dyDescent="0.25">
      <c r="A219" s="7" t="s">
        <v>1123</v>
      </c>
      <c r="B219" s="7" t="s">
        <v>1124</v>
      </c>
      <c r="C219" s="14">
        <v>437.18</v>
      </c>
      <c r="D219" s="6">
        <v>77.75</v>
      </c>
      <c r="E219" s="6">
        <v>31.18</v>
      </c>
      <c r="F219" s="6">
        <v>7</v>
      </c>
      <c r="G219" s="6">
        <v>3060.26</v>
      </c>
      <c r="H219" s="6"/>
      <c r="I219" s="6"/>
      <c r="J219" s="6">
        <v>289</v>
      </c>
      <c r="K219" s="6">
        <v>126345.02</v>
      </c>
      <c r="L219" s="6"/>
      <c r="M219" s="6"/>
      <c r="N219" s="6">
        <f t="shared" si="17"/>
        <v>296</v>
      </c>
      <c r="O219" s="6">
        <f t="shared" si="18"/>
        <v>129405.28</v>
      </c>
      <c r="P219" s="6">
        <v>20</v>
      </c>
      <c r="Q219" s="6">
        <v>9557</v>
      </c>
      <c r="R219" s="60"/>
      <c r="S219" s="60"/>
    </row>
    <row r="220" spans="1:19" s="1" customFormat="1" hidden="1" outlineLevel="1" x14ac:dyDescent="0.25">
      <c r="A220" s="7" t="s">
        <v>343</v>
      </c>
      <c r="B220" s="7" t="s">
        <v>344</v>
      </c>
      <c r="C220" s="14">
        <v>53.37</v>
      </c>
      <c r="D220" s="6">
        <v>188.33</v>
      </c>
      <c r="E220" s="6">
        <v>100</v>
      </c>
      <c r="F220" s="6">
        <v>150</v>
      </c>
      <c r="G220" s="6">
        <v>8005.5</v>
      </c>
      <c r="H220" s="6">
        <v>445</v>
      </c>
      <c r="I220" s="6">
        <v>23749.65</v>
      </c>
      <c r="J220" s="6">
        <v>6190</v>
      </c>
      <c r="K220" s="6">
        <v>330360.3</v>
      </c>
      <c r="L220" s="6"/>
      <c r="M220" s="6"/>
      <c r="N220" s="6">
        <f t="shared" si="17"/>
        <v>6785</v>
      </c>
      <c r="O220" s="6">
        <f t="shared" si="18"/>
        <v>362115.45</v>
      </c>
      <c r="P220" s="6">
        <v>316</v>
      </c>
      <c r="Q220" s="6">
        <v>17549</v>
      </c>
      <c r="R220" s="60">
        <f t="shared" si="15"/>
        <v>273.7890936122767</v>
      </c>
      <c r="S220" s="60">
        <f t="shared" si="16"/>
        <v>14612.123926087206</v>
      </c>
    </row>
    <row r="221" spans="1:19" s="1" customFormat="1" collapsed="1" x14ac:dyDescent="0.25">
      <c r="A221" s="15" t="s">
        <v>407</v>
      </c>
      <c r="B221" s="16"/>
      <c r="C221" s="16"/>
      <c r="D221" s="15">
        <v>80</v>
      </c>
      <c r="E221" s="15">
        <v>98.31</v>
      </c>
      <c r="F221" s="15">
        <f t="shared" ref="F221:R221" si="19">SUM(F222:F408)</f>
        <v>2152</v>
      </c>
      <c r="G221" s="15">
        <f t="shared" si="19"/>
        <v>360886.78</v>
      </c>
      <c r="H221" s="15">
        <f t="shared" si="19"/>
        <v>12235</v>
      </c>
      <c r="I221" s="15">
        <f t="shared" si="19"/>
        <v>2782563.2500000005</v>
      </c>
      <c r="J221" s="15">
        <f t="shared" si="19"/>
        <v>180039</v>
      </c>
      <c r="K221" s="15">
        <f t="shared" si="19"/>
        <v>34723378.289999999</v>
      </c>
      <c r="L221" s="15">
        <f t="shared" si="19"/>
        <v>5415</v>
      </c>
      <c r="M221" s="15">
        <f t="shared" si="19"/>
        <v>1892893.6500000001</v>
      </c>
      <c r="N221" s="15">
        <f t="shared" si="19"/>
        <v>199841</v>
      </c>
      <c r="O221" s="15">
        <f t="shared" si="19"/>
        <v>39759721.969999999</v>
      </c>
      <c r="P221" s="15">
        <f t="shared" si="19"/>
        <v>18617</v>
      </c>
      <c r="Q221" s="15">
        <f t="shared" si="19"/>
        <v>3017782</v>
      </c>
      <c r="R221" s="15">
        <f t="shared" si="19"/>
        <v>42201.472486614213</v>
      </c>
      <c r="S221" s="15">
        <f t="shared" ref="S221" si="20">SUM(S222:S408)</f>
        <v>9964621.2127015498</v>
      </c>
    </row>
    <row r="222" spans="1:19" s="1" customFormat="1" hidden="1" outlineLevel="1" x14ac:dyDescent="0.25">
      <c r="A222" s="7" t="s">
        <v>730</v>
      </c>
      <c r="B222" s="7" t="s">
        <v>731</v>
      </c>
      <c r="C222" s="14">
        <v>298.82</v>
      </c>
      <c r="D222" s="6">
        <v>78.11</v>
      </c>
      <c r="E222" s="6">
        <v>100</v>
      </c>
      <c r="F222" s="6"/>
      <c r="G222" s="6"/>
      <c r="H222" s="6">
        <v>185</v>
      </c>
      <c r="I222" s="6">
        <v>55281.7</v>
      </c>
      <c r="J222" s="6">
        <v>395</v>
      </c>
      <c r="K222" s="6">
        <v>118033.9</v>
      </c>
      <c r="L222" s="6"/>
      <c r="M222" s="6"/>
      <c r="N222" s="6">
        <f t="shared" ref="N222:N253" si="21">IF(J222+L222+H222+F222&lt;=0,"",J222+L222+H222+F222)</f>
        <v>580</v>
      </c>
      <c r="O222" s="6">
        <f t="shared" ref="O222:O253" si="22">IFERROR(C222*N222,"")</f>
        <v>173315.6</v>
      </c>
      <c r="P222" s="6">
        <v>57</v>
      </c>
      <c r="Q222" s="6">
        <v>17243</v>
      </c>
      <c r="R222" s="60"/>
      <c r="S222" s="60"/>
    </row>
    <row r="223" spans="1:19" s="1" customFormat="1" hidden="1" outlineLevel="1" x14ac:dyDescent="0.25">
      <c r="A223" s="7" t="s">
        <v>349</v>
      </c>
      <c r="B223" s="7" t="s">
        <v>350</v>
      </c>
      <c r="C223" s="14">
        <v>294.23</v>
      </c>
      <c r="D223" s="6">
        <v>152.18</v>
      </c>
      <c r="E223" s="6">
        <v>100</v>
      </c>
      <c r="F223" s="6"/>
      <c r="G223" s="6"/>
      <c r="H223" s="6">
        <v>120</v>
      </c>
      <c r="I223" s="6">
        <v>35307.599999999999</v>
      </c>
      <c r="J223" s="6">
        <v>970</v>
      </c>
      <c r="K223" s="6">
        <v>285403.09999999998</v>
      </c>
      <c r="L223" s="6"/>
      <c r="M223" s="6"/>
      <c r="N223" s="6">
        <f t="shared" si="21"/>
        <v>1090</v>
      </c>
      <c r="O223" s="6">
        <f t="shared" si="22"/>
        <v>320710.7</v>
      </c>
      <c r="P223" s="6">
        <v>33</v>
      </c>
      <c r="Q223" s="6">
        <v>7715</v>
      </c>
      <c r="R223" s="60"/>
      <c r="S223" s="60"/>
    </row>
    <row r="224" spans="1:19" s="1" customFormat="1" hidden="1" outlineLevel="1" x14ac:dyDescent="0.25">
      <c r="A224" s="7" t="s">
        <v>1151</v>
      </c>
      <c r="B224" s="7" t="s">
        <v>1152</v>
      </c>
      <c r="C224" s="14">
        <v>705.15</v>
      </c>
      <c r="D224" s="6">
        <v>429.21</v>
      </c>
      <c r="E224" s="6">
        <v>100</v>
      </c>
      <c r="F224" s="6"/>
      <c r="G224" s="6"/>
      <c r="H224" s="6"/>
      <c r="I224" s="6"/>
      <c r="J224" s="6">
        <v>217</v>
      </c>
      <c r="K224" s="6">
        <v>153017.54999999999</v>
      </c>
      <c r="L224" s="6"/>
      <c r="M224" s="6"/>
      <c r="N224" s="6">
        <f t="shared" si="21"/>
        <v>217</v>
      </c>
      <c r="O224" s="6">
        <f t="shared" si="22"/>
        <v>153017.54999999999</v>
      </c>
      <c r="P224" s="6">
        <v>27</v>
      </c>
      <c r="Q224" s="6">
        <v>24006</v>
      </c>
      <c r="R224" s="60">
        <f t="shared" ref="R224" si="23">J224/D224*(D224-180)</f>
        <v>125.9955965611239</v>
      </c>
      <c r="S224" s="60">
        <f t="shared" ref="S224" si="24">R224*C224</f>
        <v>88845.79491507652</v>
      </c>
    </row>
    <row r="225" spans="1:19" s="1" customFormat="1" hidden="1" outlineLevel="1" x14ac:dyDescent="0.25">
      <c r="A225" s="7" t="s">
        <v>768</v>
      </c>
      <c r="B225" s="7" t="s">
        <v>769</v>
      </c>
      <c r="C225" s="14">
        <v>122.06</v>
      </c>
      <c r="D225" s="6">
        <v>521.20000000000005</v>
      </c>
      <c r="E225" s="6">
        <v>100</v>
      </c>
      <c r="F225" s="6"/>
      <c r="G225" s="6"/>
      <c r="H225" s="6"/>
      <c r="I225" s="6"/>
      <c r="J225" s="6">
        <v>1167</v>
      </c>
      <c r="K225" s="6">
        <v>142444.01999999999</v>
      </c>
      <c r="L225" s="6"/>
      <c r="M225" s="6"/>
      <c r="N225" s="6">
        <f t="shared" si="21"/>
        <v>1167</v>
      </c>
      <c r="O225" s="6">
        <f t="shared" si="22"/>
        <v>142444.01999999999</v>
      </c>
      <c r="P225" s="6">
        <v>88</v>
      </c>
      <c r="Q225" s="6">
        <v>12629</v>
      </c>
      <c r="R225" s="60">
        <f t="shared" ref="R225:R281" si="25">J225/D225*(D225-180)</f>
        <v>763.96853415195699</v>
      </c>
      <c r="S225" s="60">
        <f t="shared" ref="S225:S281" si="26">R225*C225</f>
        <v>93249.999278587871</v>
      </c>
    </row>
    <row r="226" spans="1:19" s="1" customFormat="1" hidden="1" outlineLevel="1" x14ac:dyDescent="0.25">
      <c r="A226" s="7" t="s">
        <v>73</v>
      </c>
      <c r="B226" s="7" t="s">
        <v>74</v>
      </c>
      <c r="C226" s="14">
        <v>261.52999999999997</v>
      </c>
      <c r="D226" s="6">
        <v>1994.5</v>
      </c>
      <c r="E226" s="6">
        <v>100</v>
      </c>
      <c r="F226" s="6">
        <v>3</v>
      </c>
      <c r="G226" s="6">
        <v>784.59</v>
      </c>
      <c r="H226" s="6"/>
      <c r="I226" s="6"/>
      <c r="J226" s="6">
        <v>824</v>
      </c>
      <c r="K226" s="6">
        <v>215500.72</v>
      </c>
      <c r="L226" s="6">
        <v>75</v>
      </c>
      <c r="M226" s="6">
        <v>19614.75</v>
      </c>
      <c r="N226" s="6">
        <f t="shared" si="21"/>
        <v>902</v>
      </c>
      <c r="O226" s="6">
        <f t="shared" si="22"/>
        <v>235900.05999999997</v>
      </c>
      <c r="P226" s="6">
        <v>51</v>
      </c>
      <c r="Q226" s="6">
        <v>16628</v>
      </c>
      <c r="R226" s="60">
        <f t="shared" si="25"/>
        <v>749.63549761845081</v>
      </c>
      <c r="S226" s="60">
        <f t="shared" si="26"/>
        <v>196052.17169215341</v>
      </c>
    </row>
    <row r="227" spans="1:19" s="1" customFormat="1" hidden="1" outlineLevel="1" x14ac:dyDescent="0.25">
      <c r="A227" s="7" t="s">
        <v>1331</v>
      </c>
      <c r="B227" s="7" t="s">
        <v>1332</v>
      </c>
      <c r="C227" s="14">
        <v>652.58000000000004</v>
      </c>
      <c r="D227" s="6"/>
      <c r="E227" s="6">
        <v>100</v>
      </c>
      <c r="F227" s="6"/>
      <c r="G227" s="6"/>
      <c r="H227" s="6"/>
      <c r="I227" s="6"/>
      <c r="J227" s="6">
        <v>178</v>
      </c>
      <c r="K227" s="6">
        <v>116159.24</v>
      </c>
      <c r="L227" s="6"/>
      <c r="M227" s="6"/>
      <c r="N227" s="6">
        <f t="shared" si="21"/>
        <v>178</v>
      </c>
      <c r="O227" s="6">
        <f t="shared" si="22"/>
        <v>116159.24</v>
      </c>
      <c r="P227" s="6">
        <v>23</v>
      </c>
      <c r="Q227" s="6">
        <v>19034</v>
      </c>
      <c r="R227" s="60"/>
      <c r="S227" s="60"/>
    </row>
    <row r="228" spans="1:19" s="1" customFormat="1" hidden="1" outlineLevel="1" x14ac:dyDescent="0.25">
      <c r="A228" s="7" t="s">
        <v>885</v>
      </c>
      <c r="B228" s="7" t="s">
        <v>886</v>
      </c>
      <c r="C228" s="14">
        <v>148.5</v>
      </c>
      <c r="D228" s="6">
        <v>437.83</v>
      </c>
      <c r="E228" s="6">
        <v>100</v>
      </c>
      <c r="F228" s="6">
        <v>18</v>
      </c>
      <c r="G228" s="6">
        <v>2673</v>
      </c>
      <c r="H228" s="6">
        <v>24</v>
      </c>
      <c r="I228" s="6">
        <v>3564</v>
      </c>
      <c r="J228" s="6">
        <v>590</v>
      </c>
      <c r="K228" s="6">
        <v>87615</v>
      </c>
      <c r="L228" s="6"/>
      <c r="M228" s="6"/>
      <c r="N228" s="6">
        <f t="shared" si="21"/>
        <v>632</v>
      </c>
      <c r="O228" s="6">
        <f t="shared" si="22"/>
        <v>93852</v>
      </c>
      <c r="P228" s="6">
        <v>3</v>
      </c>
      <c r="Q228" s="6">
        <v>385</v>
      </c>
      <c r="R228" s="60">
        <f t="shared" si="25"/>
        <v>347.44010232281931</v>
      </c>
      <c r="S228" s="60">
        <f t="shared" si="26"/>
        <v>51594.855194938667</v>
      </c>
    </row>
    <row r="229" spans="1:19" s="1" customFormat="1" hidden="1" outlineLevel="1" x14ac:dyDescent="0.25">
      <c r="A229" s="7" t="s">
        <v>81</v>
      </c>
      <c r="B229" s="7" t="s">
        <v>82</v>
      </c>
      <c r="C229" s="14">
        <v>125.83</v>
      </c>
      <c r="D229" s="6">
        <v>139.02000000000001</v>
      </c>
      <c r="E229" s="6">
        <v>100</v>
      </c>
      <c r="F229" s="6"/>
      <c r="G229" s="6"/>
      <c r="H229" s="6">
        <v>255</v>
      </c>
      <c r="I229" s="6">
        <v>32086.65</v>
      </c>
      <c r="J229" s="6">
        <v>945</v>
      </c>
      <c r="K229" s="6">
        <v>118909.35</v>
      </c>
      <c r="L229" s="6"/>
      <c r="M229" s="6"/>
      <c r="N229" s="6">
        <f t="shared" si="21"/>
        <v>1200</v>
      </c>
      <c r="O229" s="6">
        <f t="shared" si="22"/>
        <v>150996</v>
      </c>
      <c r="P229" s="6">
        <v>153</v>
      </c>
      <c r="Q229" s="6">
        <v>18520</v>
      </c>
      <c r="R229" s="60"/>
      <c r="S229" s="60"/>
    </row>
    <row r="230" spans="1:19" s="1" customFormat="1" hidden="1" outlineLevel="1" x14ac:dyDescent="0.25">
      <c r="A230" s="7" t="s">
        <v>5</v>
      </c>
      <c r="B230" s="7" t="s">
        <v>6</v>
      </c>
      <c r="C230" s="14">
        <v>164.73</v>
      </c>
      <c r="D230" s="6">
        <v>43.17</v>
      </c>
      <c r="E230" s="6">
        <v>100</v>
      </c>
      <c r="F230" s="6"/>
      <c r="G230" s="6"/>
      <c r="H230" s="6">
        <v>207</v>
      </c>
      <c r="I230" s="6">
        <v>34099.11</v>
      </c>
      <c r="J230" s="6">
        <v>571</v>
      </c>
      <c r="K230" s="6">
        <v>94060.83</v>
      </c>
      <c r="L230" s="6"/>
      <c r="M230" s="6"/>
      <c r="N230" s="6">
        <f t="shared" si="21"/>
        <v>778</v>
      </c>
      <c r="O230" s="6">
        <f t="shared" si="22"/>
        <v>128159.93999999999</v>
      </c>
      <c r="P230" s="6">
        <v>324</v>
      </c>
      <c r="Q230" s="6">
        <v>60027</v>
      </c>
      <c r="R230" s="60"/>
      <c r="S230" s="60"/>
    </row>
    <row r="231" spans="1:19" s="1" customFormat="1" hidden="1" outlineLevel="1" x14ac:dyDescent="0.25">
      <c r="A231" s="7" t="s">
        <v>955</v>
      </c>
      <c r="B231" s="7" t="s">
        <v>956</v>
      </c>
      <c r="C231" s="14">
        <v>405.24</v>
      </c>
      <c r="D231" s="6">
        <v>258.29000000000002</v>
      </c>
      <c r="E231" s="6">
        <v>100</v>
      </c>
      <c r="F231" s="6"/>
      <c r="G231" s="6"/>
      <c r="H231" s="6"/>
      <c r="I231" s="6"/>
      <c r="J231" s="6">
        <v>1095</v>
      </c>
      <c r="K231" s="6">
        <v>443737.8</v>
      </c>
      <c r="L231" s="6"/>
      <c r="M231" s="6"/>
      <c r="N231" s="6">
        <f t="shared" si="21"/>
        <v>1095</v>
      </c>
      <c r="O231" s="6">
        <f t="shared" si="22"/>
        <v>443737.8</v>
      </c>
      <c r="P231" s="6">
        <v>81</v>
      </c>
      <c r="Q231" s="6">
        <v>39899</v>
      </c>
      <c r="R231" s="60">
        <f t="shared" si="25"/>
        <v>331.90425490727483</v>
      </c>
      <c r="S231" s="60">
        <f t="shared" si="26"/>
        <v>134500.88025862406</v>
      </c>
    </row>
    <row r="232" spans="1:19" s="1" customFormat="1" hidden="1" outlineLevel="1" x14ac:dyDescent="0.25">
      <c r="A232" s="7" t="s">
        <v>1237</v>
      </c>
      <c r="B232" s="7" t="s">
        <v>1238</v>
      </c>
      <c r="C232" s="14">
        <v>190</v>
      </c>
      <c r="D232" s="6">
        <v>190.17</v>
      </c>
      <c r="E232" s="6">
        <v>100</v>
      </c>
      <c r="F232" s="6"/>
      <c r="G232" s="6"/>
      <c r="H232" s="6">
        <v>150</v>
      </c>
      <c r="I232" s="6">
        <v>28500</v>
      </c>
      <c r="J232" s="6">
        <v>44</v>
      </c>
      <c r="K232" s="6">
        <v>8360</v>
      </c>
      <c r="L232" s="6"/>
      <c r="M232" s="6"/>
      <c r="N232" s="6">
        <f t="shared" si="21"/>
        <v>194</v>
      </c>
      <c r="O232" s="6">
        <f t="shared" si="22"/>
        <v>36860</v>
      </c>
      <c r="P232" s="6">
        <v>80</v>
      </c>
      <c r="Q232" s="6">
        <v>18102</v>
      </c>
      <c r="R232" s="60">
        <f t="shared" si="25"/>
        <v>2.353052531945099</v>
      </c>
      <c r="S232" s="60">
        <f t="shared" si="26"/>
        <v>447.07998106956882</v>
      </c>
    </row>
    <row r="233" spans="1:19" s="1" customFormat="1" hidden="1" outlineLevel="1" x14ac:dyDescent="0.25">
      <c r="A233" s="7" t="s">
        <v>1231</v>
      </c>
      <c r="B233" s="7" t="s">
        <v>1232</v>
      </c>
      <c r="C233" s="14">
        <v>211.26</v>
      </c>
      <c r="D233" s="6">
        <v>2139.13</v>
      </c>
      <c r="E233" s="6">
        <v>100</v>
      </c>
      <c r="F233" s="6"/>
      <c r="G233" s="6"/>
      <c r="H233" s="6">
        <v>314</v>
      </c>
      <c r="I233" s="6">
        <v>66335.64</v>
      </c>
      <c r="J233" s="6">
        <v>2886</v>
      </c>
      <c r="K233" s="6">
        <v>609696.36</v>
      </c>
      <c r="L233" s="6"/>
      <c r="M233" s="6"/>
      <c r="N233" s="6">
        <f t="shared" si="21"/>
        <v>3200</v>
      </c>
      <c r="O233" s="6">
        <f t="shared" si="22"/>
        <v>676032</v>
      </c>
      <c r="P233" s="6">
        <v>76</v>
      </c>
      <c r="Q233" s="6">
        <v>14625</v>
      </c>
      <c r="R233" s="60">
        <f t="shared" si="25"/>
        <v>2643.1536091775629</v>
      </c>
      <c r="S233" s="60">
        <f t="shared" si="26"/>
        <v>558392.63147485186</v>
      </c>
    </row>
    <row r="234" spans="1:19" s="1" customFormat="1" hidden="1" outlineLevel="1" x14ac:dyDescent="0.25">
      <c r="A234" s="7" t="s">
        <v>448</v>
      </c>
      <c r="B234" s="7" t="s">
        <v>449</v>
      </c>
      <c r="C234" s="14">
        <v>265.64999999999998</v>
      </c>
      <c r="D234" s="6">
        <v>248.79</v>
      </c>
      <c r="E234" s="6">
        <v>100</v>
      </c>
      <c r="F234" s="6"/>
      <c r="G234" s="6"/>
      <c r="H234" s="6">
        <v>10</v>
      </c>
      <c r="I234" s="6">
        <v>2656.5</v>
      </c>
      <c r="J234" s="6">
        <v>1973</v>
      </c>
      <c r="K234" s="6">
        <v>524127.45</v>
      </c>
      <c r="L234" s="6"/>
      <c r="M234" s="6"/>
      <c r="N234" s="6">
        <f t="shared" si="21"/>
        <v>1983</v>
      </c>
      <c r="O234" s="6">
        <f t="shared" si="22"/>
        <v>526783.94999999995</v>
      </c>
      <c r="P234" s="6">
        <v>99</v>
      </c>
      <c r="Q234" s="6">
        <v>28781</v>
      </c>
      <c r="R234" s="60">
        <f t="shared" si="25"/>
        <v>545.53105028337143</v>
      </c>
      <c r="S234" s="60">
        <f t="shared" si="26"/>
        <v>144920.32350777762</v>
      </c>
    </row>
    <row r="235" spans="1:19" s="1" customFormat="1" hidden="1" outlineLevel="1" x14ac:dyDescent="0.25">
      <c r="A235" s="7" t="s">
        <v>905</v>
      </c>
      <c r="B235" s="7" t="s">
        <v>906</v>
      </c>
      <c r="C235" s="14">
        <v>330</v>
      </c>
      <c r="D235" s="6">
        <v>178.94</v>
      </c>
      <c r="E235" s="6">
        <v>100</v>
      </c>
      <c r="F235" s="6">
        <v>2</v>
      </c>
      <c r="G235" s="6">
        <v>660</v>
      </c>
      <c r="H235" s="6"/>
      <c r="I235" s="6"/>
      <c r="J235" s="6">
        <v>302</v>
      </c>
      <c r="K235" s="6">
        <v>99660</v>
      </c>
      <c r="L235" s="6"/>
      <c r="M235" s="6"/>
      <c r="N235" s="6">
        <f t="shared" si="21"/>
        <v>304</v>
      </c>
      <c r="O235" s="6">
        <f t="shared" si="22"/>
        <v>100320</v>
      </c>
      <c r="P235" s="6">
        <v>57</v>
      </c>
      <c r="Q235" s="6">
        <v>23648</v>
      </c>
      <c r="R235" s="60"/>
      <c r="S235" s="60"/>
    </row>
    <row r="236" spans="1:19" s="1" customFormat="1" hidden="1" outlineLevel="1" x14ac:dyDescent="0.25">
      <c r="A236" s="7" t="s">
        <v>385</v>
      </c>
      <c r="B236" s="7" t="s">
        <v>386</v>
      </c>
      <c r="C236" s="14">
        <v>209.22</v>
      </c>
      <c r="D236" s="6">
        <v>2089.2399999999998</v>
      </c>
      <c r="E236" s="6">
        <v>100</v>
      </c>
      <c r="F236" s="6"/>
      <c r="G236" s="6"/>
      <c r="H236" s="6">
        <v>7</v>
      </c>
      <c r="I236" s="6">
        <v>1464.54</v>
      </c>
      <c r="J236" s="6">
        <v>2475</v>
      </c>
      <c r="K236" s="6">
        <v>517819.5</v>
      </c>
      <c r="L236" s="6"/>
      <c r="M236" s="6"/>
      <c r="N236" s="6">
        <f t="shared" si="21"/>
        <v>2482</v>
      </c>
      <c r="O236" s="6">
        <f t="shared" si="22"/>
        <v>519284.04</v>
      </c>
      <c r="P236" s="6">
        <v>10</v>
      </c>
      <c r="Q236" s="6">
        <v>2242</v>
      </c>
      <c r="R236" s="60">
        <f t="shared" si="25"/>
        <v>2261.7645651050143</v>
      </c>
      <c r="S236" s="60">
        <f t="shared" si="26"/>
        <v>473206.3823112711</v>
      </c>
    </row>
    <row r="237" spans="1:19" s="1" customFormat="1" hidden="1" outlineLevel="1" x14ac:dyDescent="0.25">
      <c r="A237" s="7" t="s">
        <v>1001</v>
      </c>
      <c r="B237" s="7" t="s">
        <v>1002</v>
      </c>
      <c r="C237" s="14">
        <v>201.05</v>
      </c>
      <c r="D237" s="6">
        <v>335.49</v>
      </c>
      <c r="E237" s="6">
        <v>100</v>
      </c>
      <c r="F237" s="6"/>
      <c r="G237" s="6"/>
      <c r="H237" s="6"/>
      <c r="I237" s="6"/>
      <c r="J237" s="6">
        <v>3995</v>
      </c>
      <c r="K237" s="6">
        <v>803194.75</v>
      </c>
      <c r="L237" s="6"/>
      <c r="M237" s="6"/>
      <c r="N237" s="6">
        <f t="shared" si="21"/>
        <v>3995</v>
      </c>
      <c r="O237" s="6">
        <f t="shared" si="22"/>
        <v>803194.75</v>
      </c>
      <c r="P237" s="6">
        <v>103</v>
      </c>
      <c r="Q237" s="6">
        <v>19572</v>
      </c>
      <c r="R237" s="60">
        <f t="shared" si="25"/>
        <v>1851.568005007601</v>
      </c>
      <c r="S237" s="60">
        <f t="shared" si="26"/>
        <v>372257.74740677822</v>
      </c>
    </row>
    <row r="238" spans="1:19" s="17" customFormat="1" ht="14.1" hidden="1" customHeight="1" outlineLevel="1" x14ac:dyDescent="0.2">
      <c r="A238" s="7" t="s">
        <v>853</v>
      </c>
      <c r="B238" s="7" t="s">
        <v>854</v>
      </c>
      <c r="C238" s="14">
        <v>2256.86</v>
      </c>
      <c r="D238" s="6">
        <v>78.66</v>
      </c>
      <c r="E238" s="6">
        <v>100</v>
      </c>
      <c r="F238" s="6"/>
      <c r="G238" s="6"/>
      <c r="H238" s="6"/>
      <c r="I238" s="6"/>
      <c r="J238" s="6">
        <v>60</v>
      </c>
      <c r="K238" s="6">
        <v>135411.6</v>
      </c>
      <c r="L238" s="6"/>
      <c r="M238" s="6"/>
      <c r="N238" s="6">
        <f t="shared" si="21"/>
        <v>60</v>
      </c>
      <c r="O238" s="6">
        <f t="shared" si="22"/>
        <v>135411.6</v>
      </c>
      <c r="P238" s="6">
        <v>21</v>
      </c>
      <c r="Q238" s="6">
        <v>51554</v>
      </c>
      <c r="R238" s="60"/>
      <c r="S238" s="60"/>
    </row>
    <row r="239" spans="1:19" s="1" customFormat="1" hidden="1" outlineLevel="1" x14ac:dyDescent="0.25">
      <c r="A239" s="7" t="s">
        <v>171</v>
      </c>
      <c r="B239" s="7" t="s">
        <v>172</v>
      </c>
      <c r="C239" s="14">
        <v>216.19</v>
      </c>
      <c r="D239" s="6">
        <v>38.630000000000003</v>
      </c>
      <c r="E239" s="6">
        <v>100</v>
      </c>
      <c r="F239" s="6"/>
      <c r="G239" s="6"/>
      <c r="H239" s="6">
        <v>206</v>
      </c>
      <c r="I239" s="6">
        <v>44535.14</v>
      </c>
      <c r="J239" s="6">
        <v>760</v>
      </c>
      <c r="K239" s="6">
        <v>164304.4</v>
      </c>
      <c r="L239" s="6"/>
      <c r="M239" s="6"/>
      <c r="N239" s="6">
        <f t="shared" si="21"/>
        <v>966</v>
      </c>
      <c r="O239" s="6">
        <f t="shared" si="22"/>
        <v>208839.54</v>
      </c>
      <c r="P239" s="6">
        <v>155</v>
      </c>
      <c r="Q239" s="6">
        <v>32875</v>
      </c>
      <c r="R239" s="60"/>
      <c r="S239" s="60"/>
    </row>
    <row r="240" spans="1:19" s="1" customFormat="1" hidden="1" outlineLevel="1" x14ac:dyDescent="0.25">
      <c r="A240" s="7" t="s">
        <v>185</v>
      </c>
      <c r="B240" s="7" t="s">
        <v>186</v>
      </c>
      <c r="C240" s="14">
        <v>137.1</v>
      </c>
      <c r="D240" s="6">
        <v>66.150000000000006</v>
      </c>
      <c r="E240" s="6">
        <v>100</v>
      </c>
      <c r="F240" s="6"/>
      <c r="G240" s="6"/>
      <c r="H240" s="6">
        <v>12</v>
      </c>
      <c r="I240" s="6">
        <v>1645.2</v>
      </c>
      <c r="J240" s="6">
        <v>142</v>
      </c>
      <c r="K240" s="6">
        <v>19468.2</v>
      </c>
      <c r="L240" s="6"/>
      <c r="M240" s="6"/>
      <c r="N240" s="6">
        <f t="shared" si="21"/>
        <v>154</v>
      </c>
      <c r="O240" s="6">
        <f t="shared" si="22"/>
        <v>21113.399999999998</v>
      </c>
      <c r="P240" s="6">
        <v>322</v>
      </c>
      <c r="Q240" s="6">
        <v>51104</v>
      </c>
      <c r="R240" s="60"/>
      <c r="S240" s="60"/>
    </row>
    <row r="241" spans="1:19" s="1" customFormat="1" hidden="1" outlineLevel="1" x14ac:dyDescent="0.25">
      <c r="A241" s="7" t="s">
        <v>107</v>
      </c>
      <c r="B241" s="7" t="s">
        <v>108</v>
      </c>
      <c r="C241" s="14">
        <v>425</v>
      </c>
      <c r="D241" s="6">
        <v>66.53</v>
      </c>
      <c r="E241" s="6">
        <v>100</v>
      </c>
      <c r="F241" s="6"/>
      <c r="G241" s="6"/>
      <c r="H241" s="6">
        <v>150</v>
      </c>
      <c r="I241" s="6">
        <v>63750</v>
      </c>
      <c r="J241" s="6">
        <v>740</v>
      </c>
      <c r="K241" s="6">
        <v>314500</v>
      </c>
      <c r="L241" s="6"/>
      <c r="M241" s="6"/>
      <c r="N241" s="6">
        <f t="shared" si="21"/>
        <v>890</v>
      </c>
      <c r="O241" s="6">
        <f t="shared" si="22"/>
        <v>378250</v>
      </c>
      <c r="P241" s="6">
        <v>114</v>
      </c>
      <c r="Q241" s="6">
        <v>57745</v>
      </c>
      <c r="R241" s="60"/>
      <c r="S241" s="60"/>
    </row>
    <row r="242" spans="1:19" s="1" customFormat="1" hidden="1" outlineLevel="1" x14ac:dyDescent="0.25">
      <c r="A242" s="7" t="s">
        <v>119</v>
      </c>
      <c r="B242" s="7" t="s">
        <v>120</v>
      </c>
      <c r="C242" s="14">
        <v>144.61000000000001</v>
      </c>
      <c r="D242" s="6">
        <v>88.66</v>
      </c>
      <c r="E242" s="6">
        <v>100</v>
      </c>
      <c r="F242" s="6">
        <v>6</v>
      </c>
      <c r="G242" s="6">
        <v>867.66</v>
      </c>
      <c r="H242" s="6">
        <v>9</v>
      </c>
      <c r="I242" s="6">
        <v>1301.49</v>
      </c>
      <c r="J242" s="6">
        <v>1755</v>
      </c>
      <c r="K242" s="6">
        <v>253790.55</v>
      </c>
      <c r="L242" s="6"/>
      <c r="M242" s="6"/>
      <c r="N242" s="6">
        <f t="shared" si="21"/>
        <v>1770</v>
      </c>
      <c r="O242" s="6">
        <f t="shared" si="22"/>
        <v>255959.7</v>
      </c>
      <c r="P242" s="6">
        <v>129</v>
      </c>
      <c r="Q242" s="6">
        <v>17160</v>
      </c>
      <c r="R242" s="60"/>
      <c r="S242" s="60"/>
    </row>
    <row r="243" spans="1:19" s="1" customFormat="1" hidden="1" outlineLevel="1" x14ac:dyDescent="0.25">
      <c r="A243" s="7" t="s">
        <v>508</v>
      </c>
      <c r="B243" s="7" t="s">
        <v>509</v>
      </c>
      <c r="C243" s="14">
        <v>390</v>
      </c>
      <c r="D243" s="6">
        <v>68.599999999999994</v>
      </c>
      <c r="E243" s="6">
        <v>100</v>
      </c>
      <c r="F243" s="6"/>
      <c r="G243" s="6"/>
      <c r="H243" s="6"/>
      <c r="I243" s="6"/>
      <c r="J243" s="6">
        <v>275</v>
      </c>
      <c r="K243" s="6">
        <v>107250</v>
      </c>
      <c r="L243" s="6"/>
      <c r="M243" s="6"/>
      <c r="N243" s="6">
        <f t="shared" si="21"/>
        <v>275</v>
      </c>
      <c r="O243" s="6">
        <f t="shared" si="22"/>
        <v>107250</v>
      </c>
      <c r="P243" s="6">
        <v>24</v>
      </c>
      <c r="Q243" s="6">
        <v>11189</v>
      </c>
      <c r="R243" s="60"/>
      <c r="S243" s="60"/>
    </row>
    <row r="244" spans="1:19" s="1" customFormat="1" hidden="1" outlineLevel="1" x14ac:dyDescent="0.25">
      <c r="A244" s="7" t="s">
        <v>101</v>
      </c>
      <c r="B244" s="7" t="s">
        <v>102</v>
      </c>
      <c r="C244" s="14">
        <v>128.13999999999999</v>
      </c>
      <c r="D244" s="6">
        <v>106.55</v>
      </c>
      <c r="E244" s="6">
        <v>100</v>
      </c>
      <c r="F244" s="6"/>
      <c r="G244" s="6"/>
      <c r="H244" s="6">
        <v>360</v>
      </c>
      <c r="I244" s="6">
        <v>46130.400000000001</v>
      </c>
      <c r="J244" s="6">
        <v>1160</v>
      </c>
      <c r="K244" s="6">
        <v>148642.40000000002</v>
      </c>
      <c r="L244" s="6"/>
      <c r="M244" s="6"/>
      <c r="N244" s="6">
        <f t="shared" si="21"/>
        <v>1520</v>
      </c>
      <c r="O244" s="6">
        <f t="shared" si="22"/>
        <v>194772.8</v>
      </c>
      <c r="P244" s="6">
        <v>623</v>
      </c>
      <c r="Q244" s="6">
        <v>102467</v>
      </c>
      <c r="R244" s="60"/>
      <c r="S244" s="60"/>
    </row>
    <row r="245" spans="1:19" s="1" customFormat="1" hidden="1" outlineLevel="1" x14ac:dyDescent="0.25">
      <c r="A245" s="7" t="s">
        <v>492</v>
      </c>
      <c r="B245" s="7" t="s">
        <v>493</v>
      </c>
      <c r="C245" s="14">
        <v>104.71</v>
      </c>
      <c r="D245" s="6">
        <v>97.8</v>
      </c>
      <c r="E245" s="6">
        <v>100</v>
      </c>
      <c r="F245" s="6"/>
      <c r="G245" s="6"/>
      <c r="H245" s="6">
        <v>28</v>
      </c>
      <c r="I245" s="6">
        <v>2931.88</v>
      </c>
      <c r="J245" s="6">
        <v>873</v>
      </c>
      <c r="K245" s="6">
        <v>91411.83</v>
      </c>
      <c r="L245" s="6"/>
      <c r="M245" s="6"/>
      <c r="N245" s="6">
        <f t="shared" si="21"/>
        <v>901</v>
      </c>
      <c r="O245" s="6">
        <f t="shared" si="22"/>
        <v>94343.709999999992</v>
      </c>
      <c r="P245" s="6">
        <v>328</v>
      </c>
      <c r="Q245" s="6">
        <v>37915</v>
      </c>
      <c r="R245" s="60"/>
      <c r="S245" s="60"/>
    </row>
    <row r="246" spans="1:19" s="1" customFormat="1" hidden="1" outlineLevel="1" x14ac:dyDescent="0.25">
      <c r="A246" s="7" t="s">
        <v>399</v>
      </c>
      <c r="B246" s="7" t="s">
        <v>400</v>
      </c>
      <c r="C246" s="14">
        <v>361.88</v>
      </c>
      <c r="D246" s="6">
        <v>186.5</v>
      </c>
      <c r="E246" s="6">
        <v>100</v>
      </c>
      <c r="F246" s="6"/>
      <c r="G246" s="6"/>
      <c r="H246" s="6">
        <v>210</v>
      </c>
      <c r="I246" s="6">
        <v>75994.8</v>
      </c>
      <c r="J246" s="6">
        <v>876</v>
      </c>
      <c r="K246" s="6">
        <v>317006.88</v>
      </c>
      <c r="L246" s="6"/>
      <c r="M246" s="6"/>
      <c r="N246" s="6">
        <f t="shared" si="21"/>
        <v>1086</v>
      </c>
      <c r="O246" s="6">
        <f t="shared" si="22"/>
        <v>393001.68</v>
      </c>
      <c r="P246" s="6">
        <v>39</v>
      </c>
      <c r="Q246" s="6">
        <v>12456</v>
      </c>
      <c r="R246" s="60">
        <f t="shared" si="25"/>
        <v>30.530831099195709</v>
      </c>
      <c r="S246" s="60">
        <f t="shared" si="26"/>
        <v>11048.497158176942</v>
      </c>
    </row>
    <row r="247" spans="1:19" s="1" customFormat="1" hidden="1" outlineLevel="1" x14ac:dyDescent="0.25">
      <c r="A247" s="7" t="s">
        <v>91</v>
      </c>
      <c r="B247" s="7" t="s">
        <v>92</v>
      </c>
      <c r="C247" s="14">
        <v>279.57</v>
      </c>
      <c r="D247" s="6">
        <v>35.130000000000003</v>
      </c>
      <c r="E247" s="6">
        <v>100</v>
      </c>
      <c r="F247" s="6"/>
      <c r="G247" s="6"/>
      <c r="H247" s="6">
        <v>15</v>
      </c>
      <c r="I247" s="6">
        <v>4193.55</v>
      </c>
      <c r="J247" s="6">
        <v>236</v>
      </c>
      <c r="K247" s="6">
        <v>65978.52</v>
      </c>
      <c r="L247" s="6"/>
      <c r="M247" s="6"/>
      <c r="N247" s="6">
        <f t="shared" si="21"/>
        <v>251</v>
      </c>
      <c r="O247" s="6">
        <f t="shared" si="22"/>
        <v>70172.069999999992</v>
      </c>
      <c r="P247" s="6">
        <v>81</v>
      </c>
      <c r="Q247" s="6">
        <v>22309</v>
      </c>
      <c r="R247" s="60"/>
      <c r="S247" s="60"/>
    </row>
    <row r="248" spans="1:19" s="1" customFormat="1" hidden="1" outlineLevel="1" x14ac:dyDescent="0.25">
      <c r="A248" s="7" t="s">
        <v>638</v>
      </c>
      <c r="B248" s="7" t="s">
        <v>639</v>
      </c>
      <c r="C248" s="14">
        <v>249.65</v>
      </c>
      <c r="D248" s="6">
        <v>46.33</v>
      </c>
      <c r="E248" s="6">
        <v>100</v>
      </c>
      <c r="F248" s="6">
        <v>23</v>
      </c>
      <c r="G248" s="6">
        <v>5741.95</v>
      </c>
      <c r="H248" s="6">
        <v>6</v>
      </c>
      <c r="I248" s="6">
        <v>1497.9</v>
      </c>
      <c r="J248" s="6">
        <v>645</v>
      </c>
      <c r="K248" s="6">
        <v>161024.25</v>
      </c>
      <c r="L248" s="6"/>
      <c r="M248" s="6"/>
      <c r="N248" s="6">
        <f t="shared" si="21"/>
        <v>674</v>
      </c>
      <c r="O248" s="6">
        <f t="shared" si="22"/>
        <v>168264.1</v>
      </c>
      <c r="P248" s="6">
        <v>96</v>
      </c>
      <c r="Q248" s="6">
        <v>22233</v>
      </c>
      <c r="R248" s="60"/>
      <c r="S248" s="60"/>
    </row>
    <row r="249" spans="1:19" s="1" customFormat="1" hidden="1" outlineLevel="1" x14ac:dyDescent="0.25">
      <c r="A249" s="7" t="s">
        <v>482</v>
      </c>
      <c r="B249" s="7" t="s">
        <v>483</v>
      </c>
      <c r="C249" s="14">
        <v>81.42</v>
      </c>
      <c r="D249" s="6"/>
      <c r="E249" s="6">
        <v>100</v>
      </c>
      <c r="F249" s="6">
        <v>50</v>
      </c>
      <c r="G249" s="6">
        <v>4071</v>
      </c>
      <c r="H249" s="6">
        <v>229</v>
      </c>
      <c r="I249" s="6">
        <v>18645.18</v>
      </c>
      <c r="J249" s="6">
        <v>1821</v>
      </c>
      <c r="K249" s="6">
        <v>148265.82</v>
      </c>
      <c r="L249" s="6"/>
      <c r="M249" s="6"/>
      <c r="N249" s="6">
        <f t="shared" si="21"/>
        <v>2100</v>
      </c>
      <c r="O249" s="6">
        <f t="shared" si="22"/>
        <v>170982</v>
      </c>
      <c r="P249" s="6"/>
      <c r="Q249" s="6"/>
      <c r="R249" s="60"/>
      <c r="S249" s="60"/>
    </row>
    <row r="250" spans="1:19" s="1" customFormat="1" hidden="1" outlineLevel="1" x14ac:dyDescent="0.25">
      <c r="A250" s="7" t="s">
        <v>401</v>
      </c>
      <c r="B250" s="7" t="s">
        <v>402</v>
      </c>
      <c r="C250" s="14">
        <v>325.91000000000003</v>
      </c>
      <c r="D250" s="6">
        <v>481.71</v>
      </c>
      <c r="E250" s="6">
        <v>100</v>
      </c>
      <c r="F250" s="6"/>
      <c r="G250" s="6"/>
      <c r="H250" s="6">
        <v>162</v>
      </c>
      <c r="I250" s="6">
        <v>52797.42</v>
      </c>
      <c r="J250" s="6">
        <v>487</v>
      </c>
      <c r="K250" s="6">
        <v>158718.17000000001</v>
      </c>
      <c r="L250" s="6"/>
      <c r="M250" s="6"/>
      <c r="N250" s="6">
        <f t="shared" si="21"/>
        <v>649</v>
      </c>
      <c r="O250" s="6">
        <f t="shared" si="22"/>
        <v>211515.59000000003</v>
      </c>
      <c r="P250" s="6">
        <v>9</v>
      </c>
      <c r="Q250" s="6">
        <v>2930</v>
      </c>
      <c r="R250" s="60">
        <f t="shared" si="25"/>
        <v>305.02329202217101</v>
      </c>
      <c r="S250" s="60">
        <f t="shared" si="26"/>
        <v>99410.141102945767</v>
      </c>
    </row>
    <row r="251" spans="1:19" s="1" customFormat="1" hidden="1" outlineLevel="1" x14ac:dyDescent="0.25">
      <c r="A251" s="7" t="s">
        <v>496</v>
      </c>
      <c r="B251" s="7" t="s">
        <v>497</v>
      </c>
      <c r="C251" s="14">
        <v>153.15</v>
      </c>
      <c r="D251" s="6">
        <v>55.65</v>
      </c>
      <c r="E251" s="6">
        <v>82.56</v>
      </c>
      <c r="F251" s="6"/>
      <c r="G251" s="6"/>
      <c r="H251" s="6"/>
      <c r="I251" s="6"/>
      <c r="J251" s="6">
        <v>1516</v>
      </c>
      <c r="K251" s="6">
        <v>232175.4</v>
      </c>
      <c r="L251" s="6"/>
      <c r="M251" s="6"/>
      <c r="N251" s="6">
        <f t="shared" si="21"/>
        <v>1516</v>
      </c>
      <c r="O251" s="6">
        <f t="shared" si="22"/>
        <v>232175.4</v>
      </c>
      <c r="P251" s="6">
        <v>3</v>
      </c>
      <c r="Q251" s="6">
        <v>564</v>
      </c>
      <c r="R251" s="60"/>
      <c r="S251" s="60"/>
    </row>
    <row r="252" spans="1:19" s="1" customFormat="1" hidden="1" outlineLevel="1" x14ac:dyDescent="0.25">
      <c r="A252" s="7" t="s">
        <v>726</v>
      </c>
      <c r="B252" s="7" t="s">
        <v>727</v>
      </c>
      <c r="C252" s="14">
        <v>437.32</v>
      </c>
      <c r="D252" s="6">
        <v>37</v>
      </c>
      <c r="E252" s="6">
        <v>100</v>
      </c>
      <c r="F252" s="6"/>
      <c r="G252" s="6"/>
      <c r="H252" s="6">
        <v>14</v>
      </c>
      <c r="I252" s="6">
        <v>6122.48</v>
      </c>
      <c r="J252" s="6">
        <v>463</v>
      </c>
      <c r="K252" s="6">
        <v>202479.16</v>
      </c>
      <c r="L252" s="6"/>
      <c r="M252" s="6"/>
      <c r="N252" s="6">
        <f t="shared" si="21"/>
        <v>477</v>
      </c>
      <c r="O252" s="6">
        <f t="shared" si="22"/>
        <v>208601.63999999998</v>
      </c>
      <c r="P252" s="6">
        <v>81</v>
      </c>
      <c r="Q252" s="6">
        <v>32938</v>
      </c>
      <c r="R252" s="60"/>
      <c r="S252" s="60"/>
    </row>
    <row r="253" spans="1:19" s="1" customFormat="1" hidden="1" outlineLevel="1" x14ac:dyDescent="0.25">
      <c r="A253" s="7" t="s">
        <v>530</v>
      </c>
      <c r="B253" s="7" t="s">
        <v>531</v>
      </c>
      <c r="C253" s="14">
        <v>63</v>
      </c>
      <c r="D253" s="6">
        <v>85.02</v>
      </c>
      <c r="E253" s="6">
        <v>100</v>
      </c>
      <c r="F253" s="6">
        <v>15</v>
      </c>
      <c r="G253" s="6">
        <v>945</v>
      </c>
      <c r="H253" s="6">
        <v>211</v>
      </c>
      <c r="I253" s="6">
        <v>13293</v>
      </c>
      <c r="J253" s="6">
        <v>1202</v>
      </c>
      <c r="K253" s="6">
        <v>75726</v>
      </c>
      <c r="L253" s="6"/>
      <c r="M253" s="6"/>
      <c r="N253" s="6">
        <f t="shared" si="21"/>
        <v>1428</v>
      </c>
      <c r="O253" s="6">
        <f t="shared" si="22"/>
        <v>89964</v>
      </c>
      <c r="P253" s="6">
        <v>357</v>
      </c>
      <c r="Q253" s="6">
        <v>25606</v>
      </c>
      <c r="R253" s="60"/>
      <c r="S253" s="60"/>
    </row>
    <row r="254" spans="1:19" s="1" customFormat="1" hidden="1" outlineLevel="1" x14ac:dyDescent="0.25">
      <c r="A254" s="7" t="s">
        <v>640</v>
      </c>
      <c r="B254" s="7" t="s">
        <v>641</v>
      </c>
      <c r="C254" s="14">
        <v>249.65</v>
      </c>
      <c r="D254" s="6">
        <v>63.8</v>
      </c>
      <c r="E254" s="6">
        <v>100</v>
      </c>
      <c r="F254" s="6"/>
      <c r="G254" s="6"/>
      <c r="H254" s="6">
        <v>206</v>
      </c>
      <c r="I254" s="6">
        <v>51427.9</v>
      </c>
      <c r="J254" s="6">
        <v>859</v>
      </c>
      <c r="K254" s="6">
        <v>214449.35</v>
      </c>
      <c r="L254" s="6"/>
      <c r="M254" s="6"/>
      <c r="N254" s="6">
        <f t="shared" ref="N254:N285" si="27">IF(J254+L254+H254+F254&lt;=0,"",J254+L254+H254+F254)</f>
        <v>1065</v>
      </c>
      <c r="O254" s="6">
        <f t="shared" ref="O254:O285" si="28">IFERROR(C254*N254,"")</f>
        <v>265877.25</v>
      </c>
      <c r="P254" s="6">
        <v>81</v>
      </c>
      <c r="Q254" s="6">
        <v>21604</v>
      </c>
      <c r="R254" s="60"/>
      <c r="S254" s="60"/>
    </row>
    <row r="255" spans="1:19" s="1" customFormat="1" hidden="1" outlineLevel="1" x14ac:dyDescent="0.25">
      <c r="A255" s="7" t="s">
        <v>1315</v>
      </c>
      <c r="B255" s="7" t="s">
        <v>1316</v>
      </c>
      <c r="C255" s="14">
        <v>205.71</v>
      </c>
      <c r="D255" s="6">
        <v>71.91</v>
      </c>
      <c r="E255" s="6">
        <v>100</v>
      </c>
      <c r="F255" s="6"/>
      <c r="G255" s="6"/>
      <c r="H255" s="6"/>
      <c r="I255" s="6"/>
      <c r="J255" s="6">
        <v>1411</v>
      </c>
      <c r="K255" s="6">
        <v>290256.81</v>
      </c>
      <c r="L255" s="6"/>
      <c r="M255" s="6"/>
      <c r="N255" s="6">
        <f t="shared" si="27"/>
        <v>1411</v>
      </c>
      <c r="O255" s="6">
        <f t="shared" si="28"/>
        <v>290256.81</v>
      </c>
      <c r="P255" s="6">
        <v>132</v>
      </c>
      <c r="Q255" s="6">
        <v>20173</v>
      </c>
      <c r="R255" s="60"/>
      <c r="S255" s="60"/>
    </row>
    <row r="256" spans="1:19" s="1" customFormat="1" hidden="1" outlineLevel="1" x14ac:dyDescent="0.25">
      <c r="A256" s="7" t="s">
        <v>522</v>
      </c>
      <c r="B256" s="7" t="s">
        <v>523</v>
      </c>
      <c r="C256" s="14">
        <v>60.5</v>
      </c>
      <c r="D256" s="6">
        <v>39.86</v>
      </c>
      <c r="E256" s="6">
        <v>100</v>
      </c>
      <c r="F256" s="6">
        <v>189</v>
      </c>
      <c r="G256" s="6">
        <v>11434.5</v>
      </c>
      <c r="H256" s="6">
        <v>219</v>
      </c>
      <c r="I256" s="6">
        <v>13249.5</v>
      </c>
      <c r="J256" s="6">
        <v>2262</v>
      </c>
      <c r="K256" s="6">
        <v>136851</v>
      </c>
      <c r="L256" s="6"/>
      <c r="M256" s="6"/>
      <c r="N256" s="6">
        <f t="shared" si="27"/>
        <v>2670</v>
      </c>
      <c r="O256" s="6">
        <f t="shared" si="28"/>
        <v>161535</v>
      </c>
      <c r="P256" s="6">
        <v>80</v>
      </c>
      <c r="Q256" s="6">
        <v>5615</v>
      </c>
      <c r="R256" s="60"/>
      <c r="S256" s="60"/>
    </row>
    <row r="257" spans="1:19" s="1" customFormat="1" hidden="1" outlineLevel="1" x14ac:dyDescent="0.25">
      <c r="A257" s="7" t="s">
        <v>678</v>
      </c>
      <c r="B257" s="7" t="s">
        <v>679</v>
      </c>
      <c r="C257" s="14">
        <v>354.73</v>
      </c>
      <c r="D257" s="6">
        <v>110.19</v>
      </c>
      <c r="E257" s="6">
        <v>100</v>
      </c>
      <c r="F257" s="6"/>
      <c r="G257" s="6"/>
      <c r="H257" s="6">
        <v>216</v>
      </c>
      <c r="I257" s="6">
        <v>76621.679999999993</v>
      </c>
      <c r="J257" s="6">
        <v>704</v>
      </c>
      <c r="K257" s="6">
        <v>249729.92000000001</v>
      </c>
      <c r="L257" s="6"/>
      <c r="M257" s="6"/>
      <c r="N257" s="6">
        <f t="shared" si="27"/>
        <v>920</v>
      </c>
      <c r="O257" s="6">
        <f t="shared" si="28"/>
        <v>326351.60000000003</v>
      </c>
      <c r="P257" s="6">
        <v>34</v>
      </c>
      <c r="Q257" s="6">
        <v>12247</v>
      </c>
      <c r="R257" s="60"/>
      <c r="S257" s="60"/>
    </row>
    <row r="258" spans="1:19" s="1" customFormat="1" hidden="1" outlineLevel="1" x14ac:dyDescent="0.25">
      <c r="A258" s="7" t="s">
        <v>269</v>
      </c>
      <c r="B258" s="7" t="s">
        <v>270</v>
      </c>
      <c r="C258" s="14">
        <v>381.6</v>
      </c>
      <c r="D258" s="6">
        <v>44.47</v>
      </c>
      <c r="E258" s="6">
        <v>100</v>
      </c>
      <c r="F258" s="6">
        <v>3</v>
      </c>
      <c r="G258" s="6">
        <v>1144.8</v>
      </c>
      <c r="H258" s="6">
        <v>3</v>
      </c>
      <c r="I258" s="6">
        <v>1144.8</v>
      </c>
      <c r="J258" s="6">
        <v>617</v>
      </c>
      <c r="K258" s="6">
        <v>235447.2</v>
      </c>
      <c r="L258" s="6"/>
      <c r="M258" s="6"/>
      <c r="N258" s="6">
        <f t="shared" si="27"/>
        <v>623</v>
      </c>
      <c r="O258" s="6">
        <f t="shared" si="28"/>
        <v>237736.80000000002</v>
      </c>
      <c r="P258" s="6">
        <v>101</v>
      </c>
      <c r="Q258" s="6">
        <v>40491</v>
      </c>
      <c r="R258" s="60"/>
      <c r="S258" s="60"/>
    </row>
    <row r="259" spans="1:19" s="1" customFormat="1" hidden="1" outlineLevel="1" x14ac:dyDescent="0.25">
      <c r="A259" s="7" t="s">
        <v>544</v>
      </c>
      <c r="B259" s="7" t="s">
        <v>545</v>
      </c>
      <c r="C259" s="14">
        <v>1588.53</v>
      </c>
      <c r="D259" s="6">
        <v>122.89</v>
      </c>
      <c r="E259" s="6">
        <v>100</v>
      </c>
      <c r="F259" s="6"/>
      <c r="G259" s="6"/>
      <c r="H259" s="6"/>
      <c r="I259" s="6"/>
      <c r="J259" s="6">
        <v>21</v>
      </c>
      <c r="K259" s="6">
        <v>33359.129999999997</v>
      </c>
      <c r="L259" s="6">
        <v>610</v>
      </c>
      <c r="M259" s="6">
        <v>969003.3</v>
      </c>
      <c r="N259" s="6">
        <f t="shared" si="27"/>
        <v>631</v>
      </c>
      <c r="O259" s="6">
        <f t="shared" si="28"/>
        <v>1002362.4299999999</v>
      </c>
      <c r="P259" s="6">
        <v>8</v>
      </c>
      <c r="Q259" s="6">
        <v>14826</v>
      </c>
      <c r="R259" s="60"/>
      <c r="S259" s="60"/>
    </row>
    <row r="260" spans="1:19" s="1" customFormat="1" hidden="1" outlineLevel="1" x14ac:dyDescent="0.25">
      <c r="A260" s="7" t="s">
        <v>891</v>
      </c>
      <c r="B260" s="7" t="s">
        <v>892</v>
      </c>
      <c r="C260" s="14">
        <v>280</v>
      </c>
      <c r="D260" s="6">
        <v>81.739999999999995</v>
      </c>
      <c r="E260" s="6">
        <v>100</v>
      </c>
      <c r="F260" s="6"/>
      <c r="G260" s="6"/>
      <c r="H260" s="6"/>
      <c r="I260" s="6"/>
      <c r="J260" s="6">
        <v>84</v>
      </c>
      <c r="K260" s="6">
        <v>23520</v>
      </c>
      <c r="L260" s="6"/>
      <c r="M260" s="6"/>
      <c r="N260" s="6">
        <f t="shared" si="27"/>
        <v>84</v>
      </c>
      <c r="O260" s="6">
        <f t="shared" si="28"/>
        <v>23520</v>
      </c>
      <c r="P260" s="6">
        <v>55</v>
      </c>
      <c r="Q260" s="6">
        <v>18250</v>
      </c>
      <c r="R260" s="60"/>
      <c r="S260" s="60"/>
    </row>
    <row r="261" spans="1:19" s="1" customFormat="1" hidden="1" outlineLevel="1" x14ac:dyDescent="0.25">
      <c r="A261" s="7" t="s">
        <v>432</v>
      </c>
      <c r="B261" s="7" t="s">
        <v>433</v>
      </c>
      <c r="C261" s="14">
        <v>66.83</v>
      </c>
      <c r="D261" s="6">
        <v>224.61</v>
      </c>
      <c r="E261" s="6">
        <v>100</v>
      </c>
      <c r="F261" s="6">
        <v>2</v>
      </c>
      <c r="G261" s="6">
        <v>133.66</v>
      </c>
      <c r="H261" s="6"/>
      <c r="I261" s="6"/>
      <c r="J261" s="6">
        <v>2129</v>
      </c>
      <c r="K261" s="6">
        <v>142281.07</v>
      </c>
      <c r="L261" s="6"/>
      <c r="M261" s="6"/>
      <c r="N261" s="6">
        <f t="shared" si="27"/>
        <v>2131</v>
      </c>
      <c r="O261" s="6">
        <f t="shared" si="28"/>
        <v>142414.73000000001</v>
      </c>
      <c r="P261" s="6">
        <v>275</v>
      </c>
      <c r="Q261" s="6">
        <v>21342</v>
      </c>
      <c r="R261" s="60">
        <f t="shared" si="25"/>
        <v>422.84266061172713</v>
      </c>
      <c r="S261" s="60">
        <f t="shared" si="26"/>
        <v>28258.575008681724</v>
      </c>
    </row>
    <row r="262" spans="1:19" s="1" customFormat="1" hidden="1" outlineLevel="1" x14ac:dyDescent="0.25">
      <c r="A262" s="7" t="s">
        <v>674</v>
      </c>
      <c r="B262" s="7" t="s">
        <v>675</v>
      </c>
      <c r="C262" s="14">
        <v>261.52999999999997</v>
      </c>
      <c r="D262" s="6">
        <v>52.5</v>
      </c>
      <c r="E262" s="6">
        <v>100</v>
      </c>
      <c r="F262" s="6"/>
      <c r="G262" s="6"/>
      <c r="H262" s="6"/>
      <c r="I262" s="6"/>
      <c r="J262" s="6">
        <v>247</v>
      </c>
      <c r="K262" s="6">
        <v>64597.91</v>
      </c>
      <c r="L262" s="6"/>
      <c r="M262" s="6"/>
      <c r="N262" s="6">
        <f t="shared" si="27"/>
        <v>247</v>
      </c>
      <c r="O262" s="6">
        <f t="shared" si="28"/>
        <v>64597.909999999996</v>
      </c>
      <c r="P262" s="6">
        <v>86</v>
      </c>
      <c r="Q262" s="6">
        <v>24327</v>
      </c>
      <c r="R262" s="60"/>
      <c r="S262" s="60"/>
    </row>
    <row r="263" spans="1:19" s="1" customFormat="1" hidden="1" outlineLevel="1" x14ac:dyDescent="0.25">
      <c r="A263" s="7" t="s">
        <v>881</v>
      </c>
      <c r="B263" s="7" t="s">
        <v>882</v>
      </c>
      <c r="C263" s="14">
        <v>255</v>
      </c>
      <c r="D263" s="6">
        <v>51.26</v>
      </c>
      <c r="E263" s="6">
        <v>99.41</v>
      </c>
      <c r="F263" s="6">
        <v>2</v>
      </c>
      <c r="G263" s="6">
        <v>510</v>
      </c>
      <c r="H263" s="6">
        <v>31</v>
      </c>
      <c r="I263" s="6">
        <v>7905</v>
      </c>
      <c r="J263" s="6">
        <v>470</v>
      </c>
      <c r="K263" s="6">
        <v>119850</v>
      </c>
      <c r="L263" s="6"/>
      <c r="M263" s="6"/>
      <c r="N263" s="6">
        <f t="shared" si="27"/>
        <v>503</v>
      </c>
      <c r="O263" s="6">
        <f t="shared" si="28"/>
        <v>128265</v>
      </c>
      <c r="P263" s="6">
        <v>8</v>
      </c>
      <c r="Q263" s="6">
        <v>2867</v>
      </c>
      <c r="R263" s="60"/>
      <c r="S263" s="60"/>
    </row>
    <row r="264" spans="1:19" s="1" customFormat="1" hidden="1" outlineLevel="1" x14ac:dyDescent="0.25">
      <c r="A264" s="7" t="s">
        <v>827</v>
      </c>
      <c r="B264" s="7" t="s">
        <v>828</v>
      </c>
      <c r="C264" s="14">
        <v>34.119999999999997</v>
      </c>
      <c r="D264" s="6">
        <v>45.65</v>
      </c>
      <c r="E264" s="6">
        <v>100</v>
      </c>
      <c r="F264" s="6">
        <v>15</v>
      </c>
      <c r="G264" s="6">
        <v>511.8</v>
      </c>
      <c r="H264" s="6">
        <v>106</v>
      </c>
      <c r="I264" s="6">
        <v>3616.72</v>
      </c>
      <c r="J264" s="6">
        <v>5346</v>
      </c>
      <c r="K264" s="6">
        <v>182405.52</v>
      </c>
      <c r="L264" s="6"/>
      <c r="M264" s="6"/>
      <c r="N264" s="6">
        <f t="shared" si="27"/>
        <v>5467</v>
      </c>
      <c r="O264" s="6">
        <f t="shared" si="28"/>
        <v>186534.03999999998</v>
      </c>
      <c r="P264" s="6">
        <v>388</v>
      </c>
      <c r="Q264" s="6">
        <v>14321</v>
      </c>
      <c r="R264" s="60"/>
      <c r="S264" s="60"/>
    </row>
    <row r="265" spans="1:19" s="1" customFormat="1" hidden="1" outlineLevel="1" x14ac:dyDescent="0.25">
      <c r="A265" s="7" t="s">
        <v>181</v>
      </c>
      <c r="B265" s="7" t="s">
        <v>182</v>
      </c>
      <c r="C265" s="14">
        <v>735.35</v>
      </c>
      <c r="D265" s="6">
        <v>25.17</v>
      </c>
      <c r="E265" s="6">
        <v>100</v>
      </c>
      <c r="F265" s="6"/>
      <c r="G265" s="6"/>
      <c r="H265" s="6">
        <v>7</v>
      </c>
      <c r="I265" s="6">
        <v>5147.45</v>
      </c>
      <c r="J265" s="6">
        <v>319</v>
      </c>
      <c r="K265" s="6">
        <v>234576.65</v>
      </c>
      <c r="L265" s="6"/>
      <c r="M265" s="6"/>
      <c r="N265" s="6">
        <f t="shared" si="27"/>
        <v>326</v>
      </c>
      <c r="O265" s="6">
        <f t="shared" si="28"/>
        <v>239724.1</v>
      </c>
      <c r="P265" s="6">
        <v>31</v>
      </c>
      <c r="Q265" s="6">
        <v>22920</v>
      </c>
      <c r="R265" s="60"/>
      <c r="S265" s="60"/>
    </row>
    <row r="266" spans="1:19" s="1" customFormat="1" hidden="1" outlineLevel="1" x14ac:dyDescent="0.25">
      <c r="A266" s="7" t="s">
        <v>929</v>
      </c>
      <c r="B266" s="7" t="s">
        <v>930</v>
      </c>
      <c r="C266" s="14">
        <v>77.22</v>
      </c>
      <c r="D266" s="6">
        <v>225.77</v>
      </c>
      <c r="E266" s="6">
        <v>100</v>
      </c>
      <c r="F266" s="6"/>
      <c r="G266" s="6"/>
      <c r="H266" s="6"/>
      <c r="I266" s="6"/>
      <c r="J266" s="6">
        <v>3460</v>
      </c>
      <c r="K266" s="6">
        <v>267181.2</v>
      </c>
      <c r="L266" s="6"/>
      <c r="M266" s="6"/>
      <c r="N266" s="6">
        <f t="shared" si="27"/>
        <v>3460</v>
      </c>
      <c r="O266" s="6">
        <f t="shared" si="28"/>
        <v>267181.2</v>
      </c>
      <c r="P266" s="6">
        <v>339</v>
      </c>
      <c r="Q266" s="6">
        <v>32007</v>
      </c>
      <c r="R266" s="60">
        <f t="shared" si="25"/>
        <v>701.44040395092361</v>
      </c>
      <c r="S266" s="60">
        <f t="shared" si="26"/>
        <v>54165.227993090317</v>
      </c>
    </row>
    <row r="267" spans="1:19" s="1" customFormat="1" hidden="1" outlineLevel="1" x14ac:dyDescent="0.25">
      <c r="A267" s="7" t="s">
        <v>397</v>
      </c>
      <c r="B267" s="7" t="s">
        <v>398</v>
      </c>
      <c r="C267" s="14">
        <v>307.07</v>
      </c>
      <c r="D267" s="6">
        <v>28.33</v>
      </c>
      <c r="E267" s="6">
        <v>89.25</v>
      </c>
      <c r="F267" s="6"/>
      <c r="G267" s="6"/>
      <c r="H267" s="6">
        <v>107</v>
      </c>
      <c r="I267" s="6">
        <v>32856.49</v>
      </c>
      <c r="J267" s="6">
        <v>567</v>
      </c>
      <c r="K267" s="6">
        <v>174108.69</v>
      </c>
      <c r="L267" s="6"/>
      <c r="M267" s="6"/>
      <c r="N267" s="6">
        <f t="shared" si="27"/>
        <v>674</v>
      </c>
      <c r="O267" s="6">
        <f t="shared" si="28"/>
        <v>206965.18</v>
      </c>
      <c r="P267" s="6">
        <v>121</v>
      </c>
      <c r="Q267" s="6">
        <v>29043</v>
      </c>
      <c r="R267" s="60"/>
      <c r="S267" s="60"/>
    </row>
    <row r="268" spans="1:19" s="1" customFormat="1" hidden="1" outlineLevel="1" x14ac:dyDescent="0.25">
      <c r="A268" s="7" t="s">
        <v>223</v>
      </c>
      <c r="B268" s="7" t="s">
        <v>224</v>
      </c>
      <c r="C268" s="14">
        <v>648.98</v>
      </c>
      <c r="D268" s="6">
        <v>13.55</v>
      </c>
      <c r="E268" s="6">
        <v>100</v>
      </c>
      <c r="F268" s="6"/>
      <c r="G268" s="6"/>
      <c r="H268" s="6">
        <v>12</v>
      </c>
      <c r="I268" s="6">
        <v>7787.76</v>
      </c>
      <c r="J268" s="6">
        <v>248</v>
      </c>
      <c r="K268" s="6">
        <v>160947.04</v>
      </c>
      <c r="L268" s="6"/>
      <c r="M268" s="6"/>
      <c r="N268" s="6">
        <f t="shared" si="27"/>
        <v>260</v>
      </c>
      <c r="O268" s="6">
        <f t="shared" si="28"/>
        <v>168734.80000000002</v>
      </c>
      <c r="P268" s="6">
        <v>14</v>
      </c>
      <c r="Q268" s="6">
        <v>9863</v>
      </c>
      <c r="R268" s="60"/>
      <c r="S268" s="60"/>
    </row>
    <row r="269" spans="1:19" s="1" customFormat="1" hidden="1" outlineLevel="1" x14ac:dyDescent="0.25">
      <c r="A269" s="7" t="s">
        <v>99</v>
      </c>
      <c r="B269" s="7" t="s">
        <v>100</v>
      </c>
      <c r="C269" s="14">
        <v>106.75</v>
      </c>
      <c r="D269" s="6">
        <v>131.55000000000001</v>
      </c>
      <c r="E269" s="6">
        <v>100</v>
      </c>
      <c r="F269" s="6"/>
      <c r="G269" s="6"/>
      <c r="H269" s="6">
        <v>310</v>
      </c>
      <c r="I269" s="6">
        <v>33092.5</v>
      </c>
      <c r="J269" s="6">
        <v>2748</v>
      </c>
      <c r="K269" s="6">
        <v>293349</v>
      </c>
      <c r="L269" s="6"/>
      <c r="M269" s="6"/>
      <c r="N269" s="6">
        <f t="shared" si="27"/>
        <v>3058</v>
      </c>
      <c r="O269" s="6">
        <f t="shared" si="28"/>
        <v>326441.5</v>
      </c>
      <c r="P269" s="6">
        <v>100</v>
      </c>
      <c r="Q269" s="6">
        <v>14748</v>
      </c>
      <c r="R269" s="60"/>
      <c r="S269" s="60"/>
    </row>
    <row r="270" spans="1:19" s="1" customFormat="1" hidden="1" outlineLevel="1" x14ac:dyDescent="0.25">
      <c r="A270" s="7" t="s">
        <v>594</v>
      </c>
      <c r="B270" s="7" t="s">
        <v>595</v>
      </c>
      <c r="C270" s="14">
        <v>1017.99</v>
      </c>
      <c r="D270" s="6">
        <v>80.61</v>
      </c>
      <c r="E270" s="6">
        <v>100</v>
      </c>
      <c r="F270" s="6"/>
      <c r="G270" s="6"/>
      <c r="H270" s="6">
        <v>2</v>
      </c>
      <c r="I270" s="6">
        <v>2035.98</v>
      </c>
      <c r="J270" s="6">
        <v>36</v>
      </c>
      <c r="K270" s="6">
        <v>36647.64</v>
      </c>
      <c r="L270" s="6"/>
      <c r="M270" s="6"/>
      <c r="N270" s="6">
        <f t="shared" si="27"/>
        <v>38</v>
      </c>
      <c r="O270" s="6">
        <f t="shared" si="28"/>
        <v>38683.620000000003</v>
      </c>
      <c r="P270" s="6">
        <v>8</v>
      </c>
      <c r="Q270" s="6">
        <v>7665</v>
      </c>
      <c r="R270" s="60"/>
      <c r="S270" s="60"/>
    </row>
    <row r="271" spans="1:19" s="1" customFormat="1" hidden="1" outlineLevel="1" x14ac:dyDescent="0.25">
      <c r="A271" s="7" t="s">
        <v>778</v>
      </c>
      <c r="B271" s="7" t="s">
        <v>779</v>
      </c>
      <c r="C271" s="14">
        <v>303.29000000000002</v>
      </c>
      <c r="D271" s="6">
        <v>213.33</v>
      </c>
      <c r="E271" s="6">
        <v>74.19</v>
      </c>
      <c r="F271" s="6"/>
      <c r="G271" s="6"/>
      <c r="H271" s="6"/>
      <c r="I271" s="6"/>
      <c r="J271" s="6">
        <v>1401</v>
      </c>
      <c r="K271" s="6">
        <v>424909.29</v>
      </c>
      <c r="L271" s="6"/>
      <c r="M271" s="6"/>
      <c r="N271" s="6">
        <f t="shared" si="27"/>
        <v>1401</v>
      </c>
      <c r="O271" s="6">
        <f t="shared" si="28"/>
        <v>424909.29000000004</v>
      </c>
      <c r="P271" s="6">
        <v>82</v>
      </c>
      <c r="Q271" s="6">
        <v>26947</v>
      </c>
      <c r="R271" s="60">
        <f t="shared" si="25"/>
        <v>218.88777949655471</v>
      </c>
      <c r="S271" s="60">
        <f t="shared" si="26"/>
        <v>66386.474643510082</v>
      </c>
    </row>
    <row r="272" spans="1:19" s="1" customFormat="1" hidden="1" outlineLevel="1" x14ac:dyDescent="0.25">
      <c r="A272" s="7" t="s">
        <v>275</v>
      </c>
      <c r="B272" s="7" t="s">
        <v>276</v>
      </c>
      <c r="C272" s="14">
        <v>381.32</v>
      </c>
      <c r="D272" s="6">
        <v>227.4</v>
      </c>
      <c r="E272" s="6">
        <v>100</v>
      </c>
      <c r="F272" s="6"/>
      <c r="G272" s="6"/>
      <c r="H272" s="6"/>
      <c r="I272" s="6"/>
      <c r="J272" s="6">
        <v>1154</v>
      </c>
      <c r="K272" s="6">
        <v>440043.28</v>
      </c>
      <c r="L272" s="6"/>
      <c r="M272" s="6"/>
      <c r="N272" s="6">
        <f t="shared" si="27"/>
        <v>1154</v>
      </c>
      <c r="O272" s="6">
        <f t="shared" si="28"/>
        <v>440043.27999999997</v>
      </c>
      <c r="P272" s="6">
        <v>44</v>
      </c>
      <c r="Q272" s="6">
        <v>17966</v>
      </c>
      <c r="R272" s="60">
        <f t="shared" si="25"/>
        <v>240.54353562005278</v>
      </c>
      <c r="S272" s="60">
        <f t="shared" si="26"/>
        <v>91724.061002638526</v>
      </c>
    </row>
    <row r="273" spans="1:19" s="1" customFormat="1" hidden="1" outlineLevel="1" x14ac:dyDescent="0.25">
      <c r="A273" s="7" t="s">
        <v>630</v>
      </c>
      <c r="B273" s="7" t="s">
        <v>631</v>
      </c>
      <c r="C273" s="14">
        <v>97.83</v>
      </c>
      <c r="D273" s="6">
        <v>193.36</v>
      </c>
      <c r="E273" s="6">
        <v>74.19</v>
      </c>
      <c r="F273" s="6"/>
      <c r="G273" s="6"/>
      <c r="H273" s="6"/>
      <c r="I273" s="6"/>
      <c r="J273" s="6">
        <v>574</v>
      </c>
      <c r="K273" s="6">
        <v>56154.42</v>
      </c>
      <c r="L273" s="6"/>
      <c r="M273" s="6"/>
      <c r="N273" s="6">
        <f t="shared" si="27"/>
        <v>574</v>
      </c>
      <c r="O273" s="6">
        <f t="shared" si="28"/>
        <v>56154.42</v>
      </c>
      <c r="P273" s="6">
        <v>210</v>
      </c>
      <c r="Q273" s="6">
        <v>24892</v>
      </c>
      <c r="R273" s="60">
        <f t="shared" si="25"/>
        <v>39.659908978072032</v>
      </c>
      <c r="S273" s="60">
        <f t="shared" si="26"/>
        <v>3879.9288953247869</v>
      </c>
    </row>
    <row r="274" spans="1:19" s="1" customFormat="1" hidden="1" outlineLevel="1" x14ac:dyDescent="0.25">
      <c r="A274" s="7" t="s">
        <v>213</v>
      </c>
      <c r="B274" s="7" t="s">
        <v>214</v>
      </c>
      <c r="C274" s="14">
        <v>112.08</v>
      </c>
      <c r="D274" s="6">
        <v>159.51</v>
      </c>
      <c r="E274" s="6">
        <v>100</v>
      </c>
      <c r="F274" s="6">
        <v>3</v>
      </c>
      <c r="G274" s="6">
        <v>336.24</v>
      </c>
      <c r="H274" s="6">
        <v>90</v>
      </c>
      <c r="I274" s="6">
        <v>10087.200000000001</v>
      </c>
      <c r="J274" s="6">
        <v>3123</v>
      </c>
      <c r="K274" s="6">
        <v>350025.84</v>
      </c>
      <c r="L274" s="6"/>
      <c r="M274" s="6"/>
      <c r="N274" s="6">
        <f t="shared" si="27"/>
        <v>3216</v>
      </c>
      <c r="O274" s="6">
        <f t="shared" si="28"/>
        <v>360449.27999999997</v>
      </c>
      <c r="P274" s="6">
        <v>141</v>
      </c>
      <c r="Q274" s="6">
        <v>18091</v>
      </c>
      <c r="R274" s="60"/>
      <c r="S274" s="60"/>
    </row>
    <row r="275" spans="1:19" s="1" customFormat="1" hidden="1" outlineLevel="1" x14ac:dyDescent="0.25">
      <c r="A275" s="7" t="s">
        <v>672</v>
      </c>
      <c r="B275" s="7" t="s">
        <v>673</v>
      </c>
      <c r="C275" s="14">
        <v>256.73</v>
      </c>
      <c r="D275" s="6">
        <v>2754.07</v>
      </c>
      <c r="E275" s="6">
        <v>100</v>
      </c>
      <c r="F275" s="6">
        <v>1</v>
      </c>
      <c r="G275" s="6">
        <v>256.73</v>
      </c>
      <c r="H275" s="6"/>
      <c r="I275" s="6"/>
      <c r="J275" s="6">
        <v>1771</v>
      </c>
      <c r="K275" s="6">
        <v>454668.83</v>
      </c>
      <c r="L275" s="6"/>
      <c r="M275" s="6"/>
      <c r="N275" s="6">
        <f t="shared" si="27"/>
        <v>1772</v>
      </c>
      <c r="O275" s="6">
        <f t="shared" si="28"/>
        <v>454925.56000000006</v>
      </c>
      <c r="P275" s="6">
        <v>63</v>
      </c>
      <c r="Q275" s="6">
        <v>19879</v>
      </c>
      <c r="R275" s="60">
        <f t="shared" si="25"/>
        <v>1655.2513080640651</v>
      </c>
      <c r="S275" s="60">
        <f t="shared" si="26"/>
        <v>424952.66831928748</v>
      </c>
    </row>
    <row r="276" spans="1:19" s="1" customFormat="1" hidden="1" outlineLevel="1" x14ac:dyDescent="0.25">
      <c r="A276" s="7" t="s">
        <v>786</v>
      </c>
      <c r="B276" s="7" t="s">
        <v>787</v>
      </c>
      <c r="C276" s="14">
        <v>450</v>
      </c>
      <c r="D276" s="6">
        <v>479.95</v>
      </c>
      <c r="E276" s="6">
        <v>100</v>
      </c>
      <c r="F276" s="6"/>
      <c r="G276" s="6"/>
      <c r="H276" s="6"/>
      <c r="I276" s="6"/>
      <c r="J276" s="6">
        <v>73</v>
      </c>
      <c r="K276" s="6">
        <v>32850</v>
      </c>
      <c r="L276" s="6"/>
      <c r="M276" s="6"/>
      <c r="N276" s="6">
        <f t="shared" si="27"/>
        <v>73</v>
      </c>
      <c r="O276" s="6">
        <f t="shared" si="28"/>
        <v>32850</v>
      </c>
      <c r="P276" s="6">
        <v>21</v>
      </c>
      <c r="Q276" s="6">
        <v>11391</v>
      </c>
      <c r="R276" s="60">
        <f t="shared" si="25"/>
        <v>45.622148140431293</v>
      </c>
      <c r="S276" s="60">
        <f t="shared" si="26"/>
        <v>20529.966663194082</v>
      </c>
    </row>
    <row r="277" spans="1:19" s="1" customFormat="1" hidden="1" outlineLevel="1" x14ac:dyDescent="0.25">
      <c r="A277" s="7" t="s">
        <v>1157</v>
      </c>
      <c r="B277" s="7" t="s">
        <v>1158</v>
      </c>
      <c r="C277" s="14">
        <v>232.01</v>
      </c>
      <c r="D277" s="6">
        <v>189.67</v>
      </c>
      <c r="E277" s="6">
        <v>100</v>
      </c>
      <c r="F277" s="6"/>
      <c r="G277" s="6"/>
      <c r="H277" s="6">
        <v>30</v>
      </c>
      <c r="I277" s="6">
        <v>6960.3</v>
      </c>
      <c r="J277" s="6">
        <v>1047</v>
      </c>
      <c r="K277" s="6">
        <v>242914.47</v>
      </c>
      <c r="L277" s="6"/>
      <c r="M277" s="6"/>
      <c r="N277" s="6">
        <f t="shared" si="27"/>
        <v>1077</v>
      </c>
      <c r="O277" s="6">
        <f t="shared" si="28"/>
        <v>249874.77</v>
      </c>
      <c r="P277" s="6">
        <v>34</v>
      </c>
      <c r="Q277" s="6">
        <v>9640</v>
      </c>
      <c r="R277" s="60">
        <f t="shared" si="25"/>
        <v>53.379501238993974</v>
      </c>
      <c r="S277" s="60">
        <f t="shared" si="26"/>
        <v>12384.578082458991</v>
      </c>
    </row>
    <row r="278" spans="1:19" s="1" customFormat="1" hidden="1" outlineLevel="1" x14ac:dyDescent="0.25">
      <c r="A278" s="7" t="s">
        <v>632</v>
      </c>
      <c r="B278" s="7" t="s">
        <v>633</v>
      </c>
      <c r="C278" s="14">
        <v>97.83</v>
      </c>
      <c r="D278" s="6">
        <v>200.5</v>
      </c>
      <c r="E278" s="6">
        <v>100</v>
      </c>
      <c r="F278" s="6">
        <v>99</v>
      </c>
      <c r="G278" s="6">
        <v>9685.17</v>
      </c>
      <c r="H278" s="6"/>
      <c r="I278" s="6"/>
      <c r="J278" s="6">
        <v>493</v>
      </c>
      <c r="K278" s="6">
        <v>48230.189999999995</v>
      </c>
      <c r="L278" s="6"/>
      <c r="M278" s="6"/>
      <c r="N278" s="6">
        <f t="shared" si="27"/>
        <v>592</v>
      </c>
      <c r="O278" s="6">
        <f t="shared" si="28"/>
        <v>57915.360000000001</v>
      </c>
      <c r="P278" s="6">
        <v>106</v>
      </c>
      <c r="Q278" s="6">
        <v>12270</v>
      </c>
      <c r="R278" s="60">
        <f t="shared" si="25"/>
        <v>50.406483790523687</v>
      </c>
      <c r="S278" s="60">
        <f t="shared" si="26"/>
        <v>4931.2663092269322</v>
      </c>
    </row>
    <row r="279" spans="1:19" s="1" customFormat="1" hidden="1" outlineLevel="1" x14ac:dyDescent="0.25">
      <c r="A279" s="7" t="s">
        <v>1319</v>
      </c>
      <c r="B279" s="7" t="s">
        <v>1320</v>
      </c>
      <c r="C279" s="14">
        <v>95</v>
      </c>
      <c r="D279" s="6">
        <v>412.45</v>
      </c>
      <c r="E279" s="6">
        <v>100</v>
      </c>
      <c r="F279" s="6"/>
      <c r="G279" s="6"/>
      <c r="H279" s="6">
        <v>26</v>
      </c>
      <c r="I279" s="6">
        <v>2470</v>
      </c>
      <c r="J279" s="6">
        <v>310</v>
      </c>
      <c r="K279" s="6">
        <v>29450</v>
      </c>
      <c r="L279" s="6"/>
      <c r="M279" s="6"/>
      <c r="N279" s="6">
        <f t="shared" si="27"/>
        <v>336</v>
      </c>
      <c r="O279" s="6">
        <f t="shared" si="28"/>
        <v>31920</v>
      </c>
      <c r="P279" s="6">
        <v>170</v>
      </c>
      <c r="Q279" s="6">
        <v>19778</v>
      </c>
      <c r="R279" s="60">
        <f t="shared" si="25"/>
        <v>174.71087404533881</v>
      </c>
      <c r="S279" s="60">
        <f t="shared" si="26"/>
        <v>16597.533034307187</v>
      </c>
    </row>
    <row r="280" spans="1:19" s="1" customFormat="1" hidden="1" outlineLevel="1" x14ac:dyDescent="0.25">
      <c r="A280" s="7" t="s">
        <v>1101</v>
      </c>
      <c r="B280" s="7" t="s">
        <v>1102</v>
      </c>
      <c r="C280" s="14">
        <v>277.89999999999998</v>
      </c>
      <c r="D280" s="6"/>
      <c r="E280" s="6">
        <v>31.18</v>
      </c>
      <c r="F280" s="6"/>
      <c r="G280" s="6"/>
      <c r="H280" s="6"/>
      <c r="I280" s="6"/>
      <c r="J280" s="6">
        <v>457</v>
      </c>
      <c r="K280" s="6">
        <v>127000.3</v>
      </c>
      <c r="L280" s="6"/>
      <c r="M280" s="6"/>
      <c r="N280" s="6">
        <f t="shared" si="27"/>
        <v>457</v>
      </c>
      <c r="O280" s="6">
        <f t="shared" si="28"/>
        <v>127000.29999999999</v>
      </c>
      <c r="P280" s="6"/>
      <c r="Q280" s="6"/>
      <c r="R280" s="60"/>
      <c r="S280" s="60"/>
    </row>
    <row r="281" spans="1:19" s="1" customFormat="1" hidden="1" outlineLevel="1" x14ac:dyDescent="0.25">
      <c r="A281" s="7" t="s">
        <v>532</v>
      </c>
      <c r="B281" s="7" t="s">
        <v>533</v>
      </c>
      <c r="C281" s="14">
        <v>69</v>
      </c>
      <c r="D281" s="6">
        <v>1011.15</v>
      </c>
      <c r="E281" s="6">
        <v>100</v>
      </c>
      <c r="F281" s="6"/>
      <c r="G281" s="6"/>
      <c r="H281" s="6">
        <v>20</v>
      </c>
      <c r="I281" s="6">
        <v>1380</v>
      </c>
      <c r="J281" s="6">
        <v>5278</v>
      </c>
      <c r="K281" s="6">
        <v>364182</v>
      </c>
      <c r="L281" s="6"/>
      <c r="M281" s="6"/>
      <c r="N281" s="6">
        <f t="shared" si="27"/>
        <v>5298</v>
      </c>
      <c r="O281" s="6">
        <f t="shared" si="28"/>
        <v>365562</v>
      </c>
      <c r="P281" s="6">
        <v>163</v>
      </c>
      <c r="Q281" s="6">
        <v>12670</v>
      </c>
      <c r="R281" s="60">
        <f t="shared" si="25"/>
        <v>4338.4361370716506</v>
      </c>
      <c r="S281" s="60">
        <f t="shared" si="26"/>
        <v>299352.09345794388</v>
      </c>
    </row>
    <row r="282" spans="1:19" s="1" customFormat="1" hidden="1" outlineLevel="1" x14ac:dyDescent="0.25">
      <c r="A282" s="7" t="s">
        <v>371</v>
      </c>
      <c r="B282" s="7" t="s">
        <v>372</v>
      </c>
      <c r="C282" s="14">
        <v>516.42999999999995</v>
      </c>
      <c r="D282" s="6"/>
      <c r="E282" s="6">
        <v>100</v>
      </c>
      <c r="F282" s="6"/>
      <c r="G282" s="6"/>
      <c r="H282" s="6">
        <v>973</v>
      </c>
      <c r="I282" s="6">
        <v>502486.39</v>
      </c>
      <c r="J282" s="6">
        <v>0</v>
      </c>
      <c r="K282" s="6">
        <v>0</v>
      </c>
      <c r="L282" s="6"/>
      <c r="M282" s="6"/>
      <c r="N282" s="6">
        <f t="shared" si="27"/>
        <v>973</v>
      </c>
      <c r="O282" s="6">
        <f t="shared" si="28"/>
        <v>502486.38999999996</v>
      </c>
      <c r="P282" s="6">
        <v>1</v>
      </c>
      <c r="Q282" s="6">
        <v>646</v>
      </c>
      <c r="R282" s="60"/>
      <c r="S282" s="60"/>
    </row>
    <row r="283" spans="1:19" s="1" customFormat="1" hidden="1" outlineLevel="1" x14ac:dyDescent="0.25">
      <c r="A283" s="7" t="s">
        <v>93</v>
      </c>
      <c r="B283" s="7" t="s">
        <v>94</v>
      </c>
      <c r="C283" s="14">
        <v>220.79</v>
      </c>
      <c r="D283" s="6">
        <v>20.420000000000002</v>
      </c>
      <c r="E283" s="6">
        <v>100</v>
      </c>
      <c r="F283" s="6">
        <v>10</v>
      </c>
      <c r="G283" s="6">
        <v>2207.9</v>
      </c>
      <c r="H283" s="6">
        <v>13</v>
      </c>
      <c r="I283" s="6">
        <v>2870.27</v>
      </c>
      <c r="J283" s="6">
        <v>59</v>
      </c>
      <c r="K283" s="6">
        <v>13026.61</v>
      </c>
      <c r="L283" s="6"/>
      <c r="M283" s="6"/>
      <c r="N283" s="6">
        <f t="shared" si="27"/>
        <v>82</v>
      </c>
      <c r="O283" s="6">
        <f t="shared" si="28"/>
        <v>18104.78</v>
      </c>
      <c r="P283" s="6">
        <v>95</v>
      </c>
      <c r="Q283" s="6">
        <v>20469</v>
      </c>
      <c r="R283" s="60"/>
      <c r="S283" s="60"/>
    </row>
    <row r="284" spans="1:19" s="1" customFormat="1" hidden="1" outlineLevel="1" x14ac:dyDescent="0.25">
      <c r="A284" s="7" t="s">
        <v>698</v>
      </c>
      <c r="B284" s="7" t="s">
        <v>699</v>
      </c>
      <c r="C284" s="14">
        <v>525.27</v>
      </c>
      <c r="D284" s="6"/>
      <c r="E284" s="6">
        <v>87.1</v>
      </c>
      <c r="F284" s="6"/>
      <c r="G284" s="6"/>
      <c r="H284" s="6"/>
      <c r="I284" s="6"/>
      <c r="J284" s="6">
        <v>386</v>
      </c>
      <c r="K284" s="6">
        <v>202754.22</v>
      </c>
      <c r="L284" s="6"/>
      <c r="M284" s="6"/>
      <c r="N284" s="6">
        <f t="shared" si="27"/>
        <v>386</v>
      </c>
      <c r="O284" s="6">
        <f t="shared" si="28"/>
        <v>202754.22</v>
      </c>
      <c r="P284" s="6">
        <v>10</v>
      </c>
      <c r="Q284" s="6">
        <v>6347</v>
      </c>
      <c r="R284" s="60"/>
      <c r="S284" s="60"/>
    </row>
    <row r="285" spans="1:19" s="1" customFormat="1" hidden="1" outlineLevel="1" x14ac:dyDescent="0.25">
      <c r="A285" s="7" t="s">
        <v>1149</v>
      </c>
      <c r="B285" s="7" t="s">
        <v>1150</v>
      </c>
      <c r="C285" s="14">
        <v>405.64</v>
      </c>
      <c r="D285" s="6"/>
      <c r="E285" s="6">
        <v>100</v>
      </c>
      <c r="F285" s="6"/>
      <c r="G285" s="6"/>
      <c r="H285" s="6"/>
      <c r="I285" s="6"/>
      <c r="J285" s="6">
        <v>347</v>
      </c>
      <c r="K285" s="6">
        <v>140757.07999999999</v>
      </c>
      <c r="L285" s="6"/>
      <c r="M285" s="6"/>
      <c r="N285" s="6">
        <f t="shared" si="27"/>
        <v>347</v>
      </c>
      <c r="O285" s="6">
        <f t="shared" si="28"/>
        <v>140757.07999999999</v>
      </c>
      <c r="P285" s="6">
        <v>6</v>
      </c>
      <c r="Q285" s="6">
        <v>3042</v>
      </c>
      <c r="R285" s="60"/>
      <c r="S285" s="60"/>
    </row>
    <row r="286" spans="1:19" s="1" customFormat="1" hidden="1" outlineLevel="1" x14ac:dyDescent="0.25">
      <c r="A286" s="7" t="s">
        <v>500</v>
      </c>
      <c r="B286" s="7" t="s">
        <v>501</v>
      </c>
      <c r="C286" s="14">
        <v>79</v>
      </c>
      <c r="D286" s="6">
        <v>109.56</v>
      </c>
      <c r="E286" s="6">
        <v>100</v>
      </c>
      <c r="F286" s="6">
        <v>10</v>
      </c>
      <c r="G286" s="6">
        <v>790</v>
      </c>
      <c r="H286" s="6">
        <v>116</v>
      </c>
      <c r="I286" s="6">
        <v>9164</v>
      </c>
      <c r="J286" s="6">
        <v>1047</v>
      </c>
      <c r="K286" s="6">
        <v>82713</v>
      </c>
      <c r="L286" s="6"/>
      <c r="M286" s="6"/>
      <c r="N286" s="6">
        <f t="shared" ref="N286:N317" si="29">IF(J286+L286+H286+F286&lt;=0,"",J286+L286+H286+F286)</f>
        <v>1173</v>
      </c>
      <c r="O286" s="6">
        <f t="shared" ref="O286:O317" si="30">IFERROR(C286*N286,"")</f>
        <v>92667</v>
      </c>
      <c r="P286" s="6">
        <v>506</v>
      </c>
      <c r="Q286" s="6">
        <v>48107</v>
      </c>
      <c r="R286" s="60"/>
      <c r="S286" s="60"/>
    </row>
    <row r="287" spans="1:19" s="1" customFormat="1" hidden="1" outlineLevel="1" x14ac:dyDescent="0.25">
      <c r="A287" s="7" t="s">
        <v>987</v>
      </c>
      <c r="B287" s="7" t="s">
        <v>988</v>
      </c>
      <c r="C287" s="14">
        <v>1263.8</v>
      </c>
      <c r="D287" s="6">
        <v>124.69</v>
      </c>
      <c r="E287" s="6">
        <v>100</v>
      </c>
      <c r="F287" s="6"/>
      <c r="G287" s="6"/>
      <c r="H287" s="6">
        <v>30</v>
      </c>
      <c r="I287" s="6">
        <v>37914</v>
      </c>
      <c r="J287" s="6">
        <v>162</v>
      </c>
      <c r="K287" s="6">
        <v>204735.6</v>
      </c>
      <c r="L287" s="6"/>
      <c r="M287" s="6"/>
      <c r="N287" s="6">
        <f t="shared" si="29"/>
        <v>192</v>
      </c>
      <c r="O287" s="6">
        <f t="shared" si="30"/>
        <v>242649.59999999998</v>
      </c>
      <c r="P287" s="6">
        <v>1</v>
      </c>
      <c r="Q287" s="6">
        <v>1419</v>
      </c>
      <c r="R287" s="60"/>
      <c r="S287" s="60"/>
    </row>
    <row r="288" spans="1:19" s="1" customFormat="1" hidden="1" outlineLevel="1" x14ac:dyDescent="0.25">
      <c r="A288" s="7" t="s">
        <v>606</v>
      </c>
      <c r="B288" s="7" t="s">
        <v>607</v>
      </c>
      <c r="C288" s="14">
        <v>640.76</v>
      </c>
      <c r="D288" s="6">
        <v>70.11</v>
      </c>
      <c r="E288" s="6">
        <v>81.72</v>
      </c>
      <c r="F288" s="6">
        <v>10</v>
      </c>
      <c r="G288" s="6">
        <v>6407.6</v>
      </c>
      <c r="H288" s="6">
        <v>92</v>
      </c>
      <c r="I288" s="6">
        <v>58949.919999999998</v>
      </c>
      <c r="J288" s="6">
        <v>161</v>
      </c>
      <c r="K288" s="6">
        <v>103162.36</v>
      </c>
      <c r="L288" s="6"/>
      <c r="M288" s="6"/>
      <c r="N288" s="6">
        <f t="shared" si="29"/>
        <v>263</v>
      </c>
      <c r="O288" s="6">
        <f t="shared" si="30"/>
        <v>168519.88</v>
      </c>
      <c r="P288" s="6">
        <v>16</v>
      </c>
      <c r="Q288" s="6">
        <v>8550</v>
      </c>
      <c r="R288" s="60"/>
      <c r="S288" s="60"/>
    </row>
    <row r="289" spans="1:19" s="1" customFormat="1" hidden="1" outlineLevel="1" x14ac:dyDescent="0.25">
      <c r="A289" s="7" t="s">
        <v>1003</v>
      </c>
      <c r="B289" s="7" t="s">
        <v>1004</v>
      </c>
      <c r="C289" s="14">
        <v>69.739999999999995</v>
      </c>
      <c r="D289" s="6">
        <v>199.48</v>
      </c>
      <c r="E289" s="6">
        <v>100</v>
      </c>
      <c r="F289" s="6"/>
      <c r="G289" s="6"/>
      <c r="H289" s="6">
        <v>240</v>
      </c>
      <c r="I289" s="6">
        <v>16737.599999999999</v>
      </c>
      <c r="J289" s="6">
        <v>1731</v>
      </c>
      <c r="K289" s="6">
        <v>120719.94</v>
      </c>
      <c r="L289" s="6"/>
      <c r="M289" s="6"/>
      <c r="N289" s="6">
        <f t="shared" si="29"/>
        <v>1971</v>
      </c>
      <c r="O289" s="6">
        <f t="shared" si="30"/>
        <v>137457.53999999998</v>
      </c>
      <c r="P289" s="6">
        <v>288</v>
      </c>
      <c r="Q289" s="6">
        <v>23132</v>
      </c>
      <c r="R289" s="60">
        <f t="shared" ref="R289:R352" si="31">J289/D289*(D289-180)</f>
        <v>169.03890114297164</v>
      </c>
      <c r="S289" s="60">
        <f t="shared" ref="S289:S352" si="32">R289*C289</f>
        <v>11788.772965710841</v>
      </c>
    </row>
    <row r="290" spans="1:19" s="1" customFormat="1" hidden="1" outlineLevel="1" x14ac:dyDescent="0.25">
      <c r="A290" s="7" t="s">
        <v>179</v>
      </c>
      <c r="B290" s="7" t="s">
        <v>180</v>
      </c>
      <c r="C290" s="14">
        <v>661.82</v>
      </c>
      <c r="D290" s="6">
        <v>21.01</v>
      </c>
      <c r="E290" s="6">
        <v>100</v>
      </c>
      <c r="F290" s="6"/>
      <c r="G290" s="6"/>
      <c r="H290" s="6">
        <v>12</v>
      </c>
      <c r="I290" s="6">
        <v>7941.84</v>
      </c>
      <c r="J290" s="6">
        <v>214</v>
      </c>
      <c r="K290" s="6">
        <v>141629.48000000001</v>
      </c>
      <c r="L290" s="6"/>
      <c r="M290" s="6"/>
      <c r="N290" s="6">
        <f t="shared" si="29"/>
        <v>226</v>
      </c>
      <c r="O290" s="6">
        <f t="shared" si="30"/>
        <v>149571.32</v>
      </c>
      <c r="P290" s="6">
        <v>6</v>
      </c>
      <c r="Q290" s="6">
        <v>3491</v>
      </c>
      <c r="R290" s="60"/>
      <c r="S290" s="60"/>
    </row>
    <row r="291" spans="1:19" s="1" customFormat="1" hidden="1" outlineLevel="1" x14ac:dyDescent="0.25">
      <c r="A291" s="7" t="s">
        <v>408</v>
      </c>
      <c r="B291" s="7" t="s">
        <v>409</v>
      </c>
      <c r="C291" s="14">
        <v>34.119999999999997</v>
      </c>
      <c r="D291" s="6">
        <v>157.74</v>
      </c>
      <c r="E291" s="6">
        <v>100</v>
      </c>
      <c r="F291" s="6">
        <v>5</v>
      </c>
      <c r="G291" s="6">
        <v>170.6</v>
      </c>
      <c r="H291" s="6">
        <v>15</v>
      </c>
      <c r="I291" s="6">
        <v>511.8</v>
      </c>
      <c r="J291" s="6">
        <v>6000</v>
      </c>
      <c r="K291" s="6">
        <v>204720</v>
      </c>
      <c r="L291" s="6"/>
      <c r="M291" s="6"/>
      <c r="N291" s="6">
        <f t="shared" si="29"/>
        <v>6020</v>
      </c>
      <c r="O291" s="6">
        <f t="shared" si="30"/>
        <v>205402.4</v>
      </c>
      <c r="P291" s="6">
        <v>254</v>
      </c>
      <c r="Q291" s="6">
        <v>10081</v>
      </c>
      <c r="R291" s="60"/>
      <c r="S291" s="60"/>
    </row>
    <row r="292" spans="1:19" s="1" customFormat="1" hidden="1" outlineLevel="1" x14ac:dyDescent="0.25">
      <c r="A292" s="7" t="s">
        <v>644</v>
      </c>
      <c r="B292" s="7" t="s">
        <v>645</v>
      </c>
      <c r="C292" s="14">
        <v>704.5</v>
      </c>
      <c r="D292" s="6"/>
      <c r="E292" s="6">
        <v>29.03</v>
      </c>
      <c r="F292" s="6"/>
      <c r="G292" s="6"/>
      <c r="H292" s="6"/>
      <c r="I292" s="6"/>
      <c r="J292" s="6">
        <v>160</v>
      </c>
      <c r="K292" s="6">
        <v>112720</v>
      </c>
      <c r="L292" s="6"/>
      <c r="M292" s="6"/>
      <c r="N292" s="6">
        <f t="shared" si="29"/>
        <v>160</v>
      </c>
      <c r="O292" s="6">
        <f t="shared" si="30"/>
        <v>112720</v>
      </c>
      <c r="P292" s="6"/>
      <c r="Q292" s="6"/>
      <c r="R292" s="60"/>
      <c r="S292" s="60"/>
    </row>
    <row r="293" spans="1:19" s="1" customFormat="1" hidden="1" outlineLevel="1" x14ac:dyDescent="0.25">
      <c r="A293" s="7" t="s">
        <v>1249</v>
      </c>
      <c r="B293" s="7" t="s">
        <v>1250</v>
      </c>
      <c r="C293" s="14">
        <v>138.65</v>
      </c>
      <c r="D293" s="6">
        <v>107.45</v>
      </c>
      <c r="E293" s="6">
        <v>100</v>
      </c>
      <c r="F293" s="6"/>
      <c r="G293" s="6"/>
      <c r="H293" s="6">
        <v>25</v>
      </c>
      <c r="I293" s="6">
        <v>3466.25</v>
      </c>
      <c r="J293" s="6">
        <v>723</v>
      </c>
      <c r="K293" s="6">
        <v>100243.95</v>
      </c>
      <c r="L293" s="6"/>
      <c r="M293" s="6"/>
      <c r="N293" s="6">
        <f t="shared" si="29"/>
        <v>748</v>
      </c>
      <c r="O293" s="6">
        <f t="shared" si="30"/>
        <v>103710.2</v>
      </c>
      <c r="P293" s="6">
        <v>98</v>
      </c>
      <c r="Q293" s="6">
        <v>14159</v>
      </c>
      <c r="R293" s="60"/>
      <c r="S293" s="60"/>
    </row>
    <row r="294" spans="1:19" s="1" customFormat="1" hidden="1" outlineLevel="1" x14ac:dyDescent="0.25">
      <c r="A294" s="7" t="s">
        <v>1333</v>
      </c>
      <c r="B294" s="7" t="s">
        <v>1334</v>
      </c>
      <c r="C294" s="14">
        <v>709.16</v>
      </c>
      <c r="D294" s="6"/>
      <c r="E294" s="6">
        <v>100</v>
      </c>
      <c r="F294" s="6"/>
      <c r="G294" s="6"/>
      <c r="H294" s="6"/>
      <c r="I294" s="6"/>
      <c r="J294" s="6">
        <v>475</v>
      </c>
      <c r="K294" s="6">
        <v>336851</v>
      </c>
      <c r="L294" s="6"/>
      <c r="M294" s="6"/>
      <c r="N294" s="6">
        <f t="shared" si="29"/>
        <v>475</v>
      </c>
      <c r="O294" s="6">
        <f t="shared" si="30"/>
        <v>336851</v>
      </c>
      <c r="P294" s="6">
        <v>22</v>
      </c>
      <c r="Q294" s="6">
        <v>19206</v>
      </c>
      <c r="R294" s="60"/>
      <c r="S294" s="60"/>
    </row>
    <row r="295" spans="1:19" s="1" customFormat="1" hidden="1" outlineLevel="1" x14ac:dyDescent="0.25">
      <c r="A295" s="7" t="s">
        <v>173</v>
      </c>
      <c r="B295" s="7" t="s">
        <v>174</v>
      </c>
      <c r="C295" s="14">
        <v>1010.51</v>
      </c>
      <c r="D295" s="6">
        <v>709.67</v>
      </c>
      <c r="E295" s="6">
        <v>100</v>
      </c>
      <c r="F295" s="6"/>
      <c r="G295" s="6"/>
      <c r="H295" s="6"/>
      <c r="I295" s="6"/>
      <c r="J295" s="6">
        <v>411</v>
      </c>
      <c r="K295" s="6">
        <v>415319.61</v>
      </c>
      <c r="L295" s="6"/>
      <c r="M295" s="6"/>
      <c r="N295" s="6">
        <f t="shared" si="29"/>
        <v>411</v>
      </c>
      <c r="O295" s="6">
        <f t="shared" si="30"/>
        <v>415319.61</v>
      </c>
      <c r="P295" s="6">
        <v>5</v>
      </c>
      <c r="Q295" s="6">
        <v>5363</v>
      </c>
      <c r="R295" s="60">
        <f t="shared" si="31"/>
        <v>306.75436470472192</v>
      </c>
      <c r="S295" s="60">
        <f t="shared" si="32"/>
        <v>309978.35307776852</v>
      </c>
    </row>
    <row r="296" spans="1:19" s="1" customFormat="1" hidden="1" outlineLevel="1" x14ac:dyDescent="0.25">
      <c r="A296" s="7" t="s">
        <v>7</v>
      </c>
      <c r="B296" s="7" t="s">
        <v>8</v>
      </c>
      <c r="C296" s="14">
        <v>276.69</v>
      </c>
      <c r="D296" s="6">
        <v>363.43</v>
      </c>
      <c r="E296" s="6">
        <v>100</v>
      </c>
      <c r="F296" s="6"/>
      <c r="G296" s="6"/>
      <c r="H296" s="6">
        <v>205</v>
      </c>
      <c r="I296" s="6">
        <v>56721.45</v>
      </c>
      <c r="J296" s="6">
        <v>1531</v>
      </c>
      <c r="K296" s="6">
        <v>423612.39</v>
      </c>
      <c r="L296" s="6"/>
      <c r="M296" s="6"/>
      <c r="N296" s="6">
        <f t="shared" si="29"/>
        <v>1736</v>
      </c>
      <c r="O296" s="6">
        <f t="shared" si="30"/>
        <v>480333.83999999997</v>
      </c>
      <c r="P296" s="6">
        <v>53</v>
      </c>
      <c r="Q296" s="6">
        <v>15418</v>
      </c>
      <c r="R296" s="60">
        <f t="shared" si="31"/>
        <v>772.72467875519362</v>
      </c>
      <c r="S296" s="60">
        <f t="shared" si="32"/>
        <v>213805.19136477451</v>
      </c>
    </row>
    <row r="297" spans="1:19" s="1" customFormat="1" hidden="1" outlineLevel="1" x14ac:dyDescent="0.25">
      <c r="A297" s="7" t="s">
        <v>381</v>
      </c>
      <c r="B297" s="7" t="s">
        <v>382</v>
      </c>
      <c r="C297" s="14">
        <v>137.76</v>
      </c>
      <c r="D297" s="6">
        <v>119.54</v>
      </c>
      <c r="E297" s="6">
        <v>100</v>
      </c>
      <c r="F297" s="6"/>
      <c r="G297" s="6"/>
      <c r="H297" s="6">
        <v>65</v>
      </c>
      <c r="I297" s="6">
        <v>8954.4</v>
      </c>
      <c r="J297" s="6">
        <v>560</v>
      </c>
      <c r="K297" s="6">
        <v>77145.600000000006</v>
      </c>
      <c r="L297" s="6"/>
      <c r="M297" s="6"/>
      <c r="N297" s="6">
        <f t="shared" si="29"/>
        <v>625</v>
      </c>
      <c r="O297" s="6">
        <f t="shared" si="30"/>
        <v>86100</v>
      </c>
      <c r="P297" s="6">
        <v>238</v>
      </c>
      <c r="Q297" s="6">
        <v>34943</v>
      </c>
      <c r="R297" s="60"/>
      <c r="S297" s="60"/>
    </row>
    <row r="298" spans="1:19" s="1" customFormat="1" hidden="1" outlineLevel="1" x14ac:dyDescent="0.25">
      <c r="A298" s="7" t="s">
        <v>434</v>
      </c>
      <c r="B298" s="7" t="s">
        <v>435</v>
      </c>
      <c r="C298" s="14">
        <v>240.23</v>
      </c>
      <c r="D298" s="6">
        <v>155.57</v>
      </c>
      <c r="E298" s="6">
        <v>100</v>
      </c>
      <c r="F298" s="6"/>
      <c r="G298" s="6"/>
      <c r="H298" s="6">
        <v>25</v>
      </c>
      <c r="I298" s="6">
        <v>6005.75</v>
      </c>
      <c r="J298" s="6">
        <v>1157</v>
      </c>
      <c r="K298" s="6">
        <v>277946.11</v>
      </c>
      <c r="L298" s="6"/>
      <c r="M298" s="6"/>
      <c r="N298" s="6">
        <f t="shared" si="29"/>
        <v>1182</v>
      </c>
      <c r="O298" s="6">
        <f t="shared" si="30"/>
        <v>283951.86</v>
      </c>
      <c r="P298" s="6">
        <v>67</v>
      </c>
      <c r="Q298" s="6">
        <v>15465</v>
      </c>
      <c r="R298" s="60"/>
      <c r="S298" s="60"/>
    </row>
    <row r="299" spans="1:19" s="1" customFormat="1" hidden="1" outlineLevel="1" x14ac:dyDescent="0.25">
      <c r="A299" s="7" t="s">
        <v>851</v>
      </c>
      <c r="B299" s="7" t="s">
        <v>852</v>
      </c>
      <c r="C299" s="14">
        <v>1141.26</v>
      </c>
      <c r="D299" s="6">
        <v>211.37</v>
      </c>
      <c r="E299" s="6">
        <v>100</v>
      </c>
      <c r="F299" s="6"/>
      <c r="G299" s="6"/>
      <c r="H299" s="6"/>
      <c r="I299" s="6"/>
      <c r="J299" s="6">
        <v>124</v>
      </c>
      <c r="K299" s="6">
        <v>141516.24</v>
      </c>
      <c r="L299" s="6"/>
      <c r="M299" s="6"/>
      <c r="N299" s="6">
        <f t="shared" si="29"/>
        <v>124</v>
      </c>
      <c r="O299" s="6">
        <f t="shared" si="30"/>
        <v>141516.24</v>
      </c>
      <c r="P299" s="6">
        <v>6</v>
      </c>
      <c r="Q299" s="6">
        <v>6568</v>
      </c>
      <c r="R299" s="60">
        <f t="shared" si="31"/>
        <v>18.403179259119081</v>
      </c>
      <c r="S299" s="60">
        <f t="shared" si="32"/>
        <v>21002.812361262244</v>
      </c>
    </row>
    <row r="300" spans="1:19" s="1" customFormat="1" hidden="1" outlineLevel="1" x14ac:dyDescent="0.25">
      <c r="A300" s="7" t="s">
        <v>869</v>
      </c>
      <c r="B300" s="7" t="s">
        <v>870</v>
      </c>
      <c r="C300" s="14">
        <v>92.26</v>
      </c>
      <c r="D300" s="6">
        <v>94.37</v>
      </c>
      <c r="E300" s="6">
        <v>100</v>
      </c>
      <c r="F300" s="6"/>
      <c r="G300" s="6"/>
      <c r="H300" s="6">
        <v>149</v>
      </c>
      <c r="I300" s="6">
        <v>13746.74</v>
      </c>
      <c r="J300" s="6">
        <v>1526</v>
      </c>
      <c r="K300" s="6">
        <v>140788.76</v>
      </c>
      <c r="L300" s="6"/>
      <c r="M300" s="6"/>
      <c r="N300" s="6">
        <f t="shared" si="29"/>
        <v>1675</v>
      </c>
      <c r="O300" s="6">
        <f t="shared" si="30"/>
        <v>154535.5</v>
      </c>
      <c r="P300" s="6">
        <v>23</v>
      </c>
      <c r="Q300" s="6">
        <v>2191</v>
      </c>
      <c r="R300" s="60"/>
      <c r="S300" s="60"/>
    </row>
    <row r="301" spans="1:19" s="1" customFormat="1" hidden="1" outlineLevel="1" x14ac:dyDescent="0.25">
      <c r="A301" s="7" t="s">
        <v>1037</v>
      </c>
      <c r="B301" s="7" t="s">
        <v>1038</v>
      </c>
      <c r="C301" s="14">
        <v>97.83</v>
      </c>
      <c r="D301" s="6">
        <v>367.97</v>
      </c>
      <c r="E301" s="6">
        <v>100</v>
      </c>
      <c r="F301" s="6">
        <v>359</v>
      </c>
      <c r="G301" s="6">
        <v>35120.97</v>
      </c>
      <c r="H301" s="6">
        <v>40</v>
      </c>
      <c r="I301" s="6">
        <v>3913.2</v>
      </c>
      <c r="J301" s="6">
        <v>1555</v>
      </c>
      <c r="K301" s="6">
        <v>152125.65</v>
      </c>
      <c r="L301" s="6"/>
      <c r="M301" s="6"/>
      <c r="N301" s="6">
        <f t="shared" si="29"/>
        <v>1954</v>
      </c>
      <c r="O301" s="6">
        <f t="shared" si="30"/>
        <v>191159.82</v>
      </c>
      <c r="P301" s="6">
        <v>248</v>
      </c>
      <c r="Q301" s="6">
        <v>29270</v>
      </c>
      <c r="R301" s="60">
        <f t="shared" si="31"/>
        <v>794.34016360029352</v>
      </c>
      <c r="S301" s="60">
        <f t="shared" si="32"/>
        <v>77710.298205016719</v>
      </c>
    </row>
    <row r="302" spans="1:19" s="1" customFormat="1" hidden="1" outlineLevel="1" x14ac:dyDescent="0.25">
      <c r="A302" s="7" t="s">
        <v>612</v>
      </c>
      <c r="B302" s="7" t="s">
        <v>613</v>
      </c>
      <c r="C302" s="14">
        <v>120.5</v>
      </c>
      <c r="D302" s="6">
        <v>299.93</v>
      </c>
      <c r="E302" s="6">
        <v>100</v>
      </c>
      <c r="F302" s="6"/>
      <c r="G302" s="6"/>
      <c r="H302" s="6"/>
      <c r="I302" s="6"/>
      <c r="J302" s="6">
        <v>1787</v>
      </c>
      <c r="K302" s="6">
        <v>215333.5</v>
      </c>
      <c r="L302" s="6"/>
      <c r="M302" s="6"/>
      <c r="N302" s="6">
        <f t="shared" si="29"/>
        <v>1787</v>
      </c>
      <c r="O302" s="6">
        <f t="shared" si="30"/>
        <v>215333.5</v>
      </c>
      <c r="P302" s="6">
        <v>47</v>
      </c>
      <c r="Q302" s="6">
        <v>5862</v>
      </c>
      <c r="R302" s="60">
        <f t="shared" si="31"/>
        <v>714.54976161104264</v>
      </c>
      <c r="S302" s="60">
        <f t="shared" si="32"/>
        <v>86103.246274130637</v>
      </c>
    </row>
    <row r="303" spans="1:19" s="1" customFormat="1" hidden="1" outlineLevel="1" x14ac:dyDescent="0.25">
      <c r="A303" s="7" t="s">
        <v>1153</v>
      </c>
      <c r="B303" s="7" t="s">
        <v>1154</v>
      </c>
      <c r="C303" s="14">
        <v>502.1</v>
      </c>
      <c r="D303" s="6">
        <v>5512.67</v>
      </c>
      <c r="E303" s="6">
        <v>31.18</v>
      </c>
      <c r="F303" s="6"/>
      <c r="G303" s="6"/>
      <c r="H303" s="6"/>
      <c r="I303" s="6"/>
      <c r="J303" s="6">
        <v>554</v>
      </c>
      <c r="K303" s="6">
        <v>278163.40000000002</v>
      </c>
      <c r="L303" s="6"/>
      <c r="M303" s="6"/>
      <c r="N303" s="6">
        <f t="shared" si="29"/>
        <v>554</v>
      </c>
      <c r="O303" s="6">
        <f t="shared" si="30"/>
        <v>278163.40000000002</v>
      </c>
      <c r="P303" s="6">
        <v>0</v>
      </c>
      <c r="Q303" s="6">
        <v>174</v>
      </c>
      <c r="R303" s="60">
        <f t="shared" si="31"/>
        <v>535.91076193568631</v>
      </c>
      <c r="S303" s="60">
        <f t="shared" si="32"/>
        <v>269080.79356790811</v>
      </c>
    </row>
    <row r="304" spans="1:19" s="1" customFormat="1" hidden="1" outlineLevel="1" x14ac:dyDescent="0.25">
      <c r="A304" s="7" t="s">
        <v>877</v>
      </c>
      <c r="B304" s="7" t="s">
        <v>878</v>
      </c>
      <c r="C304" s="14">
        <v>116.02</v>
      </c>
      <c r="D304" s="6">
        <v>167.9</v>
      </c>
      <c r="E304" s="6">
        <v>100</v>
      </c>
      <c r="F304" s="6"/>
      <c r="G304" s="6"/>
      <c r="H304" s="6"/>
      <c r="I304" s="6"/>
      <c r="J304" s="6">
        <v>1267</v>
      </c>
      <c r="K304" s="6">
        <v>146997.34</v>
      </c>
      <c r="L304" s="6"/>
      <c r="M304" s="6"/>
      <c r="N304" s="6">
        <f t="shared" si="29"/>
        <v>1267</v>
      </c>
      <c r="O304" s="6">
        <f t="shared" si="30"/>
        <v>146997.34</v>
      </c>
      <c r="P304" s="6">
        <v>112</v>
      </c>
      <c r="Q304" s="6">
        <v>15248</v>
      </c>
      <c r="R304" s="60"/>
      <c r="S304" s="60"/>
    </row>
    <row r="305" spans="1:19" s="1" customFormat="1" hidden="1" outlineLevel="1" x14ac:dyDescent="0.25">
      <c r="A305" s="7" t="s">
        <v>1247</v>
      </c>
      <c r="B305" s="7" t="s">
        <v>1248</v>
      </c>
      <c r="C305" s="14">
        <v>394.19</v>
      </c>
      <c r="D305" s="6">
        <v>205.06</v>
      </c>
      <c r="E305" s="6">
        <v>100</v>
      </c>
      <c r="F305" s="6"/>
      <c r="G305" s="6"/>
      <c r="H305" s="6"/>
      <c r="I305" s="6"/>
      <c r="J305" s="6">
        <v>79</v>
      </c>
      <c r="K305" s="6">
        <v>31141.01</v>
      </c>
      <c r="L305" s="6"/>
      <c r="M305" s="6"/>
      <c r="N305" s="6">
        <f t="shared" si="29"/>
        <v>79</v>
      </c>
      <c r="O305" s="6">
        <f t="shared" si="30"/>
        <v>31141.01</v>
      </c>
      <c r="P305" s="6">
        <v>46</v>
      </c>
      <c r="Q305" s="6">
        <v>21801</v>
      </c>
      <c r="R305" s="60">
        <f t="shared" si="31"/>
        <v>9.6544426021652203</v>
      </c>
      <c r="S305" s="60">
        <f t="shared" si="32"/>
        <v>3805.684729347508</v>
      </c>
    </row>
    <row r="306" spans="1:19" s="1" customFormat="1" hidden="1" outlineLevel="1" x14ac:dyDescent="0.25">
      <c r="A306" s="7" t="s">
        <v>620</v>
      </c>
      <c r="B306" s="7" t="s">
        <v>621</v>
      </c>
      <c r="C306" s="14">
        <v>162.15</v>
      </c>
      <c r="D306" s="6">
        <v>79.19</v>
      </c>
      <c r="E306" s="6">
        <v>100</v>
      </c>
      <c r="F306" s="6"/>
      <c r="G306" s="6"/>
      <c r="H306" s="6"/>
      <c r="I306" s="6"/>
      <c r="J306" s="6">
        <v>674</v>
      </c>
      <c r="K306" s="6">
        <v>109289.09999999999</v>
      </c>
      <c r="L306" s="6"/>
      <c r="M306" s="6"/>
      <c r="N306" s="6">
        <f t="shared" si="29"/>
        <v>674</v>
      </c>
      <c r="O306" s="6">
        <f t="shared" si="30"/>
        <v>109289.1</v>
      </c>
      <c r="P306" s="6">
        <v>64</v>
      </c>
      <c r="Q306" s="6">
        <v>9998</v>
      </c>
      <c r="R306" s="60"/>
      <c r="S306" s="60"/>
    </row>
    <row r="307" spans="1:19" s="1" customFormat="1" hidden="1" outlineLevel="1" x14ac:dyDescent="0.25">
      <c r="A307" s="7" t="s">
        <v>546</v>
      </c>
      <c r="B307" s="7" t="s">
        <v>547</v>
      </c>
      <c r="C307" s="14">
        <v>450.22</v>
      </c>
      <c r="D307" s="6">
        <v>23.19</v>
      </c>
      <c r="E307" s="6">
        <v>100</v>
      </c>
      <c r="F307" s="6">
        <v>1</v>
      </c>
      <c r="G307" s="6">
        <v>450.22</v>
      </c>
      <c r="H307" s="6"/>
      <c r="I307" s="6"/>
      <c r="J307" s="6">
        <v>71</v>
      </c>
      <c r="K307" s="6">
        <v>31965.62</v>
      </c>
      <c r="L307" s="6">
        <v>380</v>
      </c>
      <c r="M307" s="6">
        <v>171083.6</v>
      </c>
      <c r="N307" s="6">
        <f t="shared" si="29"/>
        <v>452</v>
      </c>
      <c r="O307" s="6">
        <f t="shared" si="30"/>
        <v>203499.44</v>
      </c>
      <c r="P307" s="6">
        <v>36</v>
      </c>
      <c r="Q307" s="6">
        <v>15039</v>
      </c>
      <c r="R307" s="60"/>
      <c r="S307" s="60"/>
    </row>
    <row r="308" spans="1:19" s="1" customFormat="1" hidden="1" outlineLevel="1" x14ac:dyDescent="0.25">
      <c r="A308" s="7" t="s">
        <v>1167</v>
      </c>
      <c r="B308" s="7" t="s">
        <v>1168</v>
      </c>
      <c r="C308" s="14">
        <v>964.31</v>
      </c>
      <c r="D308" s="6">
        <v>1009.89</v>
      </c>
      <c r="E308" s="6">
        <v>100</v>
      </c>
      <c r="F308" s="6"/>
      <c r="G308" s="6"/>
      <c r="H308" s="6"/>
      <c r="I308" s="6"/>
      <c r="J308" s="6">
        <v>118</v>
      </c>
      <c r="K308" s="6">
        <v>113788.58</v>
      </c>
      <c r="L308" s="6"/>
      <c r="M308" s="6"/>
      <c r="N308" s="6">
        <f t="shared" si="29"/>
        <v>118</v>
      </c>
      <c r="O308" s="6">
        <f t="shared" si="30"/>
        <v>113788.57999999999</v>
      </c>
      <c r="P308" s="6">
        <v>1</v>
      </c>
      <c r="Q308" s="6">
        <v>964</v>
      </c>
      <c r="R308" s="60">
        <f t="shared" si="31"/>
        <v>96.968006416540419</v>
      </c>
      <c r="S308" s="60">
        <f t="shared" si="32"/>
        <v>93507.218267534088</v>
      </c>
    </row>
    <row r="309" spans="1:19" s="1" customFormat="1" hidden="1" outlineLevel="1" x14ac:dyDescent="0.25">
      <c r="A309" s="7" t="s">
        <v>1133</v>
      </c>
      <c r="B309" s="7" t="s">
        <v>1134</v>
      </c>
      <c r="C309" s="14">
        <v>309.86</v>
      </c>
      <c r="D309" s="6">
        <v>2939.33</v>
      </c>
      <c r="E309" s="6">
        <v>100</v>
      </c>
      <c r="F309" s="6"/>
      <c r="G309" s="6"/>
      <c r="H309" s="6"/>
      <c r="I309" s="6"/>
      <c r="J309" s="6">
        <v>384</v>
      </c>
      <c r="K309" s="6">
        <v>118986.24000000001</v>
      </c>
      <c r="L309" s="6"/>
      <c r="M309" s="6"/>
      <c r="N309" s="6">
        <f t="shared" si="29"/>
        <v>384</v>
      </c>
      <c r="O309" s="6">
        <f t="shared" si="30"/>
        <v>118986.24000000001</v>
      </c>
      <c r="P309" s="6">
        <v>69</v>
      </c>
      <c r="Q309" s="6">
        <v>26553</v>
      </c>
      <c r="R309" s="60">
        <f t="shared" si="31"/>
        <v>360.48443692950434</v>
      </c>
      <c r="S309" s="60">
        <f t="shared" si="32"/>
        <v>111699.70762697622</v>
      </c>
    </row>
    <row r="310" spans="1:19" s="1" customFormat="1" hidden="1" outlineLevel="1" x14ac:dyDescent="0.25">
      <c r="A310" s="7" t="s">
        <v>504</v>
      </c>
      <c r="B310" s="7" t="s">
        <v>505</v>
      </c>
      <c r="C310" s="14">
        <v>141.9</v>
      </c>
      <c r="D310" s="6">
        <v>43.11</v>
      </c>
      <c r="E310" s="6">
        <v>70.97</v>
      </c>
      <c r="F310" s="6">
        <v>332</v>
      </c>
      <c r="G310" s="6">
        <v>47110.8</v>
      </c>
      <c r="H310" s="6">
        <v>20</v>
      </c>
      <c r="I310" s="6">
        <v>2838</v>
      </c>
      <c r="J310" s="6">
        <v>580</v>
      </c>
      <c r="K310" s="6">
        <v>82302</v>
      </c>
      <c r="L310" s="6"/>
      <c r="M310" s="6"/>
      <c r="N310" s="6">
        <f t="shared" si="29"/>
        <v>932</v>
      </c>
      <c r="O310" s="6">
        <f t="shared" si="30"/>
        <v>132250.80000000002</v>
      </c>
      <c r="P310" s="6">
        <v>12</v>
      </c>
      <c r="Q310" s="6">
        <v>1704</v>
      </c>
      <c r="R310" s="60"/>
      <c r="S310" s="60"/>
    </row>
    <row r="311" spans="1:19" s="1" customFormat="1" hidden="1" outlineLevel="1" x14ac:dyDescent="0.25">
      <c r="A311" s="7" t="s">
        <v>395</v>
      </c>
      <c r="B311" s="7" t="s">
        <v>396</v>
      </c>
      <c r="C311" s="14">
        <v>283.75</v>
      </c>
      <c r="D311" s="6">
        <v>48.39</v>
      </c>
      <c r="E311" s="6">
        <v>100</v>
      </c>
      <c r="F311" s="6"/>
      <c r="G311" s="6"/>
      <c r="H311" s="6">
        <v>87</v>
      </c>
      <c r="I311" s="6">
        <v>24686.25</v>
      </c>
      <c r="J311" s="6">
        <v>298</v>
      </c>
      <c r="K311" s="6">
        <v>84557.5</v>
      </c>
      <c r="L311" s="6"/>
      <c r="M311" s="6"/>
      <c r="N311" s="6">
        <f t="shared" si="29"/>
        <v>385</v>
      </c>
      <c r="O311" s="6">
        <f t="shared" si="30"/>
        <v>109243.75</v>
      </c>
      <c r="P311" s="6">
        <v>65</v>
      </c>
      <c r="Q311" s="6">
        <v>16298</v>
      </c>
      <c r="R311" s="60"/>
      <c r="S311" s="60"/>
    </row>
    <row r="312" spans="1:19" s="1" customFormat="1" hidden="1" outlineLevel="1" x14ac:dyDescent="0.25">
      <c r="A312" s="7" t="s">
        <v>1299</v>
      </c>
      <c r="B312" s="7" t="s">
        <v>1300</v>
      </c>
      <c r="C312" s="14">
        <v>109.01</v>
      </c>
      <c r="D312" s="6">
        <v>873.48</v>
      </c>
      <c r="E312" s="6">
        <v>100</v>
      </c>
      <c r="F312" s="6"/>
      <c r="G312" s="6"/>
      <c r="H312" s="6">
        <v>654</v>
      </c>
      <c r="I312" s="6">
        <v>71292.539999999994</v>
      </c>
      <c r="J312" s="6">
        <v>528</v>
      </c>
      <c r="K312" s="6">
        <v>57557.279999999999</v>
      </c>
      <c r="L312" s="6"/>
      <c r="M312" s="6"/>
      <c r="N312" s="6">
        <f t="shared" si="29"/>
        <v>1182</v>
      </c>
      <c r="O312" s="6">
        <f t="shared" si="30"/>
        <v>128849.82</v>
      </c>
      <c r="P312" s="6">
        <v>156</v>
      </c>
      <c r="Q312" s="6">
        <v>21026</v>
      </c>
      <c r="R312" s="60">
        <f t="shared" si="31"/>
        <v>419.19384530842149</v>
      </c>
      <c r="S312" s="60">
        <f t="shared" si="32"/>
        <v>45696.321077071028</v>
      </c>
    </row>
    <row r="313" spans="1:19" s="1" customFormat="1" hidden="1" outlineLevel="1" x14ac:dyDescent="0.25">
      <c r="A313" s="7" t="s">
        <v>736</v>
      </c>
      <c r="B313" s="7" t="s">
        <v>737</v>
      </c>
      <c r="C313" s="14">
        <v>242.16</v>
      </c>
      <c r="D313" s="6">
        <v>220.74</v>
      </c>
      <c r="E313" s="6">
        <v>100</v>
      </c>
      <c r="F313" s="6"/>
      <c r="G313" s="6"/>
      <c r="H313" s="6">
        <v>20</v>
      </c>
      <c r="I313" s="6">
        <v>4843.2</v>
      </c>
      <c r="J313" s="6">
        <v>201</v>
      </c>
      <c r="K313" s="6">
        <v>48674.16</v>
      </c>
      <c r="L313" s="6"/>
      <c r="M313" s="6"/>
      <c r="N313" s="6">
        <f t="shared" si="29"/>
        <v>221</v>
      </c>
      <c r="O313" s="6">
        <f t="shared" si="30"/>
        <v>53517.36</v>
      </c>
      <c r="P313" s="6">
        <v>71</v>
      </c>
      <c r="Q313" s="6">
        <v>18613</v>
      </c>
      <c r="R313" s="60">
        <f t="shared" si="31"/>
        <v>37.096765425387339</v>
      </c>
      <c r="S313" s="60">
        <f t="shared" si="32"/>
        <v>8983.3527154117983</v>
      </c>
    </row>
    <row r="314" spans="1:19" s="1" customFormat="1" hidden="1" outlineLevel="1" x14ac:dyDescent="0.25">
      <c r="A314" s="7" t="s">
        <v>712</v>
      </c>
      <c r="B314" s="7" t="s">
        <v>713</v>
      </c>
      <c r="C314" s="14">
        <v>562.1</v>
      </c>
      <c r="D314" s="6">
        <v>57.39</v>
      </c>
      <c r="E314" s="6">
        <v>100</v>
      </c>
      <c r="F314" s="6"/>
      <c r="G314" s="6"/>
      <c r="H314" s="6"/>
      <c r="I314" s="6"/>
      <c r="J314" s="6">
        <v>324</v>
      </c>
      <c r="K314" s="6">
        <v>182120.4</v>
      </c>
      <c r="L314" s="6"/>
      <c r="M314" s="6"/>
      <c r="N314" s="6">
        <f t="shared" si="29"/>
        <v>324</v>
      </c>
      <c r="O314" s="6">
        <f t="shared" si="30"/>
        <v>182120.4</v>
      </c>
      <c r="P314" s="6">
        <v>51</v>
      </c>
      <c r="Q314" s="6">
        <v>31894</v>
      </c>
      <c r="R314" s="60"/>
      <c r="S314" s="60"/>
    </row>
    <row r="315" spans="1:19" s="1" customFormat="1" hidden="1" outlineLevel="1" x14ac:dyDescent="0.25">
      <c r="A315" s="7" t="s">
        <v>845</v>
      </c>
      <c r="B315" s="7" t="s">
        <v>846</v>
      </c>
      <c r="C315" s="14">
        <v>24.5</v>
      </c>
      <c r="D315" s="6">
        <v>37.5</v>
      </c>
      <c r="E315" s="6">
        <v>100</v>
      </c>
      <c r="F315" s="6"/>
      <c r="G315" s="6"/>
      <c r="H315" s="6">
        <v>200</v>
      </c>
      <c r="I315" s="6">
        <v>4900</v>
      </c>
      <c r="J315" s="6">
        <v>2410</v>
      </c>
      <c r="K315" s="6">
        <v>59045</v>
      </c>
      <c r="L315" s="6"/>
      <c r="M315" s="6"/>
      <c r="N315" s="6">
        <f t="shared" si="29"/>
        <v>2610</v>
      </c>
      <c r="O315" s="6">
        <f t="shared" si="30"/>
        <v>63945</v>
      </c>
      <c r="P315" s="6">
        <v>482</v>
      </c>
      <c r="Q315" s="6">
        <v>12901</v>
      </c>
      <c r="R315" s="60"/>
      <c r="S315" s="60"/>
    </row>
    <row r="316" spans="1:19" s="1" customFormat="1" hidden="1" outlineLevel="1" x14ac:dyDescent="0.25">
      <c r="A316" s="7" t="s">
        <v>696</v>
      </c>
      <c r="B316" s="7" t="s">
        <v>697</v>
      </c>
      <c r="C316" s="14">
        <v>530.03</v>
      </c>
      <c r="D316" s="6">
        <v>2189.83</v>
      </c>
      <c r="E316" s="6">
        <v>100</v>
      </c>
      <c r="F316" s="6"/>
      <c r="G316" s="6"/>
      <c r="H316" s="6">
        <v>45</v>
      </c>
      <c r="I316" s="6">
        <v>23851.35</v>
      </c>
      <c r="J316" s="6">
        <v>298</v>
      </c>
      <c r="K316" s="6">
        <v>157948.94</v>
      </c>
      <c r="L316" s="6"/>
      <c r="M316" s="6"/>
      <c r="N316" s="6">
        <f t="shared" si="29"/>
        <v>343</v>
      </c>
      <c r="O316" s="6">
        <f t="shared" si="30"/>
        <v>181800.28999999998</v>
      </c>
      <c r="P316" s="6">
        <v>17</v>
      </c>
      <c r="Q316" s="6">
        <v>11435</v>
      </c>
      <c r="R316" s="60">
        <f t="shared" si="31"/>
        <v>273.50494787266587</v>
      </c>
      <c r="S316" s="60">
        <f t="shared" si="32"/>
        <v>144965.82752094907</v>
      </c>
    </row>
    <row r="317" spans="1:19" s="1" customFormat="1" hidden="1" outlineLevel="1" x14ac:dyDescent="0.25">
      <c r="A317" s="7" t="s">
        <v>109</v>
      </c>
      <c r="B317" s="7" t="s">
        <v>110</v>
      </c>
      <c r="C317" s="14">
        <v>140.61000000000001</v>
      </c>
      <c r="D317" s="6">
        <v>34.1</v>
      </c>
      <c r="E317" s="6">
        <v>100</v>
      </c>
      <c r="F317" s="6"/>
      <c r="G317" s="6"/>
      <c r="H317" s="6">
        <v>10</v>
      </c>
      <c r="I317" s="6">
        <v>1406.1</v>
      </c>
      <c r="J317" s="6">
        <v>592</v>
      </c>
      <c r="K317" s="6">
        <v>83241.119999999995</v>
      </c>
      <c r="L317" s="6"/>
      <c r="M317" s="6"/>
      <c r="N317" s="6">
        <f t="shared" si="29"/>
        <v>602</v>
      </c>
      <c r="O317" s="6">
        <f t="shared" si="30"/>
        <v>84647.22</v>
      </c>
      <c r="P317" s="6">
        <v>89</v>
      </c>
      <c r="Q317" s="6">
        <v>12225</v>
      </c>
      <c r="R317" s="60"/>
      <c r="S317" s="60"/>
    </row>
    <row r="318" spans="1:19" s="1" customFormat="1" hidden="1" outlineLevel="1" x14ac:dyDescent="0.25">
      <c r="A318" s="7" t="s">
        <v>859</v>
      </c>
      <c r="B318" s="7" t="s">
        <v>860</v>
      </c>
      <c r="C318" s="14">
        <v>119</v>
      </c>
      <c r="D318" s="6">
        <v>75.78</v>
      </c>
      <c r="E318" s="6">
        <v>100</v>
      </c>
      <c r="F318" s="6"/>
      <c r="G318" s="6"/>
      <c r="H318" s="6">
        <v>3</v>
      </c>
      <c r="I318" s="6">
        <v>357</v>
      </c>
      <c r="J318" s="6">
        <v>697</v>
      </c>
      <c r="K318" s="6">
        <v>82943</v>
      </c>
      <c r="L318" s="6"/>
      <c r="M318" s="6"/>
      <c r="N318" s="6">
        <f t="shared" ref="N318:N349" si="33">IF(J318+L318+H318+F318&lt;=0,"",J318+L318+H318+F318)</f>
        <v>700</v>
      </c>
      <c r="O318" s="6">
        <f t="shared" ref="O318:O349" si="34">IFERROR(C318*N318,"")</f>
        <v>83300</v>
      </c>
      <c r="P318" s="6">
        <v>127</v>
      </c>
      <c r="Q318" s="6">
        <v>17451</v>
      </c>
      <c r="R318" s="60"/>
      <c r="S318" s="60"/>
    </row>
    <row r="319" spans="1:19" s="1" customFormat="1" hidden="1" outlineLevel="1" x14ac:dyDescent="0.25">
      <c r="A319" s="7" t="s">
        <v>498</v>
      </c>
      <c r="B319" s="7" t="s">
        <v>499</v>
      </c>
      <c r="C319" s="14">
        <v>182.67</v>
      </c>
      <c r="D319" s="6">
        <v>251.81</v>
      </c>
      <c r="E319" s="6">
        <v>100</v>
      </c>
      <c r="F319" s="6"/>
      <c r="G319" s="6"/>
      <c r="H319" s="6"/>
      <c r="I319" s="6"/>
      <c r="J319" s="6">
        <v>1154</v>
      </c>
      <c r="K319" s="6">
        <v>210801.18</v>
      </c>
      <c r="L319" s="6"/>
      <c r="M319" s="6"/>
      <c r="N319" s="6">
        <f t="shared" si="33"/>
        <v>1154</v>
      </c>
      <c r="O319" s="6">
        <f t="shared" si="34"/>
        <v>210801.18</v>
      </c>
      <c r="P319" s="6">
        <v>88</v>
      </c>
      <c r="Q319" s="6">
        <v>19571</v>
      </c>
      <c r="R319" s="60">
        <f t="shared" si="31"/>
        <v>329.09233151979663</v>
      </c>
      <c r="S319" s="60">
        <f t="shared" si="32"/>
        <v>60115.296198721247</v>
      </c>
    </row>
    <row r="320" spans="1:19" s="1" customFormat="1" hidden="1" outlineLevel="1" x14ac:dyDescent="0.25">
      <c r="A320" s="7" t="s">
        <v>1279</v>
      </c>
      <c r="B320" s="7" t="s">
        <v>1280</v>
      </c>
      <c r="C320" s="14">
        <v>57.31</v>
      </c>
      <c r="D320" s="6">
        <v>137.96</v>
      </c>
      <c r="E320" s="6">
        <v>82.8</v>
      </c>
      <c r="F320" s="6"/>
      <c r="G320" s="6"/>
      <c r="H320" s="6">
        <v>21</v>
      </c>
      <c r="I320" s="6">
        <v>1203.51</v>
      </c>
      <c r="J320" s="6">
        <v>1558</v>
      </c>
      <c r="K320" s="6">
        <v>89288.98</v>
      </c>
      <c r="L320" s="6"/>
      <c r="M320" s="6"/>
      <c r="N320" s="6">
        <f t="shared" si="33"/>
        <v>1579</v>
      </c>
      <c r="O320" s="6">
        <f t="shared" si="34"/>
        <v>90492.49</v>
      </c>
      <c r="P320" s="6">
        <v>481</v>
      </c>
      <c r="Q320" s="6">
        <v>32623</v>
      </c>
      <c r="R320" s="60"/>
      <c r="S320" s="60"/>
    </row>
    <row r="321" spans="1:19" s="1" customFormat="1" hidden="1" outlineLevel="1" x14ac:dyDescent="0.25">
      <c r="A321" s="7" t="s">
        <v>458</v>
      </c>
      <c r="B321" s="7" t="s">
        <v>459</v>
      </c>
      <c r="C321" s="14">
        <v>37.5</v>
      </c>
      <c r="D321" s="6">
        <v>69.39</v>
      </c>
      <c r="E321" s="6">
        <v>100</v>
      </c>
      <c r="F321" s="6"/>
      <c r="G321" s="6"/>
      <c r="H321" s="6"/>
      <c r="I321" s="6"/>
      <c r="J321" s="6">
        <v>2613</v>
      </c>
      <c r="K321" s="6">
        <v>97987.5</v>
      </c>
      <c r="L321" s="6"/>
      <c r="M321" s="6"/>
      <c r="N321" s="6">
        <f t="shared" si="33"/>
        <v>2613</v>
      </c>
      <c r="O321" s="6">
        <f t="shared" si="34"/>
        <v>97987.5</v>
      </c>
      <c r="P321" s="6">
        <v>532</v>
      </c>
      <c r="Q321" s="6">
        <v>22770</v>
      </c>
      <c r="R321" s="60"/>
      <c r="S321" s="60"/>
    </row>
    <row r="322" spans="1:19" s="1" customFormat="1" hidden="1" outlineLevel="1" x14ac:dyDescent="0.25">
      <c r="A322" s="7" t="s">
        <v>446</v>
      </c>
      <c r="B322" s="7" t="s">
        <v>447</v>
      </c>
      <c r="C322" s="14">
        <v>105.75</v>
      </c>
      <c r="D322" s="6">
        <v>27.95</v>
      </c>
      <c r="E322" s="6">
        <v>75.27</v>
      </c>
      <c r="F322" s="6"/>
      <c r="G322" s="6"/>
      <c r="H322" s="6"/>
      <c r="I322" s="6"/>
      <c r="J322" s="6">
        <v>210</v>
      </c>
      <c r="K322" s="6">
        <v>22207.5</v>
      </c>
      <c r="L322" s="6"/>
      <c r="M322" s="6"/>
      <c r="N322" s="6">
        <f t="shared" si="33"/>
        <v>210</v>
      </c>
      <c r="O322" s="6">
        <f t="shared" si="34"/>
        <v>22207.5</v>
      </c>
      <c r="P322" s="6">
        <v>131</v>
      </c>
      <c r="Q322" s="6">
        <v>13815</v>
      </c>
      <c r="R322" s="60"/>
      <c r="S322" s="60"/>
    </row>
    <row r="323" spans="1:19" s="1" customFormat="1" hidden="1" outlineLevel="1" x14ac:dyDescent="0.25">
      <c r="A323" s="7" t="s">
        <v>159</v>
      </c>
      <c r="B323" s="7" t="s">
        <v>160</v>
      </c>
      <c r="C323" s="14">
        <v>1022.18</v>
      </c>
      <c r="D323" s="6">
        <v>97.73</v>
      </c>
      <c r="E323" s="6">
        <v>81.72</v>
      </c>
      <c r="F323" s="6"/>
      <c r="G323" s="6"/>
      <c r="H323" s="6"/>
      <c r="I323" s="6"/>
      <c r="J323" s="6">
        <v>91</v>
      </c>
      <c r="K323" s="6">
        <v>93018.38</v>
      </c>
      <c r="L323" s="6"/>
      <c r="M323" s="6"/>
      <c r="N323" s="6">
        <f t="shared" si="33"/>
        <v>91</v>
      </c>
      <c r="O323" s="6">
        <f t="shared" si="34"/>
        <v>93018.37999999999</v>
      </c>
      <c r="P323" s="6">
        <v>5</v>
      </c>
      <c r="Q323" s="6">
        <v>4753</v>
      </c>
      <c r="R323" s="60"/>
      <c r="S323" s="60"/>
    </row>
    <row r="324" spans="1:19" s="1" customFormat="1" hidden="1" outlineLevel="1" x14ac:dyDescent="0.25">
      <c r="A324" s="7" t="s">
        <v>233</v>
      </c>
      <c r="B324" s="7" t="s">
        <v>234</v>
      </c>
      <c r="C324" s="14">
        <v>1620.94</v>
      </c>
      <c r="D324" s="6">
        <v>85.44</v>
      </c>
      <c r="E324" s="6">
        <v>100</v>
      </c>
      <c r="F324" s="6"/>
      <c r="G324" s="6"/>
      <c r="H324" s="6">
        <v>4</v>
      </c>
      <c r="I324" s="6">
        <v>6483.76</v>
      </c>
      <c r="J324" s="6">
        <v>436</v>
      </c>
      <c r="K324" s="6">
        <v>706729.84</v>
      </c>
      <c r="L324" s="6"/>
      <c r="M324" s="6"/>
      <c r="N324" s="6">
        <f t="shared" si="33"/>
        <v>440</v>
      </c>
      <c r="O324" s="6">
        <f t="shared" si="34"/>
        <v>713213.6</v>
      </c>
      <c r="P324" s="6">
        <v>31</v>
      </c>
      <c r="Q324" s="6">
        <v>61781</v>
      </c>
      <c r="R324" s="60"/>
      <c r="S324" s="60"/>
    </row>
    <row r="325" spans="1:19" s="1" customFormat="1" hidden="1" outlineLevel="1" x14ac:dyDescent="0.25">
      <c r="A325" s="7" t="s">
        <v>155</v>
      </c>
      <c r="B325" s="7" t="s">
        <v>156</v>
      </c>
      <c r="C325" s="14">
        <v>827.32</v>
      </c>
      <c r="D325" s="6">
        <v>800.04</v>
      </c>
      <c r="E325" s="6">
        <v>100</v>
      </c>
      <c r="F325" s="6"/>
      <c r="G325" s="6"/>
      <c r="H325" s="6">
        <v>86</v>
      </c>
      <c r="I325" s="6">
        <v>71149.52</v>
      </c>
      <c r="J325" s="6">
        <v>270</v>
      </c>
      <c r="K325" s="6">
        <v>223376.4</v>
      </c>
      <c r="L325" s="6"/>
      <c r="M325" s="6"/>
      <c r="N325" s="6">
        <f t="shared" si="33"/>
        <v>356</v>
      </c>
      <c r="O325" s="6">
        <f t="shared" si="34"/>
        <v>294525.92000000004</v>
      </c>
      <c r="P325" s="6">
        <v>3</v>
      </c>
      <c r="Q325" s="6">
        <v>2289</v>
      </c>
      <c r="R325" s="60">
        <f t="shared" si="31"/>
        <v>209.25303734813258</v>
      </c>
      <c r="S325" s="60">
        <f t="shared" si="32"/>
        <v>173119.22285885704</v>
      </c>
    </row>
    <row r="326" spans="1:19" s="1" customFormat="1" hidden="1" outlineLevel="1" x14ac:dyDescent="0.25">
      <c r="A326" s="7" t="s">
        <v>217</v>
      </c>
      <c r="B326" s="7" t="s">
        <v>218</v>
      </c>
      <c r="C326" s="14">
        <v>500.78</v>
      </c>
      <c r="D326" s="6">
        <v>2.67</v>
      </c>
      <c r="E326" s="6">
        <v>8.6</v>
      </c>
      <c r="F326" s="6"/>
      <c r="G326" s="6"/>
      <c r="H326" s="6"/>
      <c r="I326" s="6"/>
      <c r="J326" s="6"/>
      <c r="K326" s="6"/>
      <c r="L326" s="6"/>
      <c r="M326" s="6"/>
      <c r="N326" s="6" t="str">
        <f t="shared" si="33"/>
        <v/>
      </c>
      <c r="O326" s="6" t="str">
        <f t="shared" si="34"/>
        <v/>
      </c>
      <c r="P326" s="6">
        <v>3</v>
      </c>
      <c r="Q326" s="6">
        <v>1486</v>
      </c>
      <c r="R326" s="60"/>
      <c r="S326" s="60"/>
    </row>
    <row r="327" spans="1:19" s="1" customFormat="1" hidden="1" outlineLevel="1" x14ac:dyDescent="0.25">
      <c r="A327" s="7" t="s">
        <v>1223</v>
      </c>
      <c r="B327" s="7" t="s">
        <v>1224</v>
      </c>
      <c r="C327" s="14">
        <v>154.93</v>
      </c>
      <c r="D327" s="6">
        <v>196.01</v>
      </c>
      <c r="E327" s="6">
        <v>100</v>
      </c>
      <c r="F327" s="6"/>
      <c r="G327" s="6"/>
      <c r="H327" s="6"/>
      <c r="I327" s="6"/>
      <c r="J327" s="6">
        <v>373</v>
      </c>
      <c r="K327" s="6">
        <v>57788.89</v>
      </c>
      <c r="L327" s="6"/>
      <c r="M327" s="6"/>
      <c r="N327" s="6">
        <f t="shared" si="33"/>
        <v>373</v>
      </c>
      <c r="O327" s="6">
        <f t="shared" si="34"/>
        <v>57788.89</v>
      </c>
      <c r="P327" s="6">
        <v>43</v>
      </c>
      <c r="Q327" s="6">
        <v>7510</v>
      </c>
      <c r="R327" s="60">
        <f t="shared" si="31"/>
        <v>30.466455793071766</v>
      </c>
      <c r="S327" s="60">
        <f t="shared" si="32"/>
        <v>4720.1679960206093</v>
      </c>
    </row>
    <row r="328" spans="1:19" s="1" customFormat="1" hidden="1" outlineLevel="1" x14ac:dyDescent="0.25">
      <c r="A328" s="7" t="s">
        <v>1007</v>
      </c>
      <c r="B328" s="7" t="s">
        <v>1008</v>
      </c>
      <c r="C328" s="14">
        <v>69.739999999999995</v>
      </c>
      <c r="D328" s="6">
        <v>687.41</v>
      </c>
      <c r="E328" s="6">
        <v>100</v>
      </c>
      <c r="F328" s="6"/>
      <c r="G328" s="6"/>
      <c r="H328" s="6">
        <v>200</v>
      </c>
      <c r="I328" s="6">
        <v>13948</v>
      </c>
      <c r="J328" s="6">
        <v>2389</v>
      </c>
      <c r="K328" s="6">
        <v>166608.85999999999</v>
      </c>
      <c r="L328" s="6"/>
      <c r="M328" s="6"/>
      <c r="N328" s="6">
        <f t="shared" si="33"/>
        <v>2589</v>
      </c>
      <c r="O328" s="6">
        <f t="shared" si="34"/>
        <v>180556.86</v>
      </c>
      <c r="P328" s="6">
        <v>290</v>
      </c>
      <c r="Q328" s="6">
        <v>24834</v>
      </c>
      <c r="R328" s="60">
        <f t="shared" si="31"/>
        <v>1763.4344714217134</v>
      </c>
      <c r="S328" s="60">
        <f t="shared" si="32"/>
        <v>122981.92003695028</v>
      </c>
    </row>
    <row r="329" spans="1:19" s="1" customFormat="1" hidden="1" outlineLevel="1" x14ac:dyDescent="0.25">
      <c r="A329" s="7" t="s">
        <v>536</v>
      </c>
      <c r="B329" s="7" t="s">
        <v>537</v>
      </c>
      <c r="C329" s="14">
        <v>350</v>
      </c>
      <c r="D329" s="6">
        <v>494.45</v>
      </c>
      <c r="E329" s="6">
        <v>100</v>
      </c>
      <c r="F329" s="6"/>
      <c r="G329" s="6"/>
      <c r="H329" s="6">
        <v>2</v>
      </c>
      <c r="I329" s="6">
        <v>700</v>
      </c>
      <c r="J329" s="6">
        <v>2232</v>
      </c>
      <c r="K329" s="6">
        <v>781200</v>
      </c>
      <c r="L329" s="6"/>
      <c r="M329" s="6"/>
      <c r="N329" s="6">
        <f t="shared" si="33"/>
        <v>2234</v>
      </c>
      <c r="O329" s="6">
        <f t="shared" si="34"/>
        <v>781900</v>
      </c>
      <c r="P329" s="6">
        <v>34</v>
      </c>
      <c r="Q329" s="6">
        <v>12303</v>
      </c>
      <c r="R329" s="60">
        <f t="shared" si="31"/>
        <v>1419.4608150470219</v>
      </c>
      <c r="S329" s="60">
        <f t="shared" si="32"/>
        <v>496811.28526645765</v>
      </c>
    </row>
    <row r="330" spans="1:19" s="1" customFormat="1" hidden="1" outlineLevel="1" x14ac:dyDescent="0.25">
      <c r="A330" s="7" t="s">
        <v>1137</v>
      </c>
      <c r="B330" s="7" t="s">
        <v>1138</v>
      </c>
      <c r="C330" s="14">
        <v>215.96</v>
      </c>
      <c r="D330" s="6">
        <v>5255.17</v>
      </c>
      <c r="E330" s="6">
        <v>100</v>
      </c>
      <c r="F330" s="6"/>
      <c r="G330" s="6"/>
      <c r="H330" s="6"/>
      <c r="I330" s="6"/>
      <c r="J330" s="6">
        <v>658</v>
      </c>
      <c r="K330" s="6">
        <v>142101.68</v>
      </c>
      <c r="L330" s="6"/>
      <c r="M330" s="6"/>
      <c r="N330" s="6">
        <f t="shared" si="33"/>
        <v>658</v>
      </c>
      <c r="O330" s="6">
        <f t="shared" si="34"/>
        <v>142101.68</v>
      </c>
      <c r="P330" s="6">
        <v>56</v>
      </c>
      <c r="Q330" s="6">
        <v>14997</v>
      </c>
      <c r="R330" s="60">
        <f t="shared" si="31"/>
        <v>635.46219437239893</v>
      </c>
      <c r="S330" s="60">
        <f t="shared" si="32"/>
        <v>137234.41549666328</v>
      </c>
    </row>
    <row r="331" spans="1:19" s="1" customFormat="1" hidden="1" outlineLevel="1" x14ac:dyDescent="0.25">
      <c r="A331" s="7" t="s">
        <v>1329</v>
      </c>
      <c r="B331" s="7" t="s">
        <v>1330</v>
      </c>
      <c r="C331" s="14">
        <v>610.33000000000004</v>
      </c>
      <c r="D331" s="6">
        <v>7650</v>
      </c>
      <c r="E331" s="6">
        <v>100</v>
      </c>
      <c r="F331" s="6"/>
      <c r="G331" s="6"/>
      <c r="H331" s="6"/>
      <c r="I331" s="6"/>
      <c r="J331" s="6">
        <v>323</v>
      </c>
      <c r="K331" s="6">
        <v>197136.59</v>
      </c>
      <c r="L331" s="6"/>
      <c r="M331" s="6"/>
      <c r="N331" s="6">
        <f t="shared" si="33"/>
        <v>323</v>
      </c>
      <c r="O331" s="6">
        <f t="shared" si="34"/>
        <v>197136.59000000003</v>
      </c>
      <c r="P331" s="6">
        <v>17</v>
      </c>
      <c r="Q331" s="6">
        <v>12974</v>
      </c>
      <c r="R331" s="60">
        <f t="shared" si="31"/>
        <v>315.40000000000003</v>
      </c>
      <c r="S331" s="60">
        <f t="shared" si="32"/>
        <v>192498.08200000002</v>
      </c>
    </row>
    <row r="332" spans="1:19" s="1" customFormat="1" hidden="1" outlineLevel="1" x14ac:dyDescent="0.25">
      <c r="A332" s="7" t="s">
        <v>758</v>
      </c>
      <c r="B332" s="7" t="s">
        <v>759</v>
      </c>
      <c r="C332" s="14">
        <v>39.57</v>
      </c>
      <c r="D332" s="6">
        <v>179.64</v>
      </c>
      <c r="E332" s="6">
        <v>100</v>
      </c>
      <c r="F332" s="6"/>
      <c r="G332" s="6"/>
      <c r="H332" s="6">
        <v>12</v>
      </c>
      <c r="I332" s="6">
        <v>474.84</v>
      </c>
      <c r="J332" s="6">
        <v>3178</v>
      </c>
      <c r="K332" s="6">
        <v>125753.46</v>
      </c>
      <c r="L332" s="6"/>
      <c r="M332" s="6"/>
      <c r="N332" s="6">
        <f t="shared" si="33"/>
        <v>3190</v>
      </c>
      <c r="O332" s="6">
        <f t="shared" si="34"/>
        <v>126228.3</v>
      </c>
      <c r="P332" s="6">
        <v>144</v>
      </c>
      <c r="Q332" s="6">
        <v>5759</v>
      </c>
      <c r="R332" s="60"/>
      <c r="S332" s="60"/>
    </row>
    <row r="333" spans="1:19" s="1" customFormat="1" hidden="1" outlineLevel="1" x14ac:dyDescent="0.25">
      <c r="A333" s="7" t="s">
        <v>45</v>
      </c>
      <c r="B333" s="7" t="s">
        <v>46</v>
      </c>
      <c r="C333" s="14">
        <v>82.29</v>
      </c>
      <c r="D333" s="6">
        <v>171.33</v>
      </c>
      <c r="E333" s="6">
        <v>91.4</v>
      </c>
      <c r="F333" s="6">
        <v>10</v>
      </c>
      <c r="G333" s="6">
        <v>822.9</v>
      </c>
      <c r="H333" s="6">
        <v>179</v>
      </c>
      <c r="I333" s="6">
        <v>14729.91</v>
      </c>
      <c r="J333" s="6">
        <v>735</v>
      </c>
      <c r="K333" s="6">
        <v>60483.15</v>
      </c>
      <c r="L333" s="6"/>
      <c r="M333" s="6"/>
      <c r="N333" s="6">
        <f t="shared" si="33"/>
        <v>924</v>
      </c>
      <c r="O333" s="6">
        <f t="shared" si="34"/>
        <v>76035.960000000006</v>
      </c>
      <c r="P333" s="6">
        <v>3</v>
      </c>
      <c r="Q333" s="6">
        <v>285</v>
      </c>
      <c r="R333" s="60"/>
      <c r="S333" s="60"/>
    </row>
    <row r="334" spans="1:19" s="1" customFormat="1" hidden="1" outlineLevel="1" x14ac:dyDescent="0.25">
      <c r="A334" s="7" t="s">
        <v>1235</v>
      </c>
      <c r="B334" s="7" t="s">
        <v>1236</v>
      </c>
      <c r="C334" s="14">
        <v>175</v>
      </c>
      <c r="D334" s="6">
        <v>279.91000000000003</v>
      </c>
      <c r="E334" s="6">
        <v>100</v>
      </c>
      <c r="F334" s="6"/>
      <c r="G334" s="6"/>
      <c r="H334" s="6">
        <v>30</v>
      </c>
      <c r="I334" s="6">
        <v>5250</v>
      </c>
      <c r="J334" s="6">
        <v>79</v>
      </c>
      <c r="K334" s="6">
        <v>13825</v>
      </c>
      <c r="L334" s="6"/>
      <c r="M334" s="6"/>
      <c r="N334" s="6">
        <f t="shared" si="33"/>
        <v>109</v>
      </c>
      <c r="O334" s="6">
        <f t="shared" si="34"/>
        <v>19075</v>
      </c>
      <c r="P334" s="6">
        <v>65</v>
      </c>
      <c r="Q334" s="6">
        <v>13904</v>
      </c>
      <c r="R334" s="60">
        <f t="shared" si="31"/>
        <v>28.197956486013368</v>
      </c>
      <c r="S334" s="60">
        <f t="shared" si="32"/>
        <v>4934.6423850523397</v>
      </c>
    </row>
    <row r="335" spans="1:19" s="1" customFormat="1" hidden="1" outlineLevel="1" x14ac:dyDescent="0.25">
      <c r="A335" s="7" t="s">
        <v>670</v>
      </c>
      <c r="B335" s="7" t="s">
        <v>671</v>
      </c>
      <c r="C335" s="14">
        <v>169.01</v>
      </c>
      <c r="D335" s="6">
        <v>858.32</v>
      </c>
      <c r="E335" s="6">
        <v>100</v>
      </c>
      <c r="F335" s="6"/>
      <c r="G335" s="6"/>
      <c r="H335" s="6">
        <v>21</v>
      </c>
      <c r="I335" s="6">
        <v>3549.21</v>
      </c>
      <c r="J335" s="6">
        <v>3975</v>
      </c>
      <c r="K335" s="6">
        <v>671814.75</v>
      </c>
      <c r="L335" s="6"/>
      <c r="M335" s="6"/>
      <c r="N335" s="6">
        <f t="shared" si="33"/>
        <v>3996</v>
      </c>
      <c r="O335" s="6">
        <f t="shared" si="34"/>
        <v>675363.96</v>
      </c>
      <c r="P335" s="6">
        <v>79</v>
      </c>
      <c r="Q335" s="6">
        <v>14746</v>
      </c>
      <c r="R335" s="60">
        <f t="shared" si="31"/>
        <v>3141.3948177835773</v>
      </c>
      <c r="S335" s="60">
        <f t="shared" si="32"/>
        <v>530927.13815360237</v>
      </c>
    </row>
    <row r="336" spans="1:19" s="1" customFormat="1" hidden="1" outlineLevel="1" x14ac:dyDescent="0.25">
      <c r="A336" s="7" t="s">
        <v>149</v>
      </c>
      <c r="B336" s="7" t="s">
        <v>150</v>
      </c>
      <c r="C336" s="14">
        <v>880.22</v>
      </c>
      <c r="D336" s="6">
        <v>672.95</v>
      </c>
      <c r="E336" s="6">
        <v>100</v>
      </c>
      <c r="F336" s="6"/>
      <c r="G336" s="6"/>
      <c r="H336" s="6">
        <v>31</v>
      </c>
      <c r="I336" s="6">
        <v>27286.82</v>
      </c>
      <c r="J336" s="6">
        <v>213</v>
      </c>
      <c r="K336" s="6">
        <v>187486.86</v>
      </c>
      <c r="L336" s="6"/>
      <c r="M336" s="6"/>
      <c r="N336" s="6">
        <f t="shared" si="33"/>
        <v>244</v>
      </c>
      <c r="O336" s="6">
        <f t="shared" si="34"/>
        <v>214773.68</v>
      </c>
      <c r="P336" s="6">
        <v>2</v>
      </c>
      <c r="Q336" s="6">
        <v>1904</v>
      </c>
      <c r="R336" s="60">
        <f t="shared" si="31"/>
        <v>156.02697080020803</v>
      </c>
      <c r="S336" s="60">
        <f t="shared" si="32"/>
        <v>137338.06023775911</v>
      </c>
    </row>
    <row r="337" spans="1:19" s="1" customFormat="1" hidden="1" outlineLevel="1" x14ac:dyDescent="0.25">
      <c r="A337" s="7" t="s">
        <v>941</v>
      </c>
      <c r="B337" s="7" t="s">
        <v>942</v>
      </c>
      <c r="C337" s="14">
        <v>313.83</v>
      </c>
      <c r="D337" s="6">
        <v>71.260000000000005</v>
      </c>
      <c r="E337" s="6">
        <v>100</v>
      </c>
      <c r="F337" s="6"/>
      <c r="G337" s="6"/>
      <c r="H337" s="6">
        <v>43</v>
      </c>
      <c r="I337" s="6">
        <v>13494.69</v>
      </c>
      <c r="J337" s="6">
        <v>8</v>
      </c>
      <c r="K337" s="6">
        <v>2510.64</v>
      </c>
      <c r="L337" s="6">
        <v>525</v>
      </c>
      <c r="M337" s="6">
        <v>164760.75</v>
      </c>
      <c r="N337" s="6">
        <f t="shared" si="33"/>
        <v>576</v>
      </c>
      <c r="O337" s="6">
        <f t="shared" si="34"/>
        <v>180766.07999999999</v>
      </c>
      <c r="P337" s="6">
        <v>67</v>
      </c>
      <c r="Q337" s="6">
        <v>24597</v>
      </c>
      <c r="R337" s="60"/>
      <c r="S337" s="60"/>
    </row>
    <row r="338" spans="1:19" s="1" customFormat="1" hidden="1" outlineLevel="1" x14ac:dyDescent="0.25">
      <c r="A338" s="7" t="s">
        <v>702</v>
      </c>
      <c r="B338" s="7" t="s">
        <v>703</v>
      </c>
      <c r="C338" s="14">
        <v>271.20999999999998</v>
      </c>
      <c r="D338" s="6">
        <v>243.81</v>
      </c>
      <c r="E338" s="6">
        <v>100</v>
      </c>
      <c r="F338" s="6">
        <v>2</v>
      </c>
      <c r="G338" s="6">
        <v>542.41999999999996</v>
      </c>
      <c r="H338" s="6">
        <v>34</v>
      </c>
      <c r="I338" s="6">
        <v>9221.14</v>
      </c>
      <c r="J338" s="6">
        <v>1111</v>
      </c>
      <c r="K338" s="6">
        <v>301314.31</v>
      </c>
      <c r="L338" s="6"/>
      <c r="M338" s="6"/>
      <c r="N338" s="6">
        <f t="shared" si="33"/>
        <v>1147</v>
      </c>
      <c r="O338" s="6">
        <f t="shared" si="34"/>
        <v>311077.87</v>
      </c>
      <c r="P338" s="6">
        <v>-5</v>
      </c>
      <c r="Q338" s="6">
        <v>-2030</v>
      </c>
      <c r="R338" s="60">
        <f t="shared" si="31"/>
        <v>290.77113325950535</v>
      </c>
      <c r="S338" s="60">
        <f t="shared" si="32"/>
        <v>78860.039051310436</v>
      </c>
    </row>
    <row r="339" spans="1:19" s="1" customFormat="1" hidden="1" outlineLevel="1" x14ac:dyDescent="0.25">
      <c r="A339" s="7" t="s">
        <v>889</v>
      </c>
      <c r="B339" s="7" t="s">
        <v>890</v>
      </c>
      <c r="C339" s="14">
        <v>165</v>
      </c>
      <c r="D339" s="6">
        <v>79.52</v>
      </c>
      <c r="E339" s="6">
        <v>100</v>
      </c>
      <c r="F339" s="6"/>
      <c r="G339" s="6"/>
      <c r="H339" s="6">
        <v>66</v>
      </c>
      <c r="I339" s="6">
        <v>10890</v>
      </c>
      <c r="J339" s="6">
        <v>430</v>
      </c>
      <c r="K339" s="6">
        <v>70950</v>
      </c>
      <c r="L339" s="6"/>
      <c r="M339" s="6"/>
      <c r="N339" s="6">
        <f t="shared" si="33"/>
        <v>496</v>
      </c>
      <c r="O339" s="6">
        <f t="shared" si="34"/>
        <v>81840</v>
      </c>
      <c r="P339" s="6">
        <v>97</v>
      </c>
      <c r="Q339" s="6">
        <v>19798</v>
      </c>
      <c r="R339" s="60"/>
      <c r="S339" s="60"/>
    </row>
    <row r="340" spans="1:19" s="1" customFormat="1" hidden="1" outlineLevel="1" x14ac:dyDescent="0.25">
      <c r="A340" s="7" t="s">
        <v>626</v>
      </c>
      <c r="B340" s="7" t="s">
        <v>627</v>
      </c>
      <c r="C340" s="14">
        <v>69.739999999999995</v>
      </c>
      <c r="D340" s="6">
        <v>153.25</v>
      </c>
      <c r="E340" s="6">
        <v>100</v>
      </c>
      <c r="F340" s="6">
        <v>2</v>
      </c>
      <c r="G340" s="6">
        <v>139.47999999999999</v>
      </c>
      <c r="H340" s="6">
        <v>130</v>
      </c>
      <c r="I340" s="6">
        <v>9066.2000000000007</v>
      </c>
      <c r="J340" s="6">
        <v>2619</v>
      </c>
      <c r="K340" s="6">
        <v>182649.06</v>
      </c>
      <c r="L340" s="6"/>
      <c r="M340" s="6"/>
      <c r="N340" s="6">
        <f t="shared" si="33"/>
        <v>2751</v>
      </c>
      <c r="O340" s="6">
        <f t="shared" si="34"/>
        <v>191854.74</v>
      </c>
      <c r="P340" s="6">
        <v>210</v>
      </c>
      <c r="Q340" s="6">
        <v>15745</v>
      </c>
      <c r="R340" s="60"/>
      <c r="S340" s="60"/>
    </row>
    <row r="341" spans="1:19" s="1" customFormat="1" hidden="1" outlineLevel="1" x14ac:dyDescent="0.25">
      <c r="A341" s="7" t="s">
        <v>825</v>
      </c>
      <c r="B341" s="7" t="s">
        <v>826</v>
      </c>
      <c r="C341" s="14">
        <v>34.119999999999997</v>
      </c>
      <c r="D341" s="6">
        <v>33.42</v>
      </c>
      <c r="E341" s="6">
        <v>100</v>
      </c>
      <c r="F341" s="6"/>
      <c r="G341" s="6"/>
      <c r="H341" s="6">
        <v>51</v>
      </c>
      <c r="I341" s="6">
        <v>1740.12</v>
      </c>
      <c r="J341" s="6">
        <v>87</v>
      </c>
      <c r="K341" s="6">
        <v>2968.44</v>
      </c>
      <c r="L341" s="6"/>
      <c r="M341" s="6"/>
      <c r="N341" s="6">
        <f t="shared" si="33"/>
        <v>138</v>
      </c>
      <c r="O341" s="6">
        <f t="shared" si="34"/>
        <v>4708.5599999999995</v>
      </c>
      <c r="P341" s="6">
        <v>409</v>
      </c>
      <c r="Q341" s="6">
        <v>14935</v>
      </c>
      <c r="R341" s="60"/>
      <c r="S341" s="60"/>
    </row>
    <row r="342" spans="1:19" s="1" customFormat="1" hidden="1" outlineLevel="1" x14ac:dyDescent="0.25">
      <c r="A342" s="7" t="s">
        <v>273</v>
      </c>
      <c r="B342" s="7" t="s">
        <v>274</v>
      </c>
      <c r="C342" s="14">
        <v>381.32</v>
      </c>
      <c r="D342" s="6">
        <v>64.150000000000006</v>
      </c>
      <c r="E342" s="6">
        <v>100</v>
      </c>
      <c r="F342" s="6"/>
      <c r="G342" s="6"/>
      <c r="H342" s="6">
        <v>3</v>
      </c>
      <c r="I342" s="6">
        <v>1143.96</v>
      </c>
      <c r="J342" s="6">
        <v>188</v>
      </c>
      <c r="K342" s="6">
        <v>71688.160000000003</v>
      </c>
      <c r="L342" s="6"/>
      <c r="M342" s="6"/>
      <c r="N342" s="6">
        <f t="shared" si="33"/>
        <v>191</v>
      </c>
      <c r="O342" s="6">
        <f t="shared" si="34"/>
        <v>72832.12</v>
      </c>
      <c r="P342" s="6">
        <v>40</v>
      </c>
      <c r="Q342" s="6">
        <v>16284</v>
      </c>
      <c r="R342" s="60"/>
      <c r="S342" s="60"/>
    </row>
    <row r="343" spans="1:19" s="1" customFormat="1" hidden="1" outlineLevel="1" x14ac:dyDescent="0.25">
      <c r="A343" s="7" t="s">
        <v>1129</v>
      </c>
      <c r="B343" s="7" t="s">
        <v>1130</v>
      </c>
      <c r="C343" s="14">
        <v>368.08</v>
      </c>
      <c r="D343" s="6"/>
      <c r="E343" s="6">
        <v>100</v>
      </c>
      <c r="F343" s="6"/>
      <c r="G343" s="6"/>
      <c r="H343" s="6"/>
      <c r="I343" s="6"/>
      <c r="J343" s="6">
        <v>417</v>
      </c>
      <c r="K343" s="6">
        <v>153489.35999999999</v>
      </c>
      <c r="L343" s="6"/>
      <c r="M343" s="6"/>
      <c r="N343" s="6">
        <f t="shared" si="33"/>
        <v>417</v>
      </c>
      <c r="O343" s="6">
        <f t="shared" si="34"/>
        <v>153489.35999999999</v>
      </c>
      <c r="P343" s="6">
        <v>6</v>
      </c>
      <c r="Q343" s="6">
        <v>2761</v>
      </c>
      <c r="R343" s="60"/>
      <c r="S343" s="60"/>
    </row>
    <row r="344" spans="1:19" s="1" customFormat="1" hidden="1" outlineLevel="1" x14ac:dyDescent="0.25">
      <c r="A344" s="7" t="s">
        <v>237</v>
      </c>
      <c r="B344" s="7" t="s">
        <v>238</v>
      </c>
      <c r="C344" s="14">
        <v>2005.83</v>
      </c>
      <c r="D344" s="6"/>
      <c r="E344" s="6">
        <v>100</v>
      </c>
      <c r="F344" s="6"/>
      <c r="G344" s="6"/>
      <c r="H344" s="6"/>
      <c r="I344" s="6"/>
      <c r="J344" s="6">
        <v>2076</v>
      </c>
      <c r="K344" s="6">
        <v>4164103.08</v>
      </c>
      <c r="L344" s="6"/>
      <c r="M344" s="6"/>
      <c r="N344" s="6">
        <f t="shared" si="33"/>
        <v>2076</v>
      </c>
      <c r="O344" s="6">
        <f t="shared" si="34"/>
        <v>4164103.08</v>
      </c>
      <c r="P344" s="6"/>
      <c r="Q344" s="6"/>
      <c r="R344" s="60"/>
      <c r="S344" s="60"/>
    </row>
    <row r="345" spans="1:19" s="1" customFormat="1" hidden="1" outlineLevel="1" x14ac:dyDescent="0.25">
      <c r="A345" s="7" t="s">
        <v>642</v>
      </c>
      <c r="B345" s="7" t="s">
        <v>643</v>
      </c>
      <c r="C345" s="14">
        <v>704.5</v>
      </c>
      <c r="D345" s="6">
        <v>90.51</v>
      </c>
      <c r="E345" s="6">
        <v>99.1</v>
      </c>
      <c r="F345" s="6">
        <v>2</v>
      </c>
      <c r="G345" s="6">
        <v>1409</v>
      </c>
      <c r="H345" s="6">
        <v>3</v>
      </c>
      <c r="I345" s="6">
        <v>2113.5</v>
      </c>
      <c r="J345" s="6">
        <v>271</v>
      </c>
      <c r="K345" s="6">
        <v>190919.5</v>
      </c>
      <c r="L345" s="6"/>
      <c r="M345" s="6"/>
      <c r="N345" s="6">
        <f t="shared" si="33"/>
        <v>276</v>
      </c>
      <c r="O345" s="6">
        <f t="shared" si="34"/>
        <v>194442</v>
      </c>
      <c r="P345" s="6">
        <v>16</v>
      </c>
      <c r="Q345" s="6">
        <v>10381</v>
      </c>
      <c r="R345" s="60"/>
      <c r="S345" s="60"/>
    </row>
    <row r="346" spans="1:19" s="1" customFormat="1" hidden="1" outlineLevel="1" x14ac:dyDescent="0.25">
      <c r="A346" s="7" t="s">
        <v>746</v>
      </c>
      <c r="B346" s="7" t="s">
        <v>747</v>
      </c>
      <c r="C346" s="14">
        <v>347.88</v>
      </c>
      <c r="D346" s="6">
        <v>169.72</v>
      </c>
      <c r="E346" s="6">
        <v>100</v>
      </c>
      <c r="F346" s="6"/>
      <c r="G346" s="6"/>
      <c r="H346" s="6">
        <v>88</v>
      </c>
      <c r="I346" s="6">
        <v>30613.439999999999</v>
      </c>
      <c r="J346" s="6">
        <v>0</v>
      </c>
      <c r="K346" s="6">
        <v>0</v>
      </c>
      <c r="L346" s="6"/>
      <c r="M346" s="6"/>
      <c r="N346" s="6">
        <f t="shared" si="33"/>
        <v>88</v>
      </c>
      <c r="O346" s="6">
        <f t="shared" si="34"/>
        <v>30613.439999999999</v>
      </c>
      <c r="P346" s="6">
        <v>14</v>
      </c>
      <c r="Q346" s="6">
        <v>5489</v>
      </c>
      <c r="R346" s="60"/>
      <c r="S346" s="60"/>
    </row>
    <row r="347" spans="1:19" s="1" customFormat="1" hidden="1" outlineLevel="1" x14ac:dyDescent="0.25">
      <c r="A347" s="7" t="s">
        <v>596</v>
      </c>
      <c r="B347" s="7" t="s">
        <v>597</v>
      </c>
      <c r="C347" s="14">
        <v>80.95</v>
      </c>
      <c r="D347" s="6">
        <v>244.09</v>
      </c>
      <c r="E347" s="6">
        <v>100</v>
      </c>
      <c r="F347" s="6"/>
      <c r="G347" s="6"/>
      <c r="H347" s="6">
        <v>310</v>
      </c>
      <c r="I347" s="6">
        <v>25094.5</v>
      </c>
      <c r="J347" s="6">
        <v>589</v>
      </c>
      <c r="K347" s="6">
        <v>47679.55</v>
      </c>
      <c r="L347" s="6"/>
      <c r="M347" s="6"/>
      <c r="N347" s="6">
        <f t="shared" si="33"/>
        <v>899</v>
      </c>
      <c r="O347" s="6">
        <f t="shared" si="34"/>
        <v>72774.05</v>
      </c>
      <c r="P347" s="6">
        <v>567</v>
      </c>
      <c r="Q347" s="6">
        <v>58257</v>
      </c>
      <c r="R347" s="60">
        <f t="shared" si="31"/>
        <v>154.6520136015404</v>
      </c>
      <c r="S347" s="60">
        <f t="shared" si="32"/>
        <v>12519.080501044697</v>
      </c>
    </row>
    <row r="348" spans="1:19" s="1" customFormat="1" hidden="1" outlineLevel="1" x14ac:dyDescent="0.25">
      <c r="A348" s="7" t="s">
        <v>456</v>
      </c>
      <c r="B348" s="7" t="s">
        <v>457</v>
      </c>
      <c r="C348" s="14">
        <v>604.30999999999995</v>
      </c>
      <c r="D348" s="6">
        <v>216.78</v>
      </c>
      <c r="E348" s="6">
        <v>100</v>
      </c>
      <c r="F348" s="6"/>
      <c r="G348" s="6"/>
      <c r="H348" s="6">
        <v>92</v>
      </c>
      <c r="I348" s="6">
        <v>55596.52</v>
      </c>
      <c r="J348" s="6">
        <v>595</v>
      </c>
      <c r="K348" s="6">
        <v>359564.45</v>
      </c>
      <c r="L348" s="6"/>
      <c r="M348" s="6"/>
      <c r="N348" s="6">
        <f t="shared" si="33"/>
        <v>687</v>
      </c>
      <c r="O348" s="6">
        <f t="shared" si="34"/>
        <v>415160.97</v>
      </c>
      <c r="P348" s="6">
        <v>20</v>
      </c>
      <c r="Q348" s="6">
        <v>11862</v>
      </c>
      <c r="R348" s="60">
        <f t="shared" si="31"/>
        <v>100.95073346249654</v>
      </c>
      <c r="S348" s="60">
        <f t="shared" si="32"/>
        <v>61005.537738721279</v>
      </c>
    </row>
    <row r="349" spans="1:19" s="1" customFormat="1" hidden="1" outlineLevel="1" x14ac:dyDescent="0.25">
      <c r="A349" s="7" t="s">
        <v>879</v>
      </c>
      <c r="B349" s="7" t="s">
        <v>880</v>
      </c>
      <c r="C349" s="14">
        <v>154.58000000000001</v>
      </c>
      <c r="D349" s="6">
        <v>262.48</v>
      </c>
      <c r="E349" s="6">
        <v>74.19</v>
      </c>
      <c r="F349" s="6">
        <v>5</v>
      </c>
      <c r="G349" s="6">
        <v>772.9</v>
      </c>
      <c r="H349" s="6"/>
      <c r="I349" s="6"/>
      <c r="J349" s="6">
        <v>934</v>
      </c>
      <c r="K349" s="6">
        <v>144377.72</v>
      </c>
      <c r="L349" s="6"/>
      <c r="M349" s="6"/>
      <c r="N349" s="6">
        <f t="shared" si="33"/>
        <v>939</v>
      </c>
      <c r="O349" s="6">
        <f t="shared" si="34"/>
        <v>145150.62000000002</v>
      </c>
      <c r="P349" s="6">
        <v>15</v>
      </c>
      <c r="Q349" s="6">
        <v>2648</v>
      </c>
      <c r="R349" s="60">
        <f t="shared" si="31"/>
        <v>293.49405669003357</v>
      </c>
      <c r="S349" s="60">
        <f t="shared" si="32"/>
        <v>45368.311283145391</v>
      </c>
    </row>
    <row r="350" spans="1:19" s="1" customFormat="1" hidden="1" outlineLevel="1" x14ac:dyDescent="0.25">
      <c r="A350" s="7" t="s">
        <v>568</v>
      </c>
      <c r="B350" s="7" t="s">
        <v>569</v>
      </c>
      <c r="C350" s="14">
        <v>76.92</v>
      </c>
      <c r="D350" s="6">
        <v>24.14</v>
      </c>
      <c r="E350" s="6">
        <v>100</v>
      </c>
      <c r="F350" s="6"/>
      <c r="G350" s="6"/>
      <c r="H350" s="6">
        <v>12</v>
      </c>
      <c r="I350" s="6">
        <v>923.04</v>
      </c>
      <c r="J350" s="6">
        <v>378</v>
      </c>
      <c r="K350" s="6">
        <v>29075.759999999998</v>
      </c>
      <c r="L350" s="6"/>
      <c r="M350" s="6"/>
      <c r="N350" s="6">
        <f t="shared" ref="N350:N381" si="35">IF(J350+L350+H350+F350&lt;=0,"",J350+L350+H350+F350)</f>
        <v>390</v>
      </c>
      <c r="O350" s="6">
        <f t="shared" ref="O350:O381" si="36">IFERROR(C350*N350,"")</f>
        <v>29998.799999999999</v>
      </c>
      <c r="P350" s="6">
        <v>149</v>
      </c>
      <c r="Q350" s="6">
        <v>11435</v>
      </c>
      <c r="R350" s="60"/>
      <c r="S350" s="60"/>
    </row>
    <row r="351" spans="1:19" s="1" customFormat="1" hidden="1" outlineLevel="1" x14ac:dyDescent="0.25">
      <c r="A351" s="7" t="s">
        <v>1217</v>
      </c>
      <c r="B351" s="7" t="s">
        <v>1218</v>
      </c>
      <c r="C351" s="14">
        <v>431.37</v>
      </c>
      <c r="D351" s="6">
        <v>120.7</v>
      </c>
      <c r="E351" s="6">
        <v>100</v>
      </c>
      <c r="F351" s="6"/>
      <c r="G351" s="6"/>
      <c r="H351" s="6">
        <v>10</v>
      </c>
      <c r="I351" s="6">
        <v>4313.7</v>
      </c>
      <c r="J351" s="6">
        <v>431</v>
      </c>
      <c r="K351" s="6">
        <v>185920.47</v>
      </c>
      <c r="L351" s="6"/>
      <c r="M351" s="6"/>
      <c r="N351" s="6">
        <f t="shared" si="35"/>
        <v>441</v>
      </c>
      <c r="O351" s="6">
        <f t="shared" si="36"/>
        <v>190234.17</v>
      </c>
      <c r="P351" s="6">
        <v>39</v>
      </c>
      <c r="Q351" s="6">
        <v>18567</v>
      </c>
      <c r="R351" s="60"/>
      <c r="S351" s="60"/>
    </row>
    <row r="352" spans="1:19" s="1" customFormat="1" hidden="1" outlineLevel="1" x14ac:dyDescent="0.25">
      <c r="A352" s="7" t="s">
        <v>744</v>
      </c>
      <c r="B352" s="7" t="s">
        <v>745</v>
      </c>
      <c r="C352" s="14">
        <v>309.67</v>
      </c>
      <c r="D352" s="6">
        <v>860.03</v>
      </c>
      <c r="E352" s="6">
        <v>100</v>
      </c>
      <c r="F352" s="6"/>
      <c r="G352" s="6"/>
      <c r="H352" s="6"/>
      <c r="I352" s="6"/>
      <c r="J352" s="6">
        <v>1513</v>
      </c>
      <c r="K352" s="6">
        <v>468530.71</v>
      </c>
      <c r="L352" s="6"/>
      <c r="M352" s="6"/>
      <c r="N352" s="6">
        <f t="shared" si="35"/>
        <v>1513</v>
      </c>
      <c r="O352" s="6">
        <f t="shared" si="36"/>
        <v>468530.71</v>
      </c>
      <c r="P352" s="6">
        <v>39</v>
      </c>
      <c r="Q352" s="6">
        <v>13026</v>
      </c>
      <c r="R352" s="60">
        <f t="shared" si="31"/>
        <v>1196.3366277920538</v>
      </c>
      <c r="S352" s="60">
        <f t="shared" si="32"/>
        <v>370469.56352836534</v>
      </c>
    </row>
    <row r="353" spans="1:19" s="1" customFormat="1" hidden="1" outlineLevel="1" x14ac:dyDescent="0.25">
      <c r="A353" s="7" t="s">
        <v>560</v>
      </c>
      <c r="B353" s="7" t="s">
        <v>561</v>
      </c>
      <c r="C353" s="14">
        <v>184.04</v>
      </c>
      <c r="D353" s="6">
        <v>448.33</v>
      </c>
      <c r="E353" s="6">
        <v>100</v>
      </c>
      <c r="F353" s="6"/>
      <c r="G353" s="6"/>
      <c r="H353" s="6">
        <v>172</v>
      </c>
      <c r="I353" s="6">
        <v>31654.880000000001</v>
      </c>
      <c r="J353" s="6">
        <v>290</v>
      </c>
      <c r="K353" s="6">
        <v>53371.6</v>
      </c>
      <c r="L353" s="6">
        <v>500</v>
      </c>
      <c r="M353" s="6">
        <v>92020</v>
      </c>
      <c r="N353" s="6">
        <f t="shared" si="35"/>
        <v>962</v>
      </c>
      <c r="O353" s="6">
        <f t="shared" si="36"/>
        <v>177046.47999999998</v>
      </c>
      <c r="P353" s="6">
        <v>8</v>
      </c>
      <c r="Q353" s="6">
        <v>1472</v>
      </c>
      <c r="R353" s="60">
        <f t="shared" ref="R353:R408" si="37">J353/D353*(D353-180)</f>
        <v>173.56790756808601</v>
      </c>
      <c r="S353" s="60">
        <f t="shared" ref="S353:S408" si="38">R353*C353</f>
        <v>31943.437708830548</v>
      </c>
    </row>
    <row r="354" spans="1:19" s="1" customFormat="1" hidden="1" outlineLevel="1" x14ac:dyDescent="0.25">
      <c r="A354" s="7" t="s">
        <v>227</v>
      </c>
      <c r="B354" s="7" t="s">
        <v>228</v>
      </c>
      <c r="C354" s="14">
        <v>730</v>
      </c>
      <c r="D354" s="6">
        <v>2281.33</v>
      </c>
      <c r="E354" s="6">
        <v>100</v>
      </c>
      <c r="F354" s="6"/>
      <c r="G354" s="6"/>
      <c r="H354" s="6">
        <v>8</v>
      </c>
      <c r="I354" s="6">
        <v>5840</v>
      </c>
      <c r="J354" s="6">
        <v>107</v>
      </c>
      <c r="K354" s="6">
        <v>78110</v>
      </c>
      <c r="L354" s="6"/>
      <c r="M354" s="6"/>
      <c r="N354" s="6">
        <f t="shared" si="35"/>
        <v>115</v>
      </c>
      <c r="O354" s="6">
        <f t="shared" si="36"/>
        <v>83950</v>
      </c>
      <c r="P354" s="6">
        <v>26</v>
      </c>
      <c r="Q354" s="6">
        <v>28961</v>
      </c>
      <c r="R354" s="60">
        <f t="shared" si="37"/>
        <v>98.557556337750341</v>
      </c>
      <c r="S354" s="60">
        <f t="shared" si="38"/>
        <v>71947.016126557748</v>
      </c>
    </row>
    <row r="355" spans="1:19" s="1" customFormat="1" hidden="1" outlineLevel="1" x14ac:dyDescent="0.25">
      <c r="A355" s="7" t="s">
        <v>969</v>
      </c>
      <c r="B355" s="7" t="s">
        <v>970</v>
      </c>
      <c r="C355" s="14">
        <v>357.99</v>
      </c>
      <c r="D355" s="6">
        <v>130.27000000000001</v>
      </c>
      <c r="E355" s="6">
        <v>100</v>
      </c>
      <c r="F355" s="6"/>
      <c r="G355" s="6"/>
      <c r="H355" s="6">
        <v>3</v>
      </c>
      <c r="I355" s="6">
        <v>1073.97</v>
      </c>
      <c r="J355" s="6">
        <v>360</v>
      </c>
      <c r="K355" s="6">
        <v>128876.4</v>
      </c>
      <c r="L355" s="6"/>
      <c r="M355" s="6"/>
      <c r="N355" s="6">
        <f t="shared" si="35"/>
        <v>363</v>
      </c>
      <c r="O355" s="6">
        <f t="shared" si="36"/>
        <v>129950.37000000001</v>
      </c>
      <c r="P355" s="6">
        <v>16</v>
      </c>
      <c r="Q355" s="6">
        <v>5963</v>
      </c>
      <c r="R355" s="60"/>
      <c r="S355" s="60"/>
    </row>
    <row r="356" spans="1:19" s="1" customFormat="1" hidden="1" outlineLevel="1" x14ac:dyDescent="0.25">
      <c r="A356" s="7" t="s">
        <v>470</v>
      </c>
      <c r="B356" s="7" t="s">
        <v>471</v>
      </c>
      <c r="C356" s="14">
        <v>1133.32</v>
      </c>
      <c r="D356" s="6">
        <v>9542.2199999999993</v>
      </c>
      <c r="E356" s="6">
        <v>100</v>
      </c>
      <c r="F356" s="6"/>
      <c r="G356" s="6"/>
      <c r="H356" s="6"/>
      <c r="I356" s="6"/>
      <c r="J356" s="6">
        <v>929</v>
      </c>
      <c r="K356" s="6">
        <v>1052854.28</v>
      </c>
      <c r="L356" s="6"/>
      <c r="M356" s="6"/>
      <c r="N356" s="6">
        <f t="shared" si="35"/>
        <v>929</v>
      </c>
      <c r="O356" s="6">
        <f t="shared" si="36"/>
        <v>1052854.28</v>
      </c>
      <c r="P356" s="6">
        <v>10</v>
      </c>
      <c r="Q356" s="6">
        <v>14384</v>
      </c>
      <c r="R356" s="60">
        <f t="shared" si="37"/>
        <v>911.47577607726498</v>
      </c>
      <c r="S356" s="60">
        <f t="shared" si="38"/>
        <v>1032993.7265438859</v>
      </c>
    </row>
    <row r="357" spans="1:19" s="1" customFormat="1" hidden="1" outlineLevel="1" x14ac:dyDescent="0.25">
      <c r="A357" s="7" t="s">
        <v>83</v>
      </c>
      <c r="B357" s="7" t="s">
        <v>84</v>
      </c>
      <c r="C357" s="14">
        <v>158.19</v>
      </c>
      <c r="D357" s="6">
        <v>67.900000000000006</v>
      </c>
      <c r="E357" s="6">
        <v>100</v>
      </c>
      <c r="F357" s="6"/>
      <c r="G357" s="6"/>
      <c r="H357" s="6">
        <v>70</v>
      </c>
      <c r="I357" s="6">
        <v>11073.3</v>
      </c>
      <c r="J357" s="6">
        <v>6</v>
      </c>
      <c r="K357" s="6">
        <v>949.14</v>
      </c>
      <c r="L357" s="6">
        <v>1000</v>
      </c>
      <c r="M357" s="6">
        <v>158190</v>
      </c>
      <c r="N357" s="6">
        <f t="shared" si="35"/>
        <v>1076</v>
      </c>
      <c r="O357" s="6">
        <f t="shared" si="36"/>
        <v>170212.44</v>
      </c>
      <c r="P357" s="6">
        <v>7</v>
      </c>
      <c r="Q357" s="6">
        <v>1045</v>
      </c>
      <c r="R357" s="60"/>
      <c r="S357" s="60"/>
    </row>
    <row r="358" spans="1:19" s="1" customFormat="1" hidden="1" outlineLevel="1" x14ac:dyDescent="0.25">
      <c r="A358" s="7" t="s">
        <v>570</v>
      </c>
      <c r="B358" s="7" t="s">
        <v>571</v>
      </c>
      <c r="C358" s="14">
        <v>79.2</v>
      </c>
      <c r="D358" s="6">
        <v>102.63</v>
      </c>
      <c r="E358" s="6">
        <v>61.29</v>
      </c>
      <c r="F358" s="6"/>
      <c r="G358" s="6"/>
      <c r="H358" s="6">
        <v>5</v>
      </c>
      <c r="I358" s="6">
        <v>396</v>
      </c>
      <c r="J358" s="6">
        <v>683</v>
      </c>
      <c r="K358" s="6">
        <v>54093.599999999999</v>
      </c>
      <c r="L358" s="6"/>
      <c r="M358" s="6"/>
      <c r="N358" s="6">
        <f t="shared" si="35"/>
        <v>688</v>
      </c>
      <c r="O358" s="6">
        <f t="shared" si="36"/>
        <v>54489.599999999999</v>
      </c>
      <c r="P358" s="6">
        <v>41</v>
      </c>
      <c r="Q358" s="6">
        <v>3394</v>
      </c>
      <c r="R358" s="60"/>
      <c r="S358" s="60"/>
    </row>
    <row r="359" spans="1:19" s="1" customFormat="1" hidden="1" outlineLevel="1" x14ac:dyDescent="0.25">
      <c r="A359" s="7" t="s">
        <v>1227</v>
      </c>
      <c r="B359" s="7" t="s">
        <v>1228</v>
      </c>
      <c r="C359" s="14">
        <v>195.3</v>
      </c>
      <c r="D359" s="6">
        <v>152.74</v>
      </c>
      <c r="E359" s="6">
        <v>100</v>
      </c>
      <c r="F359" s="6"/>
      <c r="G359" s="6"/>
      <c r="H359" s="6">
        <v>47</v>
      </c>
      <c r="I359" s="6">
        <v>9179.1</v>
      </c>
      <c r="J359" s="6">
        <v>633</v>
      </c>
      <c r="K359" s="6">
        <v>123624.9</v>
      </c>
      <c r="L359" s="6"/>
      <c r="M359" s="6"/>
      <c r="N359" s="6">
        <f t="shared" si="35"/>
        <v>680</v>
      </c>
      <c r="O359" s="6">
        <f t="shared" si="36"/>
        <v>132804</v>
      </c>
      <c r="P359" s="6">
        <v>108</v>
      </c>
      <c r="Q359" s="6">
        <v>19753</v>
      </c>
      <c r="R359" s="60"/>
      <c r="S359" s="60"/>
    </row>
    <row r="360" spans="1:19" s="1" customFormat="1" hidden="1" outlineLevel="1" x14ac:dyDescent="0.25">
      <c r="A360" s="7" t="s">
        <v>247</v>
      </c>
      <c r="B360" s="7" t="s">
        <v>248</v>
      </c>
      <c r="C360" s="14">
        <v>232.01</v>
      </c>
      <c r="D360" s="6">
        <v>49.57</v>
      </c>
      <c r="E360" s="6">
        <v>100</v>
      </c>
      <c r="F360" s="6"/>
      <c r="G360" s="6"/>
      <c r="H360" s="6">
        <v>146</v>
      </c>
      <c r="I360" s="6">
        <v>33873.46</v>
      </c>
      <c r="J360" s="6">
        <v>1086</v>
      </c>
      <c r="K360" s="6">
        <v>251962.86</v>
      </c>
      <c r="L360" s="6"/>
      <c r="M360" s="6"/>
      <c r="N360" s="6">
        <f t="shared" si="35"/>
        <v>1232</v>
      </c>
      <c r="O360" s="6">
        <f t="shared" si="36"/>
        <v>285836.32</v>
      </c>
      <c r="P360" s="6">
        <v>23</v>
      </c>
      <c r="Q360" s="6">
        <v>5568</v>
      </c>
      <c r="R360" s="60"/>
      <c r="S360" s="60"/>
    </row>
    <row r="361" spans="1:19" s="1" customFormat="1" hidden="1" outlineLevel="1" x14ac:dyDescent="0.25">
      <c r="A361" s="7" t="s">
        <v>450</v>
      </c>
      <c r="B361" s="7" t="s">
        <v>451</v>
      </c>
      <c r="C361" s="14">
        <v>126.84</v>
      </c>
      <c r="D361" s="6">
        <v>26.38</v>
      </c>
      <c r="E361" s="6">
        <v>100</v>
      </c>
      <c r="F361" s="6"/>
      <c r="G361" s="6"/>
      <c r="H361" s="6">
        <v>137</v>
      </c>
      <c r="I361" s="6">
        <v>17377.080000000002</v>
      </c>
      <c r="J361" s="6">
        <v>9</v>
      </c>
      <c r="K361" s="6">
        <v>1141.56</v>
      </c>
      <c r="L361" s="6"/>
      <c r="M361" s="6"/>
      <c r="N361" s="6">
        <f t="shared" si="35"/>
        <v>146</v>
      </c>
      <c r="O361" s="6">
        <f t="shared" si="36"/>
        <v>18518.64</v>
      </c>
      <c r="P361" s="6">
        <v>36</v>
      </c>
      <c r="Q361" s="6">
        <v>3980</v>
      </c>
      <c r="R361" s="60"/>
      <c r="S361" s="60"/>
    </row>
    <row r="362" spans="1:19" s="1" customFormat="1" hidden="1" outlineLevel="1" x14ac:dyDescent="0.25">
      <c r="A362" s="7" t="s">
        <v>957</v>
      </c>
      <c r="B362" s="7" t="s">
        <v>958</v>
      </c>
      <c r="C362" s="14">
        <v>75.5</v>
      </c>
      <c r="D362" s="6">
        <v>19.329999999999998</v>
      </c>
      <c r="E362" s="6">
        <v>100</v>
      </c>
      <c r="F362" s="6"/>
      <c r="G362" s="6"/>
      <c r="H362" s="6">
        <v>141</v>
      </c>
      <c r="I362" s="6">
        <v>10645.5</v>
      </c>
      <c r="J362" s="6">
        <v>479</v>
      </c>
      <c r="K362" s="6">
        <v>36164.5</v>
      </c>
      <c r="L362" s="6">
        <v>1500</v>
      </c>
      <c r="M362" s="6">
        <v>113250</v>
      </c>
      <c r="N362" s="6">
        <f t="shared" si="35"/>
        <v>2120</v>
      </c>
      <c r="O362" s="6">
        <f t="shared" si="36"/>
        <v>160060</v>
      </c>
      <c r="P362" s="6">
        <v>65</v>
      </c>
      <c r="Q362" s="6">
        <v>4026</v>
      </c>
      <c r="R362" s="60"/>
      <c r="S362" s="60"/>
    </row>
    <row r="363" spans="1:19" s="1" customFormat="1" hidden="1" outlineLevel="1" x14ac:dyDescent="0.25">
      <c r="A363" s="7" t="s">
        <v>939</v>
      </c>
      <c r="B363" s="7" t="s">
        <v>940</v>
      </c>
      <c r="C363" s="14">
        <v>248.45</v>
      </c>
      <c r="D363" s="6">
        <v>30.78</v>
      </c>
      <c r="E363" s="6">
        <v>81.72</v>
      </c>
      <c r="F363" s="6"/>
      <c r="G363" s="6"/>
      <c r="H363" s="6"/>
      <c r="I363" s="6"/>
      <c r="J363" s="6">
        <v>67</v>
      </c>
      <c r="K363" s="6">
        <v>16646.150000000001</v>
      </c>
      <c r="L363" s="6">
        <v>825</v>
      </c>
      <c r="M363" s="6">
        <v>204971.25</v>
      </c>
      <c r="N363" s="6">
        <f t="shared" si="35"/>
        <v>892</v>
      </c>
      <c r="O363" s="6">
        <f t="shared" si="36"/>
        <v>221617.4</v>
      </c>
      <c r="P363" s="6">
        <v>18</v>
      </c>
      <c r="Q363" s="6">
        <v>4498</v>
      </c>
      <c r="R363" s="60"/>
      <c r="S363" s="60"/>
    </row>
    <row r="364" spans="1:19" s="1" customFormat="1" hidden="1" outlineLevel="1" x14ac:dyDescent="0.25">
      <c r="A364" s="7" t="s">
        <v>590</v>
      </c>
      <c r="B364" s="7" t="s">
        <v>591</v>
      </c>
      <c r="C364" s="14">
        <v>680</v>
      </c>
      <c r="D364" s="6">
        <v>40.770000000000003</v>
      </c>
      <c r="E364" s="6">
        <v>100</v>
      </c>
      <c r="F364" s="6"/>
      <c r="G364" s="6"/>
      <c r="H364" s="6"/>
      <c r="I364" s="6"/>
      <c r="J364" s="6">
        <v>16</v>
      </c>
      <c r="K364" s="6">
        <v>10880</v>
      </c>
      <c r="L364" s="6"/>
      <c r="M364" s="6"/>
      <c r="N364" s="6">
        <f t="shared" si="35"/>
        <v>16</v>
      </c>
      <c r="O364" s="6">
        <f t="shared" si="36"/>
        <v>10880</v>
      </c>
      <c r="P364" s="6">
        <v>3</v>
      </c>
      <c r="Q364" s="6">
        <v>2267</v>
      </c>
      <c r="R364" s="60"/>
      <c r="S364" s="60"/>
    </row>
    <row r="365" spans="1:19" s="1" customFormat="1" hidden="1" outlineLevel="1" x14ac:dyDescent="0.25">
      <c r="A365" s="7" t="s">
        <v>137</v>
      </c>
      <c r="B365" s="7" t="s">
        <v>138</v>
      </c>
      <c r="C365" s="14">
        <v>467.31</v>
      </c>
      <c r="D365" s="6">
        <v>36.56</v>
      </c>
      <c r="E365" s="6">
        <v>82.8</v>
      </c>
      <c r="F365" s="6"/>
      <c r="G365" s="6"/>
      <c r="H365" s="6">
        <v>32</v>
      </c>
      <c r="I365" s="6">
        <v>14953.92</v>
      </c>
      <c r="J365" s="6">
        <v>733</v>
      </c>
      <c r="K365" s="6">
        <v>342538.23</v>
      </c>
      <c r="L365" s="6"/>
      <c r="M365" s="6"/>
      <c r="N365" s="6">
        <f t="shared" si="35"/>
        <v>765</v>
      </c>
      <c r="O365" s="6">
        <f t="shared" si="36"/>
        <v>357492.15</v>
      </c>
      <c r="P365" s="6">
        <v>69</v>
      </c>
      <c r="Q365" s="6">
        <v>28726</v>
      </c>
      <c r="R365" s="60"/>
      <c r="S365" s="60"/>
    </row>
    <row r="366" spans="1:19" s="1" customFormat="1" hidden="1" outlineLevel="1" x14ac:dyDescent="0.25">
      <c r="A366" s="7" t="s">
        <v>1135</v>
      </c>
      <c r="B366" s="7" t="s">
        <v>1136</v>
      </c>
      <c r="C366" s="14">
        <v>553.98</v>
      </c>
      <c r="D366" s="6">
        <v>1221.2</v>
      </c>
      <c r="E366" s="6">
        <v>100</v>
      </c>
      <c r="F366" s="6"/>
      <c r="G366" s="6"/>
      <c r="H366" s="6"/>
      <c r="I366" s="6"/>
      <c r="J366" s="6">
        <v>166</v>
      </c>
      <c r="K366" s="6">
        <v>91960.68</v>
      </c>
      <c r="L366" s="6"/>
      <c r="M366" s="6"/>
      <c r="N366" s="6">
        <f t="shared" si="35"/>
        <v>166</v>
      </c>
      <c r="O366" s="6">
        <f t="shared" si="36"/>
        <v>91960.680000000008</v>
      </c>
      <c r="P366" s="6">
        <v>20</v>
      </c>
      <c r="Q366" s="6">
        <v>13619</v>
      </c>
      <c r="R366" s="60">
        <f t="shared" si="37"/>
        <v>141.53226334752702</v>
      </c>
      <c r="S366" s="60">
        <f t="shared" si="38"/>
        <v>78406.043249263021</v>
      </c>
    </row>
    <row r="367" spans="1:19" s="1" customFormat="1" hidden="1" outlineLevel="1" x14ac:dyDescent="0.25">
      <c r="A367" s="7" t="s">
        <v>1169</v>
      </c>
      <c r="B367" s="7" t="s">
        <v>1170</v>
      </c>
      <c r="C367" s="14">
        <v>976.52</v>
      </c>
      <c r="D367" s="6">
        <v>1327.33</v>
      </c>
      <c r="E367" s="6">
        <v>100</v>
      </c>
      <c r="F367" s="6"/>
      <c r="G367" s="6"/>
      <c r="H367" s="6">
        <v>10</v>
      </c>
      <c r="I367" s="6">
        <v>9765.2000000000007</v>
      </c>
      <c r="J367" s="6">
        <v>117</v>
      </c>
      <c r="K367" s="6">
        <v>114252.84</v>
      </c>
      <c r="L367" s="6"/>
      <c r="M367" s="6"/>
      <c r="N367" s="6">
        <f t="shared" si="35"/>
        <v>127</v>
      </c>
      <c r="O367" s="6">
        <f t="shared" si="36"/>
        <v>124018.04</v>
      </c>
      <c r="P367" s="6">
        <v>1</v>
      </c>
      <c r="Q367" s="6">
        <v>964</v>
      </c>
      <c r="R367" s="60">
        <f t="shared" si="37"/>
        <v>101.13356136002351</v>
      </c>
      <c r="S367" s="60">
        <f t="shared" si="38"/>
        <v>98758.945339290149</v>
      </c>
    </row>
    <row r="368" spans="1:19" s="1" customFormat="1" hidden="1" outlineLevel="1" x14ac:dyDescent="0.25">
      <c r="A368" s="7" t="s">
        <v>1145</v>
      </c>
      <c r="B368" s="7" t="s">
        <v>1146</v>
      </c>
      <c r="C368" s="14">
        <v>383.57</v>
      </c>
      <c r="D368" s="6">
        <v>3133.11</v>
      </c>
      <c r="E368" s="6">
        <v>100</v>
      </c>
      <c r="F368" s="6"/>
      <c r="G368" s="6"/>
      <c r="H368" s="6">
        <v>833</v>
      </c>
      <c r="I368" s="6">
        <v>319513.81</v>
      </c>
      <c r="J368" s="6">
        <v>-645</v>
      </c>
      <c r="K368" s="6">
        <v>-247402.65</v>
      </c>
      <c r="L368" s="6"/>
      <c r="M368" s="6"/>
      <c r="N368" s="6">
        <f t="shared" si="35"/>
        <v>188</v>
      </c>
      <c r="O368" s="6">
        <f t="shared" si="36"/>
        <v>72111.16</v>
      </c>
      <c r="P368" s="6">
        <v>47</v>
      </c>
      <c r="Q368" s="6">
        <v>22695</v>
      </c>
      <c r="R368" s="60"/>
      <c r="S368" s="60"/>
    </row>
    <row r="369" spans="1:19" s="1" customFormat="1" hidden="1" outlineLevel="1" x14ac:dyDescent="0.25">
      <c r="A369" s="7" t="s">
        <v>1109</v>
      </c>
      <c r="B369" s="7" t="s">
        <v>1110</v>
      </c>
      <c r="C369" s="14">
        <v>302.74</v>
      </c>
      <c r="D369" s="6">
        <v>277.87</v>
      </c>
      <c r="E369" s="6">
        <v>100</v>
      </c>
      <c r="F369" s="6">
        <v>2</v>
      </c>
      <c r="G369" s="6">
        <v>605.48</v>
      </c>
      <c r="H369" s="6">
        <v>30</v>
      </c>
      <c r="I369" s="6">
        <v>9082.2000000000007</v>
      </c>
      <c r="J369" s="6">
        <v>194</v>
      </c>
      <c r="K369" s="6">
        <v>58731.56</v>
      </c>
      <c r="L369" s="6"/>
      <c r="M369" s="6"/>
      <c r="N369" s="6">
        <f t="shared" si="35"/>
        <v>226</v>
      </c>
      <c r="O369" s="6">
        <f t="shared" si="36"/>
        <v>68419.240000000005</v>
      </c>
      <c r="P369" s="6">
        <v>32</v>
      </c>
      <c r="Q369" s="6">
        <v>11790</v>
      </c>
      <c r="R369" s="60">
        <f t="shared" si="37"/>
        <v>68.329722532119334</v>
      </c>
      <c r="S369" s="60">
        <f t="shared" si="38"/>
        <v>20686.140199373807</v>
      </c>
    </row>
    <row r="370" spans="1:19" s="1" customFormat="1" hidden="1" outlineLevel="1" x14ac:dyDescent="0.25">
      <c r="A370" s="7" t="s">
        <v>835</v>
      </c>
      <c r="B370" s="7" t="s">
        <v>836</v>
      </c>
      <c r="C370" s="14">
        <v>53.1</v>
      </c>
      <c r="D370" s="6">
        <v>154.04</v>
      </c>
      <c r="E370" s="6">
        <v>100</v>
      </c>
      <c r="F370" s="6"/>
      <c r="G370" s="6"/>
      <c r="H370" s="6"/>
      <c r="I370" s="6"/>
      <c r="J370" s="6">
        <v>1277</v>
      </c>
      <c r="K370" s="6">
        <v>67808.7</v>
      </c>
      <c r="L370" s="6"/>
      <c r="M370" s="6"/>
      <c r="N370" s="6">
        <f t="shared" si="35"/>
        <v>1277</v>
      </c>
      <c r="O370" s="6">
        <f t="shared" si="36"/>
        <v>67808.7</v>
      </c>
      <c r="P370" s="6">
        <v>77</v>
      </c>
      <c r="Q370" s="6">
        <v>4046</v>
      </c>
      <c r="R370" s="60"/>
      <c r="S370" s="60"/>
    </row>
    <row r="371" spans="1:19" s="1" customFormat="1" hidden="1" outlineLevel="1" x14ac:dyDescent="0.25">
      <c r="A371" s="7" t="s">
        <v>129</v>
      </c>
      <c r="B371" s="7" t="s">
        <v>130</v>
      </c>
      <c r="C371" s="14">
        <v>296.07</v>
      </c>
      <c r="D371" s="6">
        <v>139.82</v>
      </c>
      <c r="E371" s="6">
        <v>100</v>
      </c>
      <c r="F371" s="6"/>
      <c r="G371" s="6"/>
      <c r="H371" s="6">
        <v>10</v>
      </c>
      <c r="I371" s="6">
        <v>2960.7</v>
      </c>
      <c r="J371" s="6">
        <v>308</v>
      </c>
      <c r="K371" s="6">
        <v>91189.56</v>
      </c>
      <c r="L371" s="6"/>
      <c r="M371" s="6"/>
      <c r="N371" s="6">
        <f t="shared" si="35"/>
        <v>318</v>
      </c>
      <c r="O371" s="6">
        <f t="shared" si="36"/>
        <v>94150.26</v>
      </c>
      <c r="P371" s="6">
        <v>17</v>
      </c>
      <c r="Q371" s="6">
        <v>4503</v>
      </c>
      <c r="R371" s="60"/>
      <c r="S371" s="60"/>
    </row>
    <row r="372" spans="1:19" s="1" customFormat="1" hidden="1" outlineLevel="1" x14ac:dyDescent="0.25">
      <c r="A372" s="7" t="s">
        <v>1147</v>
      </c>
      <c r="B372" s="7" t="s">
        <v>1148</v>
      </c>
      <c r="C372" s="14">
        <v>675.61</v>
      </c>
      <c r="D372" s="6">
        <v>839.61</v>
      </c>
      <c r="E372" s="6">
        <v>100</v>
      </c>
      <c r="F372" s="6">
        <v>2</v>
      </c>
      <c r="G372" s="6">
        <v>1351.22</v>
      </c>
      <c r="H372" s="6"/>
      <c r="I372" s="6"/>
      <c r="J372" s="6">
        <v>193</v>
      </c>
      <c r="K372" s="6">
        <v>130392.73</v>
      </c>
      <c r="L372" s="6"/>
      <c r="M372" s="6"/>
      <c r="N372" s="6">
        <f t="shared" si="35"/>
        <v>195</v>
      </c>
      <c r="O372" s="6">
        <f t="shared" si="36"/>
        <v>131743.95000000001</v>
      </c>
      <c r="P372" s="6">
        <v>19</v>
      </c>
      <c r="Q372" s="6">
        <v>15610</v>
      </c>
      <c r="R372" s="60">
        <f t="shared" si="37"/>
        <v>151.62364669310753</v>
      </c>
      <c r="S372" s="60">
        <f t="shared" si="38"/>
        <v>102438.45194233039</v>
      </c>
    </row>
    <row r="373" spans="1:19" s="1" customFormat="1" hidden="1" outlineLevel="1" x14ac:dyDescent="0.25">
      <c r="A373" s="7" t="s">
        <v>23</v>
      </c>
      <c r="B373" s="7" t="s">
        <v>24</v>
      </c>
      <c r="C373" s="14">
        <v>28.5</v>
      </c>
      <c r="D373" s="6">
        <v>121.53</v>
      </c>
      <c r="E373" s="6">
        <v>100</v>
      </c>
      <c r="F373" s="6"/>
      <c r="G373" s="6"/>
      <c r="H373" s="6">
        <v>50</v>
      </c>
      <c r="I373" s="6">
        <v>1425</v>
      </c>
      <c r="J373" s="6">
        <v>11330</v>
      </c>
      <c r="K373" s="6">
        <v>322905</v>
      </c>
      <c r="L373" s="6"/>
      <c r="M373" s="6"/>
      <c r="N373" s="6">
        <f t="shared" si="35"/>
        <v>11380</v>
      </c>
      <c r="O373" s="6">
        <f t="shared" si="36"/>
        <v>324330</v>
      </c>
      <c r="P373" s="6">
        <v>923</v>
      </c>
      <c r="Q373" s="6">
        <v>31091</v>
      </c>
      <c r="R373" s="60"/>
      <c r="S373" s="60"/>
    </row>
    <row r="374" spans="1:19" s="1" customFormat="1" hidden="1" outlineLevel="1" x14ac:dyDescent="0.25">
      <c r="A374" s="7" t="s">
        <v>1117</v>
      </c>
      <c r="B374" s="7" t="s">
        <v>1118</v>
      </c>
      <c r="C374" s="14">
        <v>354.93</v>
      </c>
      <c r="D374" s="6">
        <v>143.71</v>
      </c>
      <c r="E374" s="6">
        <v>100</v>
      </c>
      <c r="F374" s="6"/>
      <c r="G374" s="6"/>
      <c r="H374" s="6"/>
      <c r="I374" s="6"/>
      <c r="J374" s="6">
        <v>140</v>
      </c>
      <c r="K374" s="6">
        <v>49690.2</v>
      </c>
      <c r="L374" s="6"/>
      <c r="M374" s="6"/>
      <c r="N374" s="6">
        <f t="shared" si="35"/>
        <v>140</v>
      </c>
      <c r="O374" s="6">
        <f t="shared" si="36"/>
        <v>49690.200000000004</v>
      </c>
      <c r="P374" s="6">
        <v>34</v>
      </c>
      <c r="Q374" s="6">
        <v>15054</v>
      </c>
      <c r="R374" s="60"/>
      <c r="S374" s="60"/>
    </row>
    <row r="375" spans="1:19" s="1" customFormat="1" hidden="1" outlineLevel="1" x14ac:dyDescent="0.25">
      <c r="A375" s="7" t="s">
        <v>704</v>
      </c>
      <c r="B375" s="7" t="s">
        <v>705</v>
      </c>
      <c r="C375" s="14">
        <v>271.20999999999998</v>
      </c>
      <c r="D375" s="6">
        <v>42.26</v>
      </c>
      <c r="E375" s="6">
        <v>100</v>
      </c>
      <c r="F375" s="6"/>
      <c r="G375" s="6"/>
      <c r="H375" s="6"/>
      <c r="I375" s="6"/>
      <c r="J375" s="6">
        <v>664</v>
      </c>
      <c r="K375" s="6">
        <v>180083.44</v>
      </c>
      <c r="L375" s="6"/>
      <c r="M375" s="6"/>
      <c r="N375" s="6">
        <f t="shared" si="35"/>
        <v>664</v>
      </c>
      <c r="O375" s="6">
        <f t="shared" si="36"/>
        <v>180083.43999999997</v>
      </c>
      <c r="P375" s="6">
        <v>51</v>
      </c>
      <c r="Q375" s="6">
        <v>14753</v>
      </c>
      <c r="R375" s="60"/>
      <c r="S375" s="60"/>
    </row>
    <row r="376" spans="1:19" s="1" customFormat="1" hidden="1" outlineLevel="1" x14ac:dyDescent="0.25">
      <c r="A376" s="7" t="s">
        <v>1039</v>
      </c>
      <c r="B376" s="7" t="s">
        <v>1040</v>
      </c>
      <c r="C376" s="14">
        <v>96.83</v>
      </c>
      <c r="D376" s="6">
        <v>240.69</v>
      </c>
      <c r="E376" s="6">
        <v>100</v>
      </c>
      <c r="F376" s="6"/>
      <c r="G376" s="6"/>
      <c r="H376" s="6"/>
      <c r="I376" s="6"/>
      <c r="J376" s="6">
        <v>947</v>
      </c>
      <c r="K376" s="6">
        <v>91698.01</v>
      </c>
      <c r="L376" s="6"/>
      <c r="M376" s="6"/>
      <c r="N376" s="6">
        <f t="shared" si="35"/>
        <v>947</v>
      </c>
      <c r="O376" s="6">
        <f t="shared" si="36"/>
        <v>91698.01</v>
      </c>
      <c r="P376" s="6">
        <v>21</v>
      </c>
      <c r="Q376" s="6">
        <v>2039</v>
      </c>
      <c r="R376" s="60">
        <f t="shared" si="37"/>
        <v>238.78611491960612</v>
      </c>
      <c r="S376" s="60">
        <f t="shared" si="38"/>
        <v>23121.659507665459</v>
      </c>
    </row>
    <row r="377" spans="1:19" s="1" customFormat="1" hidden="1" outlineLevel="1" x14ac:dyDescent="0.25">
      <c r="A377" s="7" t="s">
        <v>1225</v>
      </c>
      <c r="B377" s="7" t="s">
        <v>1226</v>
      </c>
      <c r="C377" s="14">
        <v>164.32</v>
      </c>
      <c r="D377" s="6">
        <v>1797.65</v>
      </c>
      <c r="E377" s="6">
        <v>100</v>
      </c>
      <c r="F377" s="6">
        <v>4</v>
      </c>
      <c r="G377" s="6">
        <v>657.28</v>
      </c>
      <c r="H377" s="6"/>
      <c r="I377" s="6"/>
      <c r="J377" s="6">
        <v>3964</v>
      </c>
      <c r="K377" s="6">
        <v>651364.48</v>
      </c>
      <c r="L377" s="6"/>
      <c r="M377" s="6"/>
      <c r="N377" s="6">
        <f t="shared" si="35"/>
        <v>3968</v>
      </c>
      <c r="O377" s="6">
        <f t="shared" si="36"/>
        <v>652021.76000000001</v>
      </c>
      <c r="P377" s="6">
        <v>81</v>
      </c>
      <c r="Q377" s="6">
        <v>12702</v>
      </c>
      <c r="R377" s="60">
        <f t="shared" si="37"/>
        <v>3567.0818012405084</v>
      </c>
      <c r="S377" s="60">
        <f t="shared" si="38"/>
        <v>586142.88157984032</v>
      </c>
    </row>
    <row r="378" spans="1:19" s="1" customFormat="1" hidden="1" outlineLevel="1" x14ac:dyDescent="0.25">
      <c r="A378" s="7" t="s">
        <v>1035</v>
      </c>
      <c r="B378" s="7" t="s">
        <v>1036</v>
      </c>
      <c r="C378" s="14">
        <v>96.83</v>
      </c>
      <c r="D378" s="6">
        <v>240.84</v>
      </c>
      <c r="E378" s="6">
        <v>100</v>
      </c>
      <c r="F378" s="6"/>
      <c r="G378" s="6"/>
      <c r="H378" s="6"/>
      <c r="I378" s="6"/>
      <c r="J378" s="6">
        <v>1287</v>
      </c>
      <c r="K378" s="6">
        <v>124620.21</v>
      </c>
      <c r="L378" s="6"/>
      <c r="M378" s="6"/>
      <c r="N378" s="6">
        <f t="shared" si="35"/>
        <v>1287</v>
      </c>
      <c r="O378" s="6">
        <f t="shared" si="36"/>
        <v>124620.20999999999</v>
      </c>
      <c r="P378" s="6">
        <v>103</v>
      </c>
      <c r="Q378" s="6">
        <v>11720</v>
      </c>
      <c r="R378" s="60">
        <f t="shared" si="37"/>
        <v>325.11659192825118</v>
      </c>
      <c r="S378" s="60">
        <f t="shared" si="38"/>
        <v>31481.03959641256</v>
      </c>
    </row>
    <row r="379" spans="1:19" s="1" customFormat="1" hidden="1" outlineLevel="1" x14ac:dyDescent="0.25">
      <c r="A379" s="7" t="s">
        <v>714</v>
      </c>
      <c r="B379" s="7" t="s">
        <v>715</v>
      </c>
      <c r="C379" s="14">
        <v>815.97</v>
      </c>
      <c r="D379" s="6"/>
      <c r="E379" s="6">
        <v>39.78</v>
      </c>
      <c r="F379" s="6"/>
      <c r="G379" s="6"/>
      <c r="H379" s="6"/>
      <c r="I379" s="6"/>
      <c r="J379" s="6">
        <v>162</v>
      </c>
      <c r="K379" s="6">
        <v>132187.14000000001</v>
      </c>
      <c r="L379" s="6"/>
      <c r="M379" s="6"/>
      <c r="N379" s="6">
        <f t="shared" si="35"/>
        <v>162</v>
      </c>
      <c r="O379" s="6">
        <f t="shared" si="36"/>
        <v>132187.14000000001</v>
      </c>
      <c r="P379" s="6">
        <v>1</v>
      </c>
      <c r="Q379" s="6">
        <v>680</v>
      </c>
      <c r="R379" s="60"/>
      <c r="S379" s="60"/>
    </row>
    <row r="380" spans="1:19" s="1" customFormat="1" hidden="1" outlineLevel="1" x14ac:dyDescent="0.25">
      <c r="A380" s="7" t="s">
        <v>25</v>
      </c>
      <c r="B380" s="7" t="s">
        <v>26</v>
      </c>
      <c r="C380" s="14">
        <v>33</v>
      </c>
      <c r="D380" s="6">
        <v>54.87</v>
      </c>
      <c r="E380" s="6">
        <v>100</v>
      </c>
      <c r="F380" s="6"/>
      <c r="G380" s="6"/>
      <c r="H380" s="6">
        <v>200</v>
      </c>
      <c r="I380" s="6">
        <v>6600</v>
      </c>
      <c r="J380" s="6">
        <v>2248</v>
      </c>
      <c r="K380" s="6">
        <v>74184</v>
      </c>
      <c r="L380" s="6"/>
      <c r="M380" s="6"/>
      <c r="N380" s="6">
        <f t="shared" si="35"/>
        <v>2448</v>
      </c>
      <c r="O380" s="6">
        <f t="shared" si="36"/>
        <v>80784</v>
      </c>
      <c r="P380" s="6">
        <v>442</v>
      </c>
      <c r="Q380" s="6">
        <v>17640</v>
      </c>
      <c r="R380" s="60"/>
      <c r="S380" s="60"/>
    </row>
    <row r="381" spans="1:19" s="1" customFormat="1" hidden="1" outlineLevel="1" x14ac:dyDescent="0.25">
      <c r="A381" s="7" t="s">
        <v>1159</v>
      </c>
      <c r="B381" s="7" t="s">
        <v>1160</v>
      </c>
      <c r="C381" s="14">
        <v>220.41</v>
      </c>
      <c r="D381" s="6">
        <v>344.41</v>
      </c>
      <c r="E381" s="6">
        <v>100</v>
      </c>
      <c r="F381" s="6"/>
      <c r="G381" s="6"/>
      <c r="H381" s="6">
        <v>100</v>
      </c>
      <c r="I381" s="6">
        <v>22041</v>
      </c>
      <c r="J381" s="6">
        <v>298</v>
      </c>
      <c r="K381" s="6">
        <v>65682.179999999993</v>
      </c>
      <c r="L381" s="6"/>
      <c r="M381" s="6"/>
      <c r="N381" s="6">
        <f t="shared" si="35"/>
        <v>398</v>
      </c>
      <c r="O381" s="6">
        <f t="shared" si="36"/>
        <v>87723.18</v>
      </c>
      <c r="P381" s="6">
        <v>9</v>
      </c>
      <c r="Q381" s="6">
        <v>2199</v>
      </c>
      <c r="R381" s="60">
        <f t="shared" si="37"/>
        <v>142.25539328126362</v>
      </c>
      <c r="S381" s="60">
        <f t="shared" si="38"/>
        <v>31354.511233123314</v>
      </c>
    </row>
    <row r="382" spans="1:19" s="1" customFormat="1" hidden="1" outlineLevel="1" x14ac:dyDescent="0.25">
      <c r="A382" s="7" t="s">
        <v>981</v>
      </c>
      <c r="B382" s="7" t="s">
        <v>982</v>
      </c>
      <c r="C382" s="14">
        <v>88.15</v>
      </c>
      <c r="D382" s="6">
        <v>106</v>
      </c>
      <c r="E382" s="6">
        <v>100</v>
      </c>
      <c r="F382" s="6"/>
      <c r="G382" s="6"/>
      <c r="H382" s="6">
        <v>233</v>
      </c>
      <c r="I382" s="6">
        <v>20538.95</v>
      </c>
      <c r="J382" s="6">
        <v>581</v>
      </c>
      <c r="K382" s="6">
        <v>51215.15</v>
      </c>
      <c r="L382" s="6"/>
      <c r="M382" s="6"/>
      <c r="N382" s="6">
        <f t="shared" ref="N382:N408" si="39">IF(J382+L382+H382+F382&lt;=0,"",J382+L382+H382+F382)</f>
        <v>814</v>
      </c>
      <c r="O382" s="6">
        <f t="shared" ref="O382:O408" si="40">IFERROR(C382*N382,"")</f>
        <v>71754.100000000006</v>
      </c>
      <c r="P382" s="6">
        <v>238</v>
      </c>
      <c r="Q382" s="6">
        <v>25862</v>
      </c>
      <c r="R382" s="60"/>
      <c r="S382" s="60"/>
    </row>
    <row r="383" spans="1:19" s="1" customFormat="1" hidden="1" outlineLevel="1" x14ac:dyDescent="0.25">
      <c r="A383" s="7" t="s">
        <v>616</v>
      </c>
      <c r="B383" s="7" t="s">
        <v>617</v>
      </c>
      <c r="C383" s="14">
        <v>120.5</v>
      </c>
      <c r="D383" s="6">
        <v>554.29</v>
      </c>
      <c r="E383" s="6">
        <v>100</v>
      </c>
      <c r="F383" s="6"/>
      <c r="G383" s="6"/>
      <c r="H383" s="6"/>
      <c r="I383" s="6"/>
      <c r="J383" s="6">
        <v>1081</v>
      </c>
      <c r="K383" s="6">
        <v>130260.5</v>
      </c>
      <c r="L383" s="6"/>
      <c r="M383" s="6"/>
      <c r="N383" s="6">
        <f t="shared" si="39"/>
        <v>1081</v>
      </c>
      <c r="O383" s="6">
        <f t="shared" si="40"/>
        <v>130260.5</v>
      </c>
      <c r="P383" s="6">
        <v>15</v>
      </c>
      <c r="Q383" s="6">
        <v>1785</v>
      </c>
      <c r="R383" s="60">
        <f t="shared" si="37"/>
        <v>729.95632250266101</v>
      </c>
      <c r="S383" s="60">
        <f t="shared" si="38"/>
        <v>87959.736861570651</v>
      </c>
    </row>
    <row r="384" spans="1:19" s="1" customFormat="1" hidden="1" outlineLevel="1" x14ac:dyDescent="0.25">
      <c r="A384" s="7" t="s">
        <v>39</v>
      </c>
      <c r="B384" s="7" t="s">
        <v>40</v>
      </c>
      <c r="C384" s="14">
        <v>89</v>
      </c>
      <c r="D384" s="6">
        <v>87.12</v>
      </c>
      <c r="E384" s="6">
        <v>100</v>
      </c>
      <c r="F384" s="6"/>
      <c r="G384" s="6"/>
      <c r="H384" s="6">
        <v>55</v>
      </c>
      <c r="I384" s="6">
        <v>4895</v>
      </c>
      <c r="J384" s="6">
        <v>1313</v>
      </c>
      <c r="K384" s="6">
        <v>116857</v>
      </c>
      <c r="L384" s="6"/>
      <c r="M384" s="6"/>
      <c r="N384" s="6">
        <f t="shared" si="39"/>
        <v>1368</v>
      </c>
      <c r="O384" s="6">
        <f t="shared" si="40"/>
        <v>121752</v>
      </c>
      <c r="P384" s="6">
        <v>159</v>
      </c>
      <c r="Q384" s="6">
        <v>17385</v>
      </c>
      <c r="R384" s="60"/>
      <c r="S384" s="60"/>
    </row>
    <row r="385" spans="1:19" s="1" customFormat="1" hidden="1" outlineLevel="1" x14ac:dyDescent="0.25">
      <c r="A385" s="7" t="s">
        <v>460</v>
      </c>
      <c r="B385" s="7" t="s">
        <v>461</v>
      </c>
      <c r="C385" s="14">
        <v>526.11</v>
      </c>
      <c r="D385" s="6"/>
      <c r="E385" s="6">
        <v>9.68</v>
      </c>
      <c r="F385" s="6">
        <v>187</v>
      </c>
      <c r="G385" s="6">
        <v>98382.57</v>
      </c>
      <c r="H385" s="6"/>
      <c r="I385" s="6"/>
      <c r="J385" s="6">
        <v>-14</v>
      </c>
      <c r="K385" s="6">
        <v>-7365.54</v>
      </c>
      <c r="L385" s="6"/>
      <c r="M385" s="6"/>
      <c r="N385" s="6">
        <f t="shared" si="39"/>
        <v>173</v>
      </c>
      <c r="O385" s="6">
        <f t="shared" si="40"/>
        <v>91017.03</v>
      </c>
      <c r="P385" s="6">
        <v>5</v>
      </c>
      <c r="Q385" s="6">
        <v>3288</v>
      </c>
      <c r="R385" s="60"/>
      <c r="S385" s="60"/>
    </row>
    <row r="386" spans="1:19" s="1" customFormat="1" hidden="1" outlineLevel="1" x14ac:dyDescent="0.25">
      <c r="A386" s="7" t="s">
        <v>752</v>
      </c>
      <c r="B386" s="7" t="s">
        <v>753</v>
      </c>
      <c r="C386" s="14">
        <v>154.05000000000001</v>
      </c>
      <c r="D386" s="6">
        <v>101.43</v>
      </c>
      <c r="E386" s="6">
        <v>100</v>
      </c>
      <c r="F386" s="6">
        <v>2</v>
      </c>
      <c r="G386" s="6">
        <v>308.10000000000002</v>
      </c>
      <c r="H386" s="6">
        <v>5</v>
      </c>
      <c r="I386" s="6">
        <v>770.25</v>
      </c>
      <c r="J386" s="6">
        <v>649</v>
      </c>
      <c r="K386" s="6">
        <v>99978.45</v>
      </c>
      <c r="L386" s="6"/>
      <c r="M386" s="6"/>
      <c r="N386" s="6">
        <f t="shared" si="39"/>
        <v>656</v>
      </c>
      <c r="O386" s="6">
        <f t="shared" si="40"/>
        <v>101056.8</v>
      </c>
      <c r="P386" s="6">
        <v>74</v>
      </c>
      <c r="Q386" s="6">
        <v>11364</v>
      </c>
      <c r="R386" s="60"/>
      <c r="S386" s="60"/>
    </row>
    <row r="387" spans="1:19" s="1" customFormat="1" hidden="1" outlineLevel="1" x14ac:dyDescent="0.25">
      <c r="A387" s="7" t="s">
        <v>486</v>
      </c>
      <c r="B387" s="7" t="s">
        <v>487</v>
      </c>
      <c r="C387" s="14">
        <v>147.05000000000001</v>
      </c>
      <c r="D387" s="6">
        <v>652.41</v>
      </c>
      <c r="E387" s="6">
        <v>100</v>
      </c>
      <c r="F387" s="6">
        <v>2</v>
      </c>
      <c r="G387" s="6">
        <v>294.10000000000002</v>
      </c>
      <c r="H387" s="6">
        <v>450</v>
      </c>
      <c r="I387" s="6">
        <v>66172.5</v>
      </c>
      <c r="J387" s="6">
        <v>503</v>
      </c>
      <c r="K387" s="6">
        <v>73966.149999999994</v>
      </c>
      <c r="L387" s="6"/>
      <c r="M387" s="6"/>
      <c r="N387" s="6">
        <f t="shared" si="39"/>
        <v>955</v>
      </c>
      <c r="O387" s="6">
        <f t="shared" si="40"/>
        <v>140432.75</v>
      </c>
      <c r="P387" s="6">
        <v>434</v>
      </c>
      <c r="Q387" s="6">
        <v>78949</v>
      </c>
      <c r="R387" s="60">
        <f t="shared" si="37"/>
        <v>364.22223755000687</v>
      </c>
      <c r="S387" s="60">
        <f t="shared" si="38"/>
        <v>53558.880031728513</v>
      </c>
    </row>
    <row r="388" spans="1:19" s="1" customFormat="1" hidden="1" outlineLevel="1" x14ac:dyDescent="0.25">
      <c r="A388" s="7" t="s">
        <v>484</v>
      </c>
      <c r="B388" s="7" t="s">
        <v>485</v>
      </c>
      <c r="C388" s="14">
        <v>116.13</v>
      </c>
      <c r="D388" s="6">
        <v>52.55</v>
      </c>
      <c r="E388" s="6">
        <v>100</v>
      </c>
      <c r="F388" s="6"/>
      <c r="G388" s="6"/>
      <c r="H388" s="6">
        <v>150</v>
      </c>
      <c r="I388" s="6">
        <v>17419.5</v>
      </c>
      <c r="J388" s="6">
        <v>951</v>
      </c>
      <c r="K388" s="6">
        <v>110439.63</v>
      </c>
      <c r="L388" s="6"/>
      <c r="M388" s="6"/>
      <c r="N388" s="6">
        <f t="shared" si="39"/>
        <v>1101</v>
      </c>
      <c r="O388" s="6">
        <f t="shared" si="40"/>
        <v>127859.12999999999</v>
      </c>
      <c r="P388" s="6">
        <v>25</v>
      </c>
      <c r="Q388" s="6">
        <v>3924</v>
      </c>
      <c r="R388" s="60"/>
      <c r="S388" s="60"/>
    </row>
    <row r="389" spans="1:19" s="1" customFormat="1" hidden="1" outlineLevel="1" x14ac:dyDescent="0.25">
      <c r="A389" s="7" t="s">
        <v>490</v>
      </c>
      <c r="B389" s="7" t="s">
        <v>491</v>
      </c>
      <c r="C389" s="14">
        <v>83.34</v>
      </c>
      <c r="D389" s="6">
        <v>58.47</v>
      </c>
      <c r="E389" s="6">
        <v>100</v>
      </c>
      <c r="F389" s="6">
        <v>55</v>
      </c>
      <c r="G389" s="6">
        <v>4583.7</v>
      </c>
      <c r="H389" s="6">
        <v>66</v>
      </c>
      <c r="I389" s="6">
        <v>5500.44</v>
      </c>
      <c r="J389" s="6">
        <v>938</v>
      </c>
      <c r="K389" s="6">
        <v>78172.92</v>
      </c>
      <c r="L389" s="6"/>
      <c r="M389" s="6"/>
      <c r="N389" s="6">
        <f t="shared" si="39"/>
        <v>1059</v>
      </c>
      <c r="O389" s="6">
        <f t="shared" si="40"/>
        <v>88257.06</v>
      </c>
      <c r="P389" s="6">
        <v>207</v>
      </c>
      <c r="Q389" s="6">
        <v>20110</v>
      </c>
      <c r="R389" s="60"/>
      <c r="S389" s="60"/>
    </row>
    <row r="390" spans="1:19" s="1" customFormat="1" hidden="1" outlineLevel="1" x14ac:dyDescent="0.25">
      <c r="A390" s="7" t="s">
        <v>989</v>
      </c>
      <c r="B390" s="7" t="s">
        <v>990</v>
      </c>
      <c r="C390" s="14">
        <v>1668.07</v>
      </c>
      <c r="D390" s="6">
        <v>23.5</v>
      </c>
      <c r="E390" s="6">
        <v>99.22</v>
      </c>
      <c r="F390" s="6"/>
      <c r="G390" s="6"/>
      <c r="H390" s="6">
        <v>31</v>
      </c>
      <c r="I390" s="6">
        <v>51710.17</v>
      </c>
      <c r="J390" s="6">
        <v>117</v>
      </c>
      <c r="K390" s="6">
        <v>195164.19</v>
      </c>
      <c r="L390" s="6"/>
      <c r="M390" s="6"/>
      <c r="N390" s="6">
        <f t="shared" si="39"/>
        <v>148</v>
      </c>
      <c r="O390" s="6">
        <f t="shared" si="40"/>
        <v>246874.36</v>
      </c>
      <c r="P390" s="6">
        <v>32</v>
      </c>
      <c r="Q390" s="6">
        <v>42908</v>
      </c>
      <c r="R390" s="60"/>
      <c r="S390" s="60"/>
    </row>
    <row r="391" spans="1:19" s="1" customFormat="1" hidden="1" outlineLevel="1" x14ac:dyDescent="0.25">
      <c r="A391" s="7" t="s">
        <v>1075</v>
      </c>
      <c r="B391" s="7" t="s">
        <v>1076</v>
      </c>
      <c r="C391" s="14">
        <v>258.86</v>
      </c>
      <c r="D391" s="6">
        <v>112.97</v>
      </c>
      <c r="E391" s="6">
        <v>100</v>
      </c>
      <c r="F391" s="6"/>
      <c r="G391" s="6"/>
      <c r="H391" s="6">
        <v>200</v>
      </c>
      <c r="I391" s="6">
        <v>51772</v>
      </c>
      <c r="J391" s="6">
        <v>502</v>
      </c>
      <c r="K391" s="6">
        <v>129947.72</v>
      </c>
      <c r="L391" s="6"/>
      <c r="M391" s="6"/>
      <c r="N391" s="6">
        <f t="shared" si="39"/>
        <v>702</v>
      </c>
      <c r="O391" s="6">
        <f t="shared" si="40"/>
        <v>181719.72</v>
      </c>
      <c r="P391" s="6">
        <v>35</v>
      </c>
      <c r="Q391" s="6">
        <v>9013</v>
      </c>
      <c r="R391" s="60"/>
      <c r="S391" s="60"/>
    </row>
    <row r="392" spans="1:19" s="1" customFormat="1" hidden="1" outlineLevel="1" x14ac:dyDescent="0.25">
      <c r="A392" s="7" t="s">
        <v>1121</v>
      </c>
      <c r="B392" s="7" t="s">
        <v>1122</v>
      </c>
      <c r="C392" s="14">
        <v>262.25</v>
      </c>
      <c r="D392" s="6">
        <v>77.819999999999993</v>
      </c>
      <c r="E392" s="6">
        <v>100</v>
      </c>
      <c r="F392" s="6">
        <v>15</v>
      </c>
      <c r="G392" s="6">
        <v>3933.75</v>
      </c>
      <c r="H392" s="6"/>
      <c r="I392" s="6"/>
      <c r="J392" s="6">
        <v>106</v>
      </c>
      <c r="K392" s="6">
        <v>27798.5</v>
      </c>
      <c r="L392" s="6"/>
      <c r="M392" s="6"/>
      <c r="N392" s="6">
        <f t="shared" si="39"/>
        <v>121</v>
      </c>
      <c r="O392" s="6">
        <f t="shared" si="40"/>
        <v>31732.25</v>
      </c>
      <c r="P392" s="6">
        <v>187</v>
      </c>
      <c r="Q392" s="6">
        <v>59351</v>
      </c>
      <c r="R392" s="60"/>
      <c r="S392" s="60"/>
    </row>
    <row r="393" spans="1:19" s="1" customFormat="1" hidden="1" outlineLevel="1" x14ac:dyDescent="0.25">
      <c r="A393" s="7" t="s">
        <v>812</v>
      </c>
      <c r="B393" s="7" t="s">
        <v>813</v>
      </c>
      <c r="C393" s="14">
        <v>141.31</v>
      </c>
      <c r="D393" s="6">
        <v>261.2</v>
      </c>
      <c r="E393" s="6">
        <v>100</v>
      </c>
      <c r="F393" s="6"/>
      <c r="G393" s="6"/>
      <c r="H393" s="6"/>
      <c r="I393" s="6"/>
      <c r="J393" s="6">
        <v>717</v>
      </c>
      <c r="K393" s="6">
        <v>101319.27</v>
      </c>
      <c r="L393" s="6"/>
      <c r="M393" s="6"/>
      <c r="N393" s="6">
        <f t="shared" si="39"/>
        <v>717</v>
      </c>
      <c r="O393" s="6">
        <f t="shared" si="40"/>
        <v>101319.27</v>
      </c>
      <c r="P393" s="6">
        <v>27</v>
      </c>
      <c r="Q393" s="6">
        <v>3590</v>
      </c>
      <c r="R393" s="60">
        <f t="shared" si="37"/>
        <v>222.895865237366</v>
      </c>
      <c r="S393" s="60">
        <f t="shared" si="38"/>
        <v>31497.41471669219</v>
      </c>
    </row>
    <row r="394" spans="1:19" s="1" customFormat="1" hidden="1" outlineLevel="1" x14ac:dyDescent="0.25">
      <c r="A394" s="7" t="s">
        <v>959</v>
      </c>
      <c r="B394" s="7" t="s">
        <v>960</v>
      </c>
      <c r="C394" s="14">
        <v>54.08</v>
      </c>
      <c r="D394" s="6">
        <v>36.880000000000003</v>
      </c>
      <c r="E394" s="6">
        <v>100</v>
      </c>
      <c r="F394" s="6">
        <v>5</v>
      </c>
      <c r="G394" s="6">
        <v>270.39999999999998</v>
      </c>
      <c r="H394" s="6">
        <v>5</v>
      </c>
      <c r="I394" s="6">
        <v>270.39999999999998</v>
      </c>
      <c r="J394" s="6">
        <v>507</v>
      </c>
      <c r="K394" s="6">
        <v>27418.560000000001</v>
      </c>
      <c r="L394" s="6"/>
      <c r="M394" s="6"/>
      <c r="N394" s="6">
        <f t="shared" si="39"/>
        <v>517</v>
      </c>
      <c r="O394" s="6">
        <f t="shared" si="40"/>
        <v>27959.360000000001</v>
      </c>
      <c r="P394" s="6">
        <v>53</v>
      </c>
      <c r="Q394" s="6">
        <v>2876</v>
      </c>
      <c r="R394" s="60"/>
      <c r="S394" s="60"/>
    </row>
    <row r="395" spans="1:19" s="1" customFormat="1" hidden="1" outlineLevel="1" x14ac:dyDescent="0.25">
      <c r="A395" s="7" t="s">
        <v>592</v>
      </c>
      <c r="B395" s="7" t="s">
        <v>593</v>
      </c>
      <c r="C395" s="14">
        <v>762.91</v>
      </c>
      <c r="D395" s="6">
        <v>125.19</v>
      </c>
      <c r="E395" s="6">
        <v>100</v>
      </c>
      <c r="F395" s="6"/>
      <c r="G395" s="6"/>
      <c r="H395" s="6">
        <v>2</v>
      </c>
      <c r="I395" s="6">
        <v>1525.82</v>
      </c>
      <c r="J395" s="6">
        <v>79</v>
      </c>
      <c r="K395" s="6">
        <v>60269.89</v>
      </c>
      <c r="L395" s="6"/>
      <c r="M395" s="6"/>
      <c r="N395" s="6">
        <f t="shared" si="39"/>
        <v>81</v>
      </c>
      <c r="O395" s="6">
        <f t="shared" si="40"/>
        <v>61795.71</v>
      </c>
      <c r="P395" s="6">
        <v>8</v>
      </c>
      <c r="Q395" s="6">
        <v>6417</v>
      </c>
      <c r="R395" s="60"/>
      <c r="S395" s="60"/>
    </row>
    <row r="396" spans="1:19" s="1" customFormat="1" hidden="1" outlineLevel="1" x14ac:dyDescent="0.25">
      <c r="A396" s="7" t="s">
        <v>534</v>
      </c>
      <c r="B396" s="7" t="s">
        <v>535</v>
      </c>
      <c r="C396" s="14">
        <v>217.44</v>
      </c>
      <c r="D396" s="6">
        <v>464.67</v>
      </c>
      <c r="E396" s="6">
        <v>100</v>
      </c>
      <c r="F396" s="6"/>
      <c r="G396" s="6"/>
      <c r="H396" s="6"/>
      <c r="I396" s="6"/>
      <c r="J396" s="6">
        <v>1184</v>
      </c>
      <c r="K396" s="6">
        <v>257448.95999999999</v>
      </c>
      <c r="L396" s="6"/>
      <c r="M396" s="6"/>
      <c r="N396" s="6">
        <f t="shared" si="39"/>
        <v>1184</v>
      </c>
      <c r="O396" s="6">
        <f t="shared" si="40"/>
        <v>257448.95999999999</v>
      </c>
      <c r="P396" s="6">
        <v>56</v>
      </c>
      <c r="Q396" s="6">
        <v>13962</v>
      </c>
      <c r="R396" s="60">
        <f t="shared" si="37"/>
        <v>725.3519271741236</v>
      </c>
      <c r="S396" s="60">
        <f t="shared" si="38"/>
        <v>157720.52304474142</v>
      </c>
    </row>
    <row r="397" spans="1:19" s="1" customFormat="1" hidden="1" outlineLevel="1" x14ac:dyDescent="0.25">
      <c r="A397" s="7" t="s">
        <v>628</v>
      </c>
      <c r="B397" s="7" t="s">
        <v>629</v>
      </c>
      <c r="C397" s="14">
        <v>69.739999999999995</v>
      </c>
      <c r="D397" s="6">
        <v>101.64</v>
      </c>
      <c r="E397" s="6">
        <v>100</v>
      </c>
      <c r="F397" s="6"/>
      <c r="G397" s="6"/>
      <c r="H397" s="6">
        <v>200</v>
      </c>
      <c r="I397" s="6">
        <v>13948</v>
      </c>
      <c r="J397" s="6">
        <v>554</v>
      </c>
      <c r="K397" s="6">
        <v>38635.96</v>
      </c>
      <c r="L397" s="6"/>
      <c r="M397" s="6"/>
      <c r="N397" s="6">
        <f t="shared" si="39"/>
        <v>754</v>
      </c>
      <c r="O397" s="6">
        <f t="shared" si="40"/>
        <v>52583.96</v>
      </c>
      <c r="P397" s="6">
        <v>130</v>
      </c>
      <c r="Q397" s="6">
        <v>10187</v>
      </c>
      <c r="R397" s="60"/>
      <c r="S397" s="60"/>
    </row>
    <row r="398" spans="1:19" s="1" customFormat="1" hidden="1" outlineLevel="1" x14ac:dyDescent="0.25">
      <c r="A398" s="7" t="s">
        <v>347</v>
      </c>
      <c r="B398" s="7" t="s">
        <v>348</v>
      </c>
      <c r="C398" s="14">
        <v>271.45</v>
      </c>
      <c r="D398" s="6">
        <v>441.29</v>
      </c>
      <c r="E398" s="6">
        <v>100</v>
      </c>
      <c r="F398" s="6"/>
      <c r="G398" s="6"/>
      <c r="H398" s="6"/>
      <c r="I398" s="6"/>
      <c r="J398" s="6">
        <v>1514</v>
      </c>
      <c r="K398" s="6">
        <v>410975.3</v>
      </c>
      <c r="L398" s="6"/>
      <c r="M398" s="6"/>
      <c r="N398" s="6">
        <f t="shared" si="39"/>
        <v>1514</v>
      </c>
      <c r="O398" s="6">
        <f t="shared" si="40"/>
        <v>410975.3</v>
      </c>
      <c r="P398" s="6">
        <v>3</v>
      </c>
      <c r="Q398" s="6">
        <v>744</v>
      </c>
      <c r="R398" s="60">
        <f t="shared" si="37"/>
        <v>896.44691699336045</v>
      </c>
      <c r="S398" s="60">
        <f t="shared" si="38"/>
        <v>243340.51561784768</v>
      </c>
    </row>
    <row r="399" spans="1:19" s="1" customFormat="1" hidden="1" outlineLevel="1" x14ac:dyDescent="0.25">
      <c r="A399" s="7" t="s">
        <v>520</v>
      </c>
      <c r="B399" s="7" t="s">
        <v>521</v>
      </c>
      <c r="C399" s="14">
        <v>298.11</v>
      </c>
      <c r="D399" s="6">
        <v>50.66</v>
      </c>
      <c r="E399" s="6">
        <v>100</v>
      </c>
      <c r="F399" s="6"/>
      <c r="G399" s="6"/>
      <c r="H399" s="6">
        <v>16</v>
      </c>
      <c r="I399" s="6">
        <v>4769.76</v>
      </c>
      <c r="J399" s="6">
        <v>399</v>
      </c>
      <c r="K399" s="6">
        <v>118945.89</v>
      </c>
      <c r="L399" s="6"/>
      <c r="M399" s="6"/>
      <c r="N399" s="6">
        <f t="shared" si="39"/>
        <v>415</v>
      </c>
      <c r="O399" s="6">
        <f t="shared" si="40"/>
        <v>123715.65000000001</v>
      </c>
      <c r="P399" s="6">
        <v>92</v>
      </c>
      <c r="Q399" s="6">
        <v>30406</v>
      </c>
      <c r="R399" s="60"/>
      <c r="S399" s="60"/>
    </row>
    <row r="400" spans="1:19" s="1" customFormat="1" hidden="1" outlineLevel="1" x14ac:dyDescent="0.25">
      <c r="A400" s="7" t="s">
        <v>648</v>
      </c>
      <c r="B400" s="7" t="s">
        <v>649</v>
      </c>
      <c r="C400" s="14">
        <v>573.26</v>
      </c>
      <c r="D400" s="6">
        <v>11</v>
      </c>
      <c r="E400" s="6">
        <v>31.18</v>
      </c>
      <c r="F400" s="6"/>
      <c r="G400" s="6"/>
      <c r="H400" s="6"/>
      <c r="I400" s="6"/>
      <c r="J400" s="6">
        <v>40</v>
      </c>
      <c r="K400" s="6">
        <v>22930.400000000001</v>
      </c>
      <c r="L400" s="6"/>
      <c r="M400" s="6"/>
      <c r="N400" s="6">
        <f t="shared" si="39"/>
        <v>40</v>
      </c>
      <c r="O400" s="6">
        <f t="shared" si="40"/>
        <v>22930.400000000001</v>
      </c>
      <c r="P400" s="6">
        <v>13</v>
      </c>
      <c r="Q400" s="6">
        <v>7667</v>
      </c>
      <c r="R400" s="60"/>
      <c r="S400" s="60"/>
    </row>
    <row r="401" spans="1:19" s="1" customFormat="1" hidden="1" outlineLevel="1" x14ac:dyDescent="0.25">
      <c r="A401" s="7" t="s">
        <v>1245</v>
      </c>
      <c r="B401" s="7" t="s">
        <v>1246</v>
      </c>
      <c r="C401" s="14">
        <v>389.67</v>
      </c>
      <c r="D401" s="6">
        <v>646.78</v>
      </c>
      <c r="E401" s="6">
        <v>100</v>
      </c>
      <c r="F401" s="6">
        <v>217</v>
      </c>
      <c r="G401" s="6">
        <v>84558.39</v>
      </c>
      <c r="H401" s="6"/>
      <c r="I401" s="6"/>
      <c r="J401" s="6">
        <v>238</v>
      </c>
      <c r="K401" s="6">
        <v>92741.46</v>
      </c>
      <c r="L401" s="6"/>
      <c r="M401" s="6"/>
      <c r="N401" s="6">
        <f t="shared" si="39"/>
        <v>455</v>
      </c>
      <c r="O401" s="6">
        <f t="shared" si="40"/>
        <v>177299.85</v>
      </c>
      <c r="P401" s="6">
        <v>16</v>
      </c>
      <c r="Q401" s="6">
        <v>7436</v>
      </c>
      <c r="R401" s="60">
        <f t="shared" si="37"/>
        <v>171.76418565818361</v>
      </c>
      <c r="S401" s="60">
        <f t="shared" si="38"/>
        <v>66931.350225424409</v>
      </c>
    </row>
    <row r="402" spans="1:19" s="1" customFormat="1" hidden="1" outlineLevel="1" x14ac:dyDescent="0.25">
      <c r="A402" s="7" t="s">
        <v>1165</v>
      </c>
      <c r="B402" s="7" t="s">
        <v>1166</v>
      </c>
      <c r="C402" s="14">
        <v>997.08</v>
      </c>
      <c r="D402" s="6">
        <v>977.67</v>
      </c>
      <c r="E402" s="6">
        <v>100</v>
      </c>
      <c r="F402" s="6"/>
      <c r="G402" s="6"/>
      <c r="H402" s="6">
        <v>5</v>
      </c>
      <c r="I402" s="6">
        <v>4985.3999999999996</v>
      </c>
      <c r="J402" s="6">
        <v>119</v>
      </c>
      <c r="K402" s="6">
        <v>118652.52</v>
      </c>
      <c r="L402" s="6"/>
      <c r="M402" s="6"/>
      <c r="N402" s="6">
        <f t="shared" si="39"/>
        <v>124</v>
      </c>
      <c r="O402" s="6">
        <f t="shared" si="40"/>
        <v>123637.92</v>
      </c>
      <c r="P402" s="6">
        <v>1</v>
      </c>
      <c r="Q402" s="6">
        <v>1325</v>
      </c>
      <c r="R402" s="60">
        <f t="shared" si="37"/>
        <v>97.090766823161189</v>
      </c>
      <c r="S402" s="60">
        <f t="shared" si="38"/>
        <v>96807.261784037561</v>
      </c>
    </row>
    <row r="403" spans="1:19" s="1" customFormat="1" hidden="1" outlineLevel="1" x14ac:dyDescent="0.25">
      <c r="A403" s="7" t="s">
        <v>1025</v>
      </c>
      <c r="B403" s="7" t="s">
        <v>1026</v>
      </c>
      <c r="C403" s="14">
        <v>48.43</v>
      </c>
      <c r="D403" s="6">
        <v>154.53</v>
      </c>
      <c r="E403" s="6">
        <v>100</v>
      </c>
      <c r="F403" s="6">
        <v>1</v>
      </c>
      <c r="G403" s="6">
        <v>48.43</v>
      </c>
      <c r="H403" s="6">
        <v>6</v>
      </c>
      <c r="I403" s="6">
        <v>290.58</v>
      </c>
      <c r="J403" s="6">
        <v>1045</v>
      </c>
      <c r="K403" s="6">
        <v>50609.35</v>
      </c>
      <c r="L403" s="6"/>
      <c r="M403" s="6"/>
      <c r="N403" s="6">
        <f t="shared" si="39"/>
        <v>1052</v>
      </c>
      <c r="O403" s="6">
        <f t="shared" si="40"/>
        <v>50948.36</v>
      </c>
      <c r="P403" s="6">
        <v>188</v>
      </c>
      <c r="Q403" s="6">
        <v>10763</v>
      </c>
      <c r="R403" s="60"/>
      <c r="S403" s="60"/>
    </row>
    <row r="404" spans="1:19" s="1" customFormat="1" hidden="1" outlineLevel="1" x14ac:dyDescent="0.25">
      <c r="A404" s="7" t="s">
        <v>690</v>
      </c>
      <c r="B404" s="7" t="s">
        <v>691</v>
      </c>
      <c r="C404" s="14">
        <v>326.67</v>
      </c>
      <c r="D404" s="6">
        <v>156.19999999999999</v>
      </c>
      <c r="E404" s="6">
        <v>100</v>
      </c>
      <c r="F404" s="6">
        <v>5</v>
      </c>
      <c r="G404" s="6">
        <v>1633.35</v>
      </c>
      <c r="H404" s="6">
        <v>25</v>
      </c>
      <c r="I404" s="6">
        <v>8166.75</v>
      </c>
      <c r="J404" s="6">
        <v>140</v>
      </c>
      <c r="K404" s="6">
        <v>45733.8</v>
      </c>
      <c r="L404" s="6"/>
      <c r="M404" s="6"/>
      <c r="N404" s="6">
        <f t="shared" si="39"/>
        <v>170</v>
      </c>
      <c r="O404" s="6">
        <f t="shared" si="40"/>
        <v>55533.9</v>
      </c>
      <c r="P404" s="6">
        <v>29</v>
      </c>
      <c r="Q404" s="6">
        <v>11393</v>
      </c>
      <c r="R404" s="60"/>
      <c r="S404" s="60"/>
    </row>
    <row r="405" spans="1:19" s="1" customFormat="1" hidden="1" outlineLevel="1" x14ac:dyDescent="0.25">
      <c r="A405" s="7" t="s">
        <v>829</v>
      </c>
      <c r="B405" s="7" t="s">
        <v>830</v>
      </c>
      <c r="C405" s="14">
        <v>34.119999999999997</v>
      </c>
      <c r="D405" s="6">
        <v>138.88999999999999</v>
      </c>
      <c r="E405" s="6">
        <v>100</v>
      </c>
      <c r="F405" s="6">
        <v>16</v>
      </c>
      <c r="G405" s="6">
        <v>545.91999999999996</v>
      </c>
      <c r="H405" s="6">
        <v>56</v>
      </c>
      <c r="I405" s="6">
        <v>1910.72</v>
      </c>
      <c r="J405" s="6">
        <v>6467</v>
      </c>
      <c r="K405" s="6">
        <v>220654.04</v>
      </c>
      <c r="L405" s="6"/>
      <c r="M405" s="6"/>
      <c r="N405" s="6">
        <f t="shared" si="39"/>
        <v>6539</v>
      </c>
      <c r="O405" s="6">
        <f t="shared" si="40"/>
        <v>223110.68</v>
      </c>
      <c r="P405" s="6">
        <v>148</v>
      </c>
      <c r="Q405" s="6">
        <v>5400</v>
      </c>
      <c r="R405" s="60"/>
      <c r="S405" s="60"/>
    </row>
    <row r="406" spans="1:19" s="1" customFormat="1" hidden="1" outlineLevel="1" x14ac:dyDescent="0.25">
      <c r="A406" s="7" t="s">
        <v>993</v>
      </c>
      <c r="B406" s="7" t="s">
        <v>994</v>
      </c>
      <c r="C406" s="14">
        <v>73.06</v>
      </c>
      <c r="D406" s="6">
        <v>744.47</v>
      </c>
      <c r="E406" s="6">
        <v>100</v>
      </c>
      <c r="F406" s="6"/>
      <c r="G406" s="6"/>
      <c r="H406" s="6"/>
      <c r="I406" s="6"/>
      <c r="J406" s="6">
        <v>767</v>
      </c>
      <c r="K406" s="6">
        <v>56037.02</v>
      </c>
      <c r="L406" s="6"/>
      <c r="M406" s="6"/>
      <c r="N406" s="6">
        <f t="shared" si="39"/>
        <v>767</v>
      </c>
      <c r="O406" s="6">
        <f t="shared" si="40"/>
        <v>56037.020000000004</v>
      </c>
      <c r="P406" s="6">
        <v>36</v>
      </c>
      <c r="Q406" s="6">
        <v>3012</v>
      </c>
      <c r="R406" s="60">
        <f t="shared" si="37"/>
        <v>581.55263476029927</v>
      </c>
      <c r="S406" s="60">
        <f t="shared" si="38"/>
        <v>42488.235495587469</v>
      </c>
    </row>
    <row r="407" spans="1:19" s="1" customFormat="1" hidden="1" outlineLevel="1" x14ac:dyDescent="0.25">
      <c r="A407" s="7" t="s">
        <v>1281</v>
      </c>
      <c r="B407" s="7" t="s">
        <v>1282</v>
      </c>
      <c r="C407" s="14">
        <v>61.53</v>
      </c>
      <c r="D407" s="6">
        <v>134.25</v>
      </c>
      <c r="E407" s="6">
        <v>100</v>
      </c>
      <c r="F407" s="6">
        <v>440</v>
      </c>
      <c r="G407" s="6">
        <v>27073.200000000001</v>
      </c>
      <c r="H407" s="6"/>
      <c r="I407" s="6"/>
      <c r="J407" s="6">
        <v>1246</v>
      </c>
      <c r="K407" s="6">
        <v>76666.38</v>
      </c>
      <c r="L407" s="6"/>
      <c r="M407" s="6"/>
      <c r="N407" s="6">
        <f t="shared" si="39"/>
        <v>1686</v>
      </c>
      <c r="O407" s="6">
        <f t="shared" si="40"/>
        <v>103739.58</v>
      </c>
      <c r="P407" s="6">
        <v>460</v>
      </c>
      <c r="Q407" s="6">
        <v>33474</v>
      </c>
      <c r="R407" s="60"/>
      <c r="S407" s="60"/>
    </row>
    <row r="408" spans="1:19" s="1" customFormat="1" hidden="1" outlineLevel="1" x14ac:dyDescent="0.25">
      <c r="A408" s="7" t="s">
        <v>867</v>
      </c>
      <c r="B408" s="7" t="s">
        <v>868</v>
      </c>
      <c r="C408" s="14">
        <v>47</v>
      </c>
      <c r="D408" s="6">
        <v>242.83</v>
      </c>
      <c r="E408" s="6">
        <v>100</v>
      </c>
      <c r="F408" s="6">
        <v>20</v>
      </c>
      <c r="G408" s="6">
        <v>940</v>
      </c>
      <c r="H408" s="6"/>
      <c r="I408" s="6"/>
      <c r="J408" s="6">
        <v>76</v>
      </c>
      <c r="K408" s="6">
        <v>3572</v>
      </c>
      <c r="L408" s="6"/>
      <c r="M408" s="6"/>
      <c r="N408" s="6">
        <f t="shared" si="39"/>
        <v>96</v>
      </c>
      <c r="O408" s="6">
        <f t="shared" si="40"/>
        <v>4512</v>
      </c>
      <c r="P408" s="6">
        <v>18</v>
      </c>
      <c r="Q408" s="6">
        <v>1003</v>
      </c>
      <c r="R408" s="60">
        <f t="shared" si="37"/>
        <v>19.664291891446695</v>
      </c>
      <c r="S408" s="60">
        <f t="shared" si="38"/>
        <v>924.22171889799461</v>
      </c>
    </row>
    <row r="409" spans="1:19" s="1" customFormat="1" collapsed="1" x14ac:dyDescent="0.25">
      <c r="A409" s="15" t="s">
        <v>818</v>
      </c>
      <c r="B409" s="16"/>
      <c r="C409" s="16"/>
      <c r="D409" s="15">
        <v>179.97</v>
      </c>
      <c r="E409" s="15">
        <v>76.44</v>
      </c>
      <c r="F409" s="15">
        <f t="shared" ref="F409:R409" si="41">SUM(F410:F673)</f>
        <v>2791</v>
      </c>
      <c r="G409" s="15">
        <f t="shared" si="41"/>
        <v>248650.68000000005</v>
      </c>
      <c r="H409" s="15">
        <f t="shared" si="41"/>
        <v>11145</v>
      </c>
      <c r="I409" s="15">
        <f t="shared" si="41"/>
        <v>1319809.18</v>
      </c>
      <c r="J409" s="15">
        <f t="shared" si="41"/>
        <v>156751.30000000002</v>
      </c>
      <c r="K409" s="15">
        <f t="shared" si="41"/>
        <v>22147332.059999991</v>
      </c>
      <c r="L409" s="15">
        <f t="shared" si="41"/>
        <v>5022</v>
      </c>
      <c r="M409" s="15">
        <f t="shared" si="41"/>
        <v>1864790.3600000003</v>
      </c>
      <c r="N409" s="15">
        <f t="shared" si="41"/>
        <v>175709.30000000002</v>
      </c>
      <c r="O409" s="15">
        <f t="shared" si="41"/>
        <v>25580582.274</v>
      </c>
      <c r="P409" s="15">
        <f t="shared" si="41"/>
        <v>19768</v>
      </c>
      <c r="Q409" s="15">
        <f t="shared" si="41"/>
        <v>2948347</v>
      </c>
      <c r="R409" s="15">
        <f t="shared" si="41"/>
        <v>37818.081505127288</v>
      </c>
      <c r="S409" s="15">
        <f t="shared" ref="S409" si="42">SUM(S410:S673)</f>
        <v>7534441.2252230346</v>
      </c>
    </row>
    <row r="410" spans="1:19" s="1" customFormat="1" hidden="1" outlineLevel="1" x14ac:dyDescent="0.25">
      <c r="A410" s="7" t="s">
        <v>502</v>
      </c>
      <c r="B410" s="7" t="s">
        <v>503</v>
      </c>
      <c r="C410" s="14">
        <v>94</v>
      </c>
      <c r="D410" s="6">
        <v>32.380000000000003</v>
      </c>
      <c r="E410" s="6">
        <v>100</v>
      </c>
      <c r="F410" s="6"/>
      <c r="G410" s="6"/>
      <c r="H410" s="6">
        <v>20</v>
      </c>
      <c r="I410" s="6">
        <v>1880</v>
      </c>
      <c r="J410" s="6">
        <v>155</v>
      </c>
      <c r="K410" s="6">
        <v>14570</v>
      </c>
      <c r="L410" s="6"/>
      <c r="M410" s="6"/>
      <c r="N410" s="6">
        <f t="shared" ref="N410:N473" si="43">IF(J410+L410+H410+F410&lt;=0,"",J410+L410+H410+F410)</f>
        <v>175</v>
      </c>
      <c r="O410" s="6">
        <f t="shared" ref="O410:O473" si="44">IFERROR(C410*N410,"")</f>
        <v>16450</v>
      </c>
      <c r="P410" s="6">
        <v>237</v>
      </c>
      <c r="Q410" s="6">
        <v>26718</v>
      </c>
      <c r="R410" s="60"/>
      <c r="S410" s="60"/>
    </row>
    <row r="411" spans="1:19" s="1" customFormat="1" hidden="1" outlineLevel="1" x14ac:dyDescent="0.25">
      <c r="A411" s="7" t="s">
        <v>85</v>
      </c>
      <c r="B411" s="7" t="s">
        <v>86</v>
      </c>
      <c r="C411" s="14">
        <v>100.06</v>
      </c>
      <c r="D411" s="6">
        <v>32.94</v>
      </c>
      <c r="E411" s="6">
        <v>100</v>
      </c>
      <c r="F411" s="6"/>
      <c r="G411" s="6"/>
      <c r="H411" s="6">
        <v>20</v>
      </c>
      <c r="I411" s="6">
        <v>2001.2</v>
      </c>
      <c r="J411" s="6">
        <v>224</v>
      </c>
      <c r="K411" s="6">
        <v>22413.439999999999</v>
      </c>
      <c r="L411" s="6"/>
      <c r="M411" s="6"/>
      <c r="N411" s="6">
        <f t="shared" si="43"/>
        <v>244</v>
      </c>
      <c r="O411" s="6">
        <f t="shared" si="44"/>
        <v>24414.639999999999</v>
      </c>
      <c r="P411" s="6">
        <v>103</v>
      </c>
      <c r="Q411" s="6">
        <v>9882</v>
      </c>
      <c r="R411" s="60"/>
      <c r="S411" s="60"/>
    </row>
    <row r="412" spans="1:19" s="1" customFormat="1" hidden="1" outlineLevel="1" x14ac:dyDescent="0.25">
      <c r="A412" s="7" t="s">
        <v>1113</v>
      </c>
      <c r="B412" s="7" t="s">
        <v>1114</v>
      </c>
      <c r="C412" s="14">
        <v>211.64</v>
      </c>
      <c r="D412" s="6">
        <v>218.89</v>
      </c>
      <c r="E412" s="6">
        <v>100</v>
      </c>
      <c r="F412" s="6"/>
      <c r="G412" s="6"/>
      <c r="H412" s="6">
        <v>7</v>
      </c>
      <c r="I412" s="6">
        <v>1481.48</v>
      </c>
      <c r="J412" s="6">
        <v>812</v>
      </c>
      <c r="K412" s="6">
        <v>171851.68</v>
      </c>
      <c r="L412" s="6"/>
      <c r="M412" s="6"/>
      <c r="N412" s="6">
        <f t="shared" si="43"/>
        <v>819</v>
      </c>
      <c r="O412" s="6">
        <f t="shared" si="44"/>
        <v>173333.15999999997</v>
      </c>
      <c r="P412" s="6">
        <v>27</v>
      </c>
      <c r="Q412" s="6">
        <v>6000</v>
      </c>
      <c r="R412" s="60">
        <f t="shared" ref="R412" si="45">J412/D412*(D412-180)</f>
        <v>144.26734889670607</v>
      </c>
      <c r="S412" s="60">
        <f t="shared" ref="S412" si="46">R412*C412</f>
        <v>30532.741720498871</v>
      </c>
    </row>
    <row r="413" spans="1:19" s="1" customFormat="1" hidden="1" outlineLevel="1" x14ac:dyDescent="0.25">
      <c r="A413" s="7" t="s">
        <v>1277</v>
      </c>
      <c r="B413" s="7" t="s">
        <v>1278</v>
      </c>
      <c r="C413" s="14">
        <v>54.52</v>
      </c>
      <c r="D413" s="6">
        <v>69.52</v>
      </c>
      <c r="E413" s="6">
        <v>100</v>
      </c>
      <c r="F413" s="6">
        <v>1</v>
      </c>
      <c r="G413" s="6">
        <v>54.52</v>
      </c>
      <c r="H413" s="6">
        <v>13</v>
      </c>
      <c r="I413" s="6">
        <v>708.76</v>
      </c>
      <c r="J413" s="6">
        <v>1097</v>
      </c>
      <c r="K413" s="6">
        <v>59808.44</v>
      </c>
      <c r="L413" s="6"/>
      <c r="M413" s="6"/>
      <c r="N413" s="6">
        <f t="shared" si="43"/>
        <v>1111</v>
      </c>
      <c r="O413" s="6">
        <f t="shared" si="44"/>
        <v>60571.72</v>
      </c>
      <c r="P413" s="6">
        <v>362</v>
      </c>
      <c r="Q413" s="6">
        <v>22281</v>
      </c>
      <c r="R413" s="60"/>
      <c r="S413" s="60"/>
    </row>
    <row r="414" spans="1:19" s="1" customFormat="1" hidden="1" outlineLevel="1" x14ac:dyDescent="0.25">
      <c r="A414" s="7" t="s">
        <v>995</v>
      </c>
      <c r="B414" s="7" t="s">
        <v>996</v>
      </c>
      <c r="C414" s="14">
        <v>120.5</v>
      </c>
      <c r="D414" s="6">
        <v>2343.88</v>
      </c>
      <c r="E414" s="6">
        <v>100</v>
      </c>
      <c r="F414" s="6">
        <v>1</v>
      </c>
      <c r="G414" s="6">
        <v>120.5</v>
      </c>
      <c r="H414" s="6"/>
      <c r="I414" s="6"/>
      <c r="J414" s="6">
        <v>1072</v>
      </c>
      <c r="K414" s="6">
        <v>129176</v>
      </c>
      <c r="L414" s="6"/>
      <c r="M414" s="6"/>
      <c r="N414" s="6">
        <f t="shared" si="43"/>
        <v>1073</v>
      </c>
      <c r="O414" s="6">
        <f t="shared" si="44"/>
        <v>129296.5</v>
      </c>
      <c r="P414" s="6">
        <v>4</v>
      </c>
      <c r="Q414" s="6">
        <v>570</v>
      </c>
      <c r="R414" s="60">
        <f t="shared" ref="R414" si="47">J414/D414*(D414-180)</f>
        <v>989.67496629520281</v>
      </c>
      <c r="S414" s="60">
        <f t="shared" ref="S414" si="48">R414*C414</f>
        <v>119255.83343857194</v>
      </c>
    </row>
    <row r="415" spans="1:19" s="1" customFormat="1" hidden="1" outlineLevel="1" x14ac:dyDescent="0.25">
      <c r="A415" s="7" t="s">
        <v>1309</v>
      </c>
      <c r="B415" s="7" t="s">
        <v>1310</v>
      </c>
      <c r="C415" s="14">
        <v>103.28</v>
      </c>
      <c r="D415" s="6">
        <v>99.29</v>
      </c>
      <c r="E415" s="6">
        <v>100</v>
      </c>
      <c r="F415" s="6">
        <v>3</v>
      </c>
      <c r="G415" s="6">
        <v>309.83999999999997</v>
      </c>
      <c r="H415" s="6">
        <v>10</v>
      </c>
      <c r="I415" s="6">
        <v>1032.8</v>
      </c>
      <c r="J415" s="6">
        <v>410</v>
      </c>
      <c r="K415" s="6">
        <v>42344.800000000003</v>
      </c>
      <c r="L415" s="6"/>
      <c r="M415" s="6"/>
      <c r="N415" s="6">
        <f t="shared" si="43"/>
        <v>423</v>
      </c>
      <c r="O415" s="6">
        <f t="shared" si="44"/>
        <v>43687.44</v>
      </c>
      <c r="P415" s="6">
        <v>107</v>
      </c>
      <c r="Q415" s="6">
        <v>12515</v>
      </c>
      <c r="R415" s="60"/>
      <c r="S415" s="60"/>
    </row>
    <row r="416" spans="1:19" s="1" customFormat="1" hidden="1" outlineLevel="1" x14ac:dyDescent="0.25">
      <c r="A416" s="7" t="s">
        <v>1065</v>
      </c>
      <c r="B416" s="7" t="s">
        <v>1066</v>
      </c>
      <c r="C416" s="14">
        <v>63.32</v>
      </c>
      <c r="D416" s="6">
        <v>26.19</v>
      </c>
      <c r="E416" s="6">
        <v>100</v>
      </c>
      <c r="F416" s="6"/>
      <c r="G416" s="6"/>
      <c r="H416" s="6"/>
      <c r="I416" s="6"/>
      <c r="J416" s="6">
        <v>640</v>
      </c>
      <c r="K416" s="6">
        <v>40524.800000000003</v>
      </c>
      <c r="L416" s="6"/>
      <c r="M416" s="6"/>
      <c r="N416" s="6">
        <f t="shared" si="43"/>
        <v>640</v>
      </c>
      <c r="O416" s="6">
        <f t="shared" si="44"/>
        <v>40524.800000000003</v>
      </c>
      <c r="P416" s="6">
        <v>385</v>
      </c>
      <c r="Q416" s="6">
        <v>27361</v>
      </c>
      <c r="R416" s="60"/>
      <c r="S416" s="60"/>
    </row>
    <row r="417" spans="1:19" s="1" customFormat="1" hidden="1" outlineLevel="1" x14ac:dyDescent="0.25">
      <c r="A417" s="7" t="s">
        <v>1289</v>
      </c>
      <c r="B417" s="7" t="s">
        <v>1290</v>
      </c>
      <c r="C417" s="14">
        <v>78.25</v>
      </c>
      <c r="D417" s="6">
        <v>224.87</v>
      </c>
      <c r="E417" s="6">
        <v>100</v>
      </c>
      <c r="F417" s="6"/>
      <c r="G417" s="6"/>
      <c r="H417" s="6"/>
      <c r="I417" s="6"/>
      <c r="J417" s="6">
        <v>899</v>
      </c>
      <c r="K417" s="6">
        <v>70346.75</v>
      </c>
      <c r="L417" s="6"/>
      <c r="M417" s="6"/>
      <c r="N417" s="6">
        <f t="shared" si="43"/>
        <v>899</v>
      </c>
      <c r="O417" s="6">
        <f t="shared" si="44"/>
        <v>70346.75</v>
      </c>
      <c r="P417" s="6">
        <v>215</v>
      </c>
      <c r="Q417" s="6">
        <v>20203</v>
      </c>
      <c r="R417" s="60">
        <f t="shared" ref="R417:R478" si="49">J417/D417*(D417-180)</f>
        <v>179.38422199493041</v>
      </c>
      <c r="S417" s="60">
        <f t="shared" ref="S417:S478" si="50">R417*C417</f>
        <v>14036.815371103305</v>
      </c>
    </row>
    <row r="418" spans="1:19" s="1" customFormat="1" hidden="1" outlineLevel="1" x14ac:dyDescent="0.25">
      <c r="A418" s="7" t="s">
        <v>165</v>
      </c>
      <c r="B418" s="7" t="s">
        <v>166</v>
      </c>
      <c r="C418" s="14">
        <v>174.92</v>
      </c>
      <c r="D418" s="6">
        <v>966.17</v>
      </c>
      <c r="E418" s="6">
        <v>100</v>
      </c>
      <c r="F418" s="6"/>
      <c r="G418" s="6"/>
      <c r="H418" s="6"/>
      <c r="I418" s="6"/>
      <c r="J418" s="6">
        <v>1496</v>
      </c>
      <c r="K418" s="6">
        <v>261680.32</v>
      </c>
      <c r="L418" s="6"/>
      <c r="M418" s="6"/>
      <c r="N418" s="6">
        <f t="shared" si="43"/>
        <v>1496</v>
      </c>
      <c r="O418" s="6">
        <f t="shared" si="44"/>
        <v>261680.31999999998</v>
      </c>
      <c r="P418" s="6">
        <v>16</v>
      </c>
      <c r="Q418" s="6">
        <v>2869</v>
      </c>
      <c r="R418" s="60">
        <f t="shared" si="49"/>
        <v>1217.2912841425423</v>
      </c>
      <c r="S418" s="60">
        <f t="shared" si="50"/>
        <v>212928.59142221347</v>
      </c>
    </row>
    <row r="419" spans="1:19" s="1" customFormat="1" hidden="1" outlineLevel="1" x14ac:dyDescent="0.25">
      <c r="A419" s="7" t="s">
        <v>907</v>
      </c>
      <c r="B419" s="7" t="s">
        <v>908</v>
      </c>
      <c r="C419" s="14">
        <v>465</v>
      </c>
      <c r="D419" s="6">
        <v>765.36</v>
      </c>
      <c r="E419" s="6">
        <v>100</v>
      </c>
      <c r="F419" s="6"/>
      <c r="G419" s="6"/>
      <c r="H419" s="6">
        <v>50</v>
      </c>
      <c r="I419" s="6">
        <v>23250</v>
      </c>
      <c r="J419" s="6">
        <v>413</v>
      </c>
      <c r="K419" s="6">
        <v>192045</v>
      </c>
      <c r="L419" s="6"/>
      <c r="M419" s="6"/>
      <c r="N419" s="6">
        <f t="shared" si="43"/>
        <v>463</v>
      </c>
      <c r="O419" s="6">
        <f t="shared" si="44"/>
        <v>215295</v>
      </c>
      <c r="P419" s="6">
        <v>60</v>
      </c>
      <c r="Q419" s="6">
        <v>34648</v>
      </c>
      <c r="R419" s="60">
        <f t="shared" si="49"/>
        <v>315.86923800564443</v>
      </c>
      <c r="S419" s="60">
        <f t="shared" si="50"/>
        <v>146879.19567262466</v>
      </c>
    </row>
    <row r="420" spans="1:19" s="1" customFormat="1" hidden="1" outlineLevel="1" x14ac:dyDescent="0.25">
      <c r="A420" s="7" t="s">
        <v>430</v>
      </c>
      <c r="B420" s="7" t="s">
        <v>431</v>
      </c>
      <c r="C420" s="14">
        <v>205.54</v>
      </c>
      <c r="D420" s="6">
        <v>332.37</v>
      </c>
      <c r="E420" s="6">
        <v>100</v>
      </c>
      <c r="F420" s="6"/>
      <c r="G420" s="6"/>
      <c r="H420" s="6">
        <v>200</v>
      </c>
      <c r="I420" s="6">
        <v>41108</v>
      </c>
      <c r="J420" s="6">
        <v>243</v>
      </c>
      <c r="K420" s="6">
        <v>49946.22</v>
      </c>
      <c r="L420" s="6"/>
      <c r="M420" s="6"/>
      <c r="N420" s="6">
        <f t="shared" si="43"/>
        <v>443</v>
      </c>
      <c r="O420" s="6">
        <f t="shared" si="44"/>
        <v>91054.22</v>
      </c>
      <c r="P420" s="6">
        <v>14</v>
      </c>
      <c r="Q420" s="6">
        <v>2728</v>
      </c>
      <c r="R420" s="60">
        <f t="shared" si="49"/>
        <v>111.39967506092607</v>
      </c>
      <c r="S420" s="60">
        <f t="shared" si="50"/>
        <v>22897.089212022744</v>
      </c>
    </row>
    <row r="421" spans="1:19" s="1" customFormat="1" hidden="1" outlineLevel="1" x14ac:dyDescent="0.25">
      <c r="A421" s="7" t="s">
        <v>428</v>
      </c>
      <c r="B421" s="7" t="s">
        <v>429</v>
      </c>
      <c r="C421" s="14">
        <v>84.34</v>
      </c>
      <c r="D421" s="6">
        <v>106.93</v>
      </c>
      <c r="E421" s="6">
        <v>100</v>
      </c>
      <c r="F421" s="6">
        <v>45</v>
      </c>
      <c r="G421" s="6">
        <v>3795.3</v>
      </c>
      <c r="H421" s="6"/>
      <c r="I421" s="6"/>
      <c r="J421" s="6">
        <v>995</v>
      </c>
      <c r="K421" s="6">
        <v>83918.3</v>
      </c>
      <c r="L421" s="6"/>
      <c r="M421" s="6"/>
      <c r="N421" s="6">
        <f t="shared" si="43"/>
        <v>1040</v>
      </c>
      <c r="O421" s="6">
        <f t="shared" si="44"/>
        <v>87713.600000000006</v>
      </c>
      <c r="P421" s="6">
        <v>125</v>
      </c>
      <c r="Q421" s="6">
        <v>10391</v>
      </c>
      <c r="R421" s="60"/>
      <c r="S421" s="60"/>
    </row>
    <row r="422" spans="1:19" s="1" customFormat="1" hidden="1" outlineLevel="1" x14ac:dyDescent="0.25">
      <c r="A422" s="7" t="s">
        <v>1021</v>
      </c>
      <c r="B422" s="7" t="s">
        <v>1022</v>
      </c>
      <c r="C422" s="14">
        <v>47.94</v>
      </c>
      <c r="D422" s="6">
        <v>413.21</v>
      </c>
      <c r="E422" s="6">
        <v>100</v>
      </c>
      <c r="F422" s="6">
        <v>127</v>
      </c>
      <c r="G422" s="6">
        <v>6088.38</v>
      </c>
      <c r="H422" s="6">
        <v>873</v>
      </c>
      <c r="I422" s="6">
        <v>41851.620000000003</v>
      </c>
      <c r="J422" s="6">
        <v>484</v>
      </c>
      <c r="K422" s="6">
        <v>23202.959999999999</v>
      </c>
      <c r="L422" s="6"/>
      <c r="M422" s="6"/>
      <c r="N422" s="6">
        <f t="shared" si="43"/>
        <v>1484</v>
      </c>
      <c r="O422" s="6">
        <f t="shared" si="44"/>
        <v>71142.959999999992</v>
      </c>
      <c r="P422" s="6">
        <v>90</v>
      </c>
      <c r="Q422" s="6">
        <v>5038</v>
      </c>
      <c r="R422" s="60">
        <f t="shared" si="49"/>
        <v>273.16289538007311</v>
      </c>
      <c r="S422" s="60">
        <f t="shared" si="50"/>
        <v>13095.429204520704</v>
      </c>
    </row>
    <row r="423" spans="1:19" s="1" customFormat="1" hidden="1" outlineLevel="1" x14ac:dyDescent="0.25">
      <c r="A423" s="7" t="s">
        <v>418</v>
      </c>
      <c r="B423" s="7" t="s">
        <v>419</v>
      </c>
      <c r="C423" s="14">
        <v>106.36</v>
      </c>
      <c r="D423" s="6">
        <v>55</v>
      </c>
      <c r="E423" s="6">
        <v>75.27</v>
      </c>
      <c r="F423" s="6"/>
      <c r="G423" s="6"/>
      <c r="H423" s="6"/>
      <c r="I423" s="6"/>
      <c r="J423" s="6">
        <v>649</v>
      </c>
      <c r="K423" s="6">
        <v>69027.64</v>
      </c>
      <c r="L423" s="6"/>
      <c r="M423" s="6"/>
      <c r="N423" s="6">
        <f t="shared" si="43"/>
        <v>649</v>
      </c>
      <c r="O423" s="6">
        <f t="shared" si="44"/>
        <v>69027.64</v>
      </c>
      <c r="P423" s="6">
        <v>125</v>
      </c>
      <c r="Q423" s="6">
        <v>13012</v>
      </c>
      <c r="R423" s="60"/>
      <c r="S423" s="60"/>
    </row>
    <row r="424" spans="1:19" s="1" customFormat="1" hidden="1" outlineLevel="1" x14ac:dyDescent="0.25">
      <c r="A424" s="7" t="s">
        <v>1317</v>
      </c>
      <c r="B424" s="7" t="s">
        <v>1318</v>
      </c>
      <c r="C424" s="14">
        <v>701.75</v>
      </c>
      <c r="D424" s="6">
        <v>55.65</v>
      </c>
      <c r="E424" s="6">
        <v>100</v>
      </c>
      <c r="F424" s="6"/>
      <c r="G424" s="6"/>
      <c r="H424" s="6"/>
      <c r="I424" s="6"/>
      <c r="J424" s="6">
        <v>152</v>
      </c>
      <c r="K424" s="6">
        <v>106666</v>
      </c>
      <c r="L424" s="6"/>
      <c r="M424" s="6"/>
      <c r="N424" s="6">
        <f t="shared" si="43"/>
        <v>152</v>
      </c>
      <c r="O424" s="6">
        <f t="shared" si="44"/>
        <v>106666</v>
      </c>
      <c r="P424" s="6">
        <v>37</v>
      </c>
      <c r="Q424" s="6">
        <v>24795</v>
      </c>
      <c r="R424" s="60"/>
      <c r="S424" s="60"/>
    </row>
    <row r="425" spans="1:19" s="1" customFormat="1" hidden="1" outlineLevel="1" x14ac:dyDescent="0.25">
      <c r="A425" s="7" t="s">
        <v>1049</v>
      </c>
      <c r="B425" s="7" t="s">
        <v>1050</v>
      </c>
      <c r="C425" s="14">
        <v>704.5</v>
      </c>
      <c r="D425" s="6">
        <v>49.03</v>
      </c>
      <c r="E425" s="6">
        <v>100</v>
      </c>
      <c r="F425" s="6"/>
      <c r="G425" s="6"/>
      <c r="H425" s="6"/>
      <c r="I425" s="6"/>
      <c r="J425" s="6">
        <v>45</v>
      </c>
      <c r="K425" s="6">
        <v>31702.5</v>
      </c>
      <c r="L425" s="6"/>
      <c r="M425" s="6"/>
      <c r="N425" s="6">
        <f t="shared" si="43"/>
        <v>45</v>
      </c>
      <c r="O425" s="6">
        <f t="shared" si="44"/>
        <v>31702.5</v>
      </c>
      <c r="P425" s="6">
        <v>13</v>
      </c>
      <c r="Q425" s="6">
        <v>7948</v>
      </c>
      <c r="R425" s="60"/>
      <c r="S425" s="60"/>
    </row>
    <row r="426" spans="1:19" s="1" customFormat="1" hidden="1" outlineLevel="1" x14ac:dyDescent="0.25">
      <c r="A426" s="7" t="s">
        <v>1173</v>
      </c>
      <c r="B426" s="7" t="s">
        <v>1174</v>
      </c>
      <c r="C426" s="14">
        <v>958.21</v>
      </c>
      <c r="D426" s="6">
        <v>2869.67</v>
      </c>
      <c r="E426" s="6">
        <v>100</v>
      </c>
      <c r="F426" s="6"/>
      <c r="G426" s="6"/>
      <c r="H426" s="6"/>
      <c r="I426" s="6"/>
      <c r="J426" s="6">
        <v>181</v>
      </c>
      <c r="K426" s="6">
        <v>173436.01</v>
      </c>
      <c r="L426" s="6"/>
      <c r="M426" s="6"/>
      <c r="N426" s="6">
        <f t="shared" si="43"/>
        <v>181</v>
      </c>
      <c r="O426" s="6">
        <f t="shared" si="44"/>
        <v>173436.01</v>
      </c>
      <c r="P426" s="6">
        <v>0</v>
      </c>
      <c r="Q426" s="6">
        <v>315</v>
      </c>
      <c r="R426" s="60">
        <f t="shared" si="49"/>
        <v>169.64677820097782</v>
      </c>
      <c r="S426" s="60">
        <f t="shared" si="50"/>
        <v>162557.23933995896</v>
      </c>
    </row>
    <row r="427" spans="1:19" s="1" customFormat="1" hidden="1" outlineLevel="1" x14ac:dyDescent="0.25">
      <c r="A427" s="7" t="s">
        <v>1275</v>
      </c>
      <c r="B427" s="7" t="s">
        <v>1276</v>
      </c>
      <c r="C427" s="14">
        <v>50.34</v>
      </c>
      <c r="D427" s="6">
        <v>136.12</v>
      </c>
      <c r="E427" s="6">
        <v>100</v>
      </c>
      <c r="F427" s="6"/>
      <c r="G427" s="6"/>
      <c r="H427" s="6">
        <v>5</v>
      </c>
      <c r="I427" s="6">
        <v>251.7</v>
      </c>
      <c r="J427" s="6">
        <v>1894</v>
      </c>
      <c r="K427" s="6">
        <v>95343.96</v>
      </c>
      <c r="L427" s="6"/>
      <c r="M427" s="6"/>
      <c r="N427" s="6">
        <f t="shared" si="43"/>
        <v>1899</v>
      </c>
      <c r="O427" s="6">
        <f t="shared" si="44"/>
        <v>95595.66</v>
      </c>
      <c r="P427" s="6">
        <v>373</v>
      </c>
      <c r="Q427" s="6">
        <v>21568</v>
      </c>
      <c r="R427" s="60"/>
      <c r="S427" s="60"/>
    </row>
    <row r="428" spans="1:19" s="1" customFormat="1" hidden="1" outlineLevel="1" x14ac:dyDescent="0.25">
      <c r="A428" s="7" t="s">
        <v>578</v>
      </c>
      <c r="B428" s="7" t="s">
        <v>579</v>
      </c>
      <c r="C428" s="14">
        <v>203.41</v>
      </c>
      <c r="D428" s="6">
        <v>48.79</v>
      </c>
      <c r="E428" s="6">
        <v>98.92</v>
      </c>
      <c r="F428" s="6"/>
      <c r="G428" s="6"/>
      <c r="H428" s="6">
        <v>10</v>
      </c>
      <c r="I428" s="6">
        <v>2034.1</v>
      </c>
      <c r="J428" s="6">
        <v>173</v>
      </c>
      <c r="K428" s="6">
        <v>35189.93</v>
      </c>
      <c r="L428" s="6"/>
      <c r="M428" s="6"/>
      <c r="N428" s="6">
        <f t="shared" si="43"/>
        <v>183</v>
      </c>
      <c r="O428" s="6">
        <f t="shared" si="44"/>
        <v>37224.03</v>
      </c>
      <c r="P428" s="6">
        <v>24</v>
      </c>
      <c r="Q428" s="6">
        <v>4742</v>
      </c>
      <c r="R428" s="60"/>
      <c r="S428" s="60"/>
    </row>
    <row r="429" spans="1:19" s="1" customFormat="1" hidden="1" outlineLevel="1" x14ac:dyDescent="0.25">
      <c r="A429" s="7" t="s">
        <v>656</v>
      </c>
      <c r="B429" s="7" t="s">
        <v>657</v>
      </c>
      <c r="C429" s="14">
        <v>556.05999999999995</v>
      </c>
      <c r="D429" s="6">
        <v>14.49</v>
      </c>
      <c r="E429" s="6">
        <v>31.18</v>
      </c>
      <c r="F429" s="6"/>
      <c r="G429" s="6"/>
      <c r="H429" s="6"/>
      <c r="I429" s="6"/>
      <c r="J429" s="6">
        <v>57</v>
      </c>
      <c r="K429" s="6">
        <v>31695.42</v>
      </c>
      <c r="L429" s="6"/>
      <c r="M429" s="6"/>
      <c r="N429" s="6">
        <f t="shared" si="43"/>
        <v>57</v>
      </c>
      <c r="O429" s="6">
        <f t="shared" si="44"/>
        <v>31695.42</v>
      </c>
      <c r="P429" s="6">
        <v>14</v>
      </c>
      <c r="Q429" s="6">
        <v>8055</v>
      </c>
      <c r="R429" s="60"/>
      <c r="S429" s="60"/>
    </row>
    <row r="430" spans="1:19" s="1" customFormat="1" hidden="1" outlineLevel="1" x14ac:dyDescent="0.25">
      <c r="A430" s="7" t="s">
        <v>1107</v>
      </c>
      <c r="B430" s="7" t="s">
        <v>1108</v>
      </c>
      <c r="C430" s="14">
        <v>219.93</v>
      </c>
      <c r="D430" s="6">
        <v>366.57</v>
      </c>
      <c r="E430" s="6">
        <v>100</v>
      </c>
      <c r="F430" s="6">
        <v>30</v>
      </c>
      <c r="G430" s="6">
        <v>6597.9</v>
      </c>
      <c r="H430" s="6">
        <v>9</v>
      </c>
      <c r="I430" s="6">
        <v>1979.37</v>
      </c>
      <c r="J430" s="6">
        <v>216</v>
      </c>
      <c r="K430" s="6">
        <v>47504.88</v>
      </c>
      <c r="L430" s="6"/>
      <c r="M430" s="6"/>
      <c r="N430" s="6">
        <f t="shared" si="43"/>
        <v>255</v>
      </c>
      <c r="O430" s="6">
        <f t="shared" si="44"/>
        <v>56082.15</v>
      </c>
      <c r="P430" s="6">
        <v>24</v>
      </c>
      <c r="Q430" s="6">
        <v>6323</v>
      </c>
      <c r="R430" s="60">
        <f t="shared" si="49"/>
        <v>109.93567395040509</v>
      </c>
      <c r="S430" s="60">
        <f t="shared" si="50"/>
        <v>24178.152771912592</v>
      </c>
    </row>
    <row r="431" spans="1:19" s="1" customFormat="1" hidden="1" outlineLevel="1" x14ac:dyDescent="0.25">
      <c r="A431" s="7" t="s">
        <v>951</v>
      </c>
      <c r="B431" s="7" t="s">
        <v>952</v>
      </c>
      <c r="C431" s="14">
        <v>397.82</v>
      </c>
      <c r="D431" s="6">
        <v>79.58</v>
      </c>
      <c r="E431" s="6">
        <v>100</v>
      </c>
      <c r="F431" s="6"/>
      <c r="G431" s="6"/>
      <c r="H431" s="6">
        <v>2</v>
      </c>
      <c r="I431" s="6">
        <v>795.64</v>
      </c>
      <c r="J431" s="6">
        <v>162</v>
      </c>
      <c r="K431" s="6">
        <v>64446.84</v>
      </c>
      <c r="L431" s="6">
        <v>1050</v>
      </c>
      <c r="M431" s="6">
        <v>417711</v>
      </c>
      <c r="N431" s="6">
        <f t="shared" si="43"/>
        <v>1214</v>
      </c>
      <c r="O431" s="6">
        <f t="shared" si="44"/>
        <v>482953.48</v>
      </c>
      <c r="P431" s="6">
        <v>129</v>
      </c>
      <c r="Q431" s="6">
        <v>52928</v>
      </c>
      <c r="R431" s="60"/>
      <c r="S431" s="60"/>
    </row>
    <row r="432" spans="1:19" s="1" customFormat="1" hidden="1" outlineLevel="1" x14ac:dyDescent="0.25">
      <c r="A432" s="7" t="s">
        <v>1093</v>
      </c>
      <c r="B432" s="7" t="s">
        <v>1094</v>
      </c>
      <c r="C432" s="14">
        <v>225.52</v>
      </c>
      <c r="D432" s="6">
        <v>316.87</v>
      </c>
      <c r="E432" s="6">
        <v>100</v>
      </c>
      <c r="F432" s="6"/>
      <c r="G432" s="6"/>
      <c r="H432" s="6"/>
      <c r="I432" s="6"/>
      <c r="J432" s="6">
        <v>600</v>
      </c>
      <c r="K432" s="6">
        <v>135312</v>
      </c>
      <c r="L432" s="6"/>
      <c r="M432" s="6"/>
      <c r="N432" s="6">
        <f t="shared" si="43"/>
        <v>600</v>
      </c>
      <c r="O432" s="6">
        <f t="shared" si="44"/>
        <v>135312</v>
      </c>
      <c r="P432" s="6">
        <v>7</v>
      </c>
      <c r="Q432" s="6">
        <v>1568</v>
      </c>
      <c r="R432" s="60">
        <f t="shared" si="49"/>
        <v>259.16621958531891</v>
      </c>
      <c r="S432" s="60">
        <f t="shared" si="50"/>
        <v>58447.165840881127</v>
      </c>
    </row>
    <row r="433" spans="1:19" s="1" customFormat="1" hidden="1" outlineLevel="1" x14ac:dyDescent="0.25">
      <c r="A433" s="7" t="s">
        <v>1017</v>
      </c>
      <c r="B433" s="7" t="s">
        <v>1018</v>
      </c>
      <c r="C433" s="14">
        <v>47.94</v>
      </c>
      <c r="D433" s="6">
        <v>360.19</v>
      </c>
      <c r="E433" s="6">
        <v>100</v>
      </c>
      <c r="F433" s="6"/>
      <c r="G433" s="6"/>
      <c r="H433" s="6">
        <v>120</v>
      </c>
      <c r="I433" s="6">
        <v>5752.8</v>
      </c>
      <c r="J433" s="6">
        <v>396</v>
      </c>
      <c r="K433" s="6">
        <v>18984.240000000002</v>
      </c>
      <c r="L433" s="6"/>
      <c r="M433" s="6"/>
      <c r="N433" s="6">
        <f t="shared" si="43"/>
        <v>516</v>
      </c>
      <c r="O433" s="6">
        <f t="shared" si="44"/>
        <v>24737.039999999997</v>
      </c>
      <c r="P433" s="6">
        <v>117</v>
      </c>
      <c r="Q433" s="6">
        <v>6769</v>
      </c>
      <c r="R433" s="60">
        <f t="shared" si="49"/>
        <v>198.10444487631526</v>
      </c>
      <c r="S433" s="60">
        <f t="shared" si="50"/>
        <v>9497.1270873705525</v>
      </c>
    </row>
    <row r="434" spans="1:19" s="1" customFormat="1" hidden="1" outlineLevel="1" x14ac:dyDescent="0.25">
      <c r="A434" s="7" t="s">
        <v>1303</v>
      </c>
      <c r="B434" s="7" t="s">
        <v>1304</v>
      </c>
      <c r="C434" s="14">
        <v>149.38</v>
      </c>
      <c r="D434" s="6">
        <v>1225.96</v>
      </c>
      <c r="E434" s="6">
        <v>100</v>
      </c>
      <c r="F434" s="6">
        <v>156</v>
      </c>
      <c r="G434" s="6">
        <v>23303.279999999999</v>
      </c>
      <c r="H434" s="6">
        <v>48</v>
      </c>
      <c r="I434" s="6">
        <v>7170.24</v>
      </c>
      <c r="J434" s="6">
        <v>453</v>
      </c>
      <c r="K434" s="6">
        <v>67669.14</v>
      </c>
      <c r="L434" s="6"/>
      <c r="M434" s="6"/>
      <c r="N434" s="6">
        <f t="shared" si="43"/>
        <v>657</v>
      </c>
      <c r="O434" s="6">
        <f t="shared" si="44"/>
        <v>98142.66</v>
      </c>
      <c r="P434" s="6">
        <v>113</v>
      </c>
      <c r="Q434" s="6">
        <v>20898</v>
      </c>
      <c r="R434" s="60">
        <f t="shared" si="49"/>
        <v>386.48885771150771</v>
      </c>
      <c r="S434" s="60">
        <f t="shared" si="50"/>
        <v>57733.705564945019</v>
      </c>
    </row>
    <row r="435" spans="1:19" s="1" customFormat="1" hidden="1" outlineLevel="1" x14ac:dyDescent="0.25">
      <c r="A435" s="7" t="s">
        <v>345</v>
      </c>
      <c r="B435" s="7" t="s">
        <v>346</v>
      </c>
      <c r="C435" s="14">
        <v>295.68</v>
      </c>
      <c r="D435" s="6">
        <v>79.31</v>
      </c>
      <c r="E435" s="6">
        <v>100</v>
      </c>
      <c r="F435" s="6">
        <v>2</v>
      </c>
      <c r="G435" s="6">
        <v>591.36</v>
      </c>
      <c r="H435" s="6"/>
      <c r="I435" s="6"/>
      <c r="J435" s="6">
        <v>618</v>
      </c>
      <c r="K435" s="6">
        <v>182730.23999999999</v>
      </c>
      <c r="L435" s="6"/>
      <c r="M435" s="6"/>
      <c r="N435" s="6">
        <f t="shared" si="43"/>
        <v>620</v>
      </c>
      <c r="O435" s="6">
        <f t="shared" si="44"/>
        <v>183321.60000000001</v>
      </c>
      <c r="P435" s="6">
        <v>82</v>
      </c>
      <c r="Q435" s="6">
        <v>21111</v>
      </c>
      <c r="R435" s="60"/>
      <c r="S435" s="60"/>
    </row>
    <row r="436" spans="1:19" s="1" customFormat="1" hidden="1" outlineLevel="1" x14ac:dyDescent="0.25">
      <c r="A436" s="7" t="s">
        <v>919</v>
      </c>
      <c r="B436" s="7" t="s">
        <v>920</v>
      </c>
      <c r="C436" s="14">
        <v>192</v>
      </c>
      <c r="D436" s="6">
        <v>143.62</v>
      </c>
      <c r="E436" s="6">
        <v>58.06</v>
      </c>
      <c r="F436" s="6"/>
      <c r="G436" s="6"/>
      <c r="H436" s="6">
        <v>110</v>
      </c>
      <c r="I436" s="6">
        <v>21120</v>
      </c>
      <c r="J436" s="6">
        <v>-110</v>
      </c>
      <c r="K436" s="6">
        <v>-21120</v>
      </c>
      <c r="L436" s="6"/>
      <c r="M436" s="6"/>
      <c r="N436" s="6" t="str">
        <f t="shared" si="43"/>
        <v/>
      </c>
      <c r="O436" s="6" t="str">
        <f t="shared" si="44"/>
        <v/>
      </c>
      <c r="P436" s="6">
        <v>23</v>
      </c>
      <c r="Q436" s="6">
        <v>5233</v>
      </c>
      <c r="R436" s="60">
        <f t="shared" si="49"/>
        <v>27.863807269182558</v>
      </c>
      <c r="S436" s="60">
        <f t="shared" si="50"/>
        <v>5349.8509956830512</v>
      </c>
    </row>
    <row r="437" spans="1:19" s="1" customFormat="1" hidden="1" outlineLevel="1" x14ac:dyDescent="0.25">
      <c r="A437" s="7" t="s">
        <v>1043</v>
      </c>
      <c r="B437" s="7" t="s">
        <v>1044</v>
      </c>
      <c r="C437" s="14">
        <v>171.62</v>
      </c>
      <c r="D437" s="6">
        <v>235.02</v>
      </c>
      <c r="E437" s="6">
        <v>100</v>
      </c>
      <c r="F437" s="6">
        <v>45</v>
      </c>
      <c r="G437" s="6">
        <v>7722.9</v>
      </c>
      <c r="H437" s="6">
        <v>180</v>
      </c>
      <c r="I437" s="6">
        <v>30891.599999999999</v>
      </c>
      <c r="J437" s="6">
        <v>1240</v>
      </c>
      <c r="K437" s="6">
        <v>212808.8</v>
      </c>
      <c r="L437" s="6"/>
      <c r="M437" s="6"/>
      <c r="N437" s="6">
        <f t="shared" si="43"/>
        <v>1465</v>
      </c>
      <c r="O437" s="6">
        <f t="shared" si="44"/>
        <v>251423.30000000002</v>
      </c>
      <c r="P437" s="6">
        <v>45</v>
      </c>
      <c r="Q437" s="6">
        <v>7998</v>
      </c>
      <c r="R437" s="60">
        <f t="shared" si="49"/>
        <v>290.29359203472046</v>
      </c>
      <c r="S437" s="60">
        <f t="shared" si="50"/>
        <v>49820.186264998723</v>
      </c>
    </row>
    <row r="438" spans="1:19" s="1" customFormat="1" hidden="1" outlineLevel="1" x14ac:dyDescent="0.25">
      <c r="A438" s="7" t="s">
        <v>1229</v>
      </c>
      <c r="B438" s="7" t="s">
        <v>1230</v>
      </c>
      <c r="C438" s="14">
        <v>195.3</v>
      </c>
      <c r="D438" s="6">
        <v>2374.04</v>
      </c>
      <c r="E438" s="6">
        <v>100</v>
      </c>
      <c r="F438" s="6"/>
      <c r="G438" s="6"/>
      <c r="H438" s="6"/>
      <c r="I438" s="6"/>
      <c r="J438" s="6">
        <v>3936</v>
      </c>
      <c r="K438" s="6">
        <v>768700.8</v>
      </c>
      <c r="L438" s="6"/>
      <c r="M438" s="6"/>
      <c r="N438" s="6">
        <f t="shared" si="43"/>
        <v>3936</v>
      </c>
      <c r="O438" s="6">
        <f t="shared" si="44"/>
        <v>768700.8</v>
      </c>
      <c r="P438" s="6">
        <v>26</v>
      </c>
      <c r="Q438" s="6">
        <v>4872</v>
      </c>
      <c r="R438" s="60">
        <f t="shared" si="49"/>
        <v>3637.5720038415525</v>
      </c>
      <c r="S438" s="60">
        <f t="shared" si="50"/>
        <v>710417.8123502552</v>
      </c>
    </row>
    <row r="439" spans="1:19" s="1" customFormat="1" hidden="1" outlineLevel="1" x14ac:dyDescent="0.25">
      <c r="A439" s="7" t="s">
        <v>1307</v>
      </c>
      <c r="B439" s="7" t="s">
        <v>1308</v>
      </c>
      <c r="C439" s="14">
        <v>93.95</v>
      </c>
      <c r="D439" s="6">
        <v>318.25</v>
      </c>
      <c r="E439" s="6">
        <v>100</v>
      </c>
      <c r="F439" s="6"/>
      <c r="G439" s="6"/>
      <c r="H439" s="6">
        <v>50</v>
      </c>
      <c r="I439" s="6">
        <v>4697.5</v>
      </c>
      <c r="J439" s="6">
        <v>914</v>
      </c>
      <c r="K439" s="6">
        <v>85870.3</v>
      </c>
      <c r="L439" s="6"/>
      <c r="M439" s="6"/>
      <c r="N439" s="6">
        <f t="shared" si="43"/>
        <v>964</v>
      </c>
      <c r="O439" s="6">
        <f t="shared" si="44"/>
        <v>90567.8</v>
      </c>
      <c r="P439" s="6">
        <v>99</v>
      </c>
      <c r="Q439" s="6">
        <v>10811</v>
      </c>
      <c r="R439" s="60">
        <f t="shared" si="49"/>
        <v>397.04791830322074</v>
      </c>
      <c r="S439" s="60">
        <f t="shared" si="50"/>
        <v>37302.65192458759</v>
      </c>
    </row>
    <row r="440" spans="1:19" s="1" customFormat="1" hidden="1" outlineLevel="1" x14ac:dyDescent="0.25">
      <c r="A440" s="7" t="s">
        <v>925</v>
      </c>
      <c r="B440" s="7" t="s">
        <v>926</v>
      </c>
      <c r="C440" s="14">
        <v>239.89</v>
      </c>
      <c r="D440" s="6">
        <v>121.39</v>
      </c>
      <c r="E440" s="6">
        <v>100</v>
      </c>
      <c r="F440" s="6"/>
      <c r="G440" s="6"/>
      <c r="H440" s="6"/>
      <c r="I440" s="6"/>
      <c r="J440" s="6">
        <v>396</v>
      </c>
      <c r="K440" s="6">
        <v>94996.44</v>
      </c>
      <c r="L440" s="6"/>
      <c r="M440" s="6"/>
      <c r="N440" s="6">
        <f t="shared" si="43"/>
        <v>396</v>
      </c>
      <c r="O440" s="6">
        <f t="shared" si="44"/>
        <v>94996.439999999988</v>
      </c>
      <c r="P440" s="6">
        <v>40</v>
      </c>
      <c r="Q440" s="6">
        <v>11111</v>
      </c>
      <c r="R440" s="60"/>
      <c r="S440" s="60"/>
    </row>
    <row r="441" spans="1:19" s="1" customFormat="1" hidden="1" outlineLevel="1" x14ac:dyDescent="0.25">
      <c r="A441" s="7" t="s">
        <v>1181</v>
      </c>
      <c r="B441" s="7" t="s">
        <v>1182</v>
      </c>
      <c r="C441" s="14">
        <v>138.06</v>
      </c>
      <c r="D441" s="6">
        <v>43.56</v>
      </c>
      <c r="E441" s="6">
        <v>99.56</v>
      </c>
      <c r="F441" s="6"/>
      <c r="G441" s="6"/>
      <c r="H441" s="6">
        <v>37</v>
      </c>
      <c r="I441" s="6">
        <v>5108.22</v>
      </c>
      <c r="J441" s="6">
        <v>484</v>
      </c>
      <c r="K441" s="6">
        <v>66821.039999999994</v>
      </c>
      <c r="L441" s="6"/>
      <c r="M441" s="6"/>
      <c r="N441" s="6">
        <f t="shared" si="43"/>
        <v>521</v>
      </c>
      <c r="O441" s="6">
        <f t="shared" si="44"/>
        <v>71929.259999999995</v>
      </c>
      <c r="P441" s="6">
        <v>115</v>
      </c>
      <c r="Q441" s="6">
        <v>15350</v>
      </c>
      <c r="R441" s="60"/>
      <c r="S441" s="60"/>
    </row>
    <row r="442" spans="1:19" s="17" customFormat="1" ht="14.1" hidden="1" customHeight="1" outlineLevel="1" x14ac:dyDescent="0.2">
      <c r="A442" s="7" t="s">
        <v>1013</v>
      </c>
      <c r="B442" s="7" t="s">
        <v>1014</v>
      </c>
      <c r="C442" s="14">
        <v>47.94</v>
      </c>
      <c r="D442" s="6">
        <v>131.31</v>
      </c>
      <c r="E442" s="6">
        <v>100</v>
      </c>
      <c r="F442" s="6">
        <v>212</v>
      </c>
      <c r="G442" s="6">
        <v>10163.280000000001</v>
      </c>
      <c r="H442" s="6">
        <v>621</v>
      </c>
      <c r="I442" s="6">
        <v>29770.74</v>
      </c>
      <c r="J442" s="6">
        <v>109</v>
      </c>
      <c r="K442" s="6">
        <v>5225.46</v>
      </c>
      <c r="L442" s="6"/>
      <c r="M442" s="6"/>
      <c r="N442" s="6">
        <f t="shared" si="43"/>
        <v>942</v>
      </c>
      <c r="O442" s="6">
        <f t="shared" si="44"/>
        <v>45159.479999999996</v>
      </c>
      <c r="P442" s="6">
        <v>120</v>
      </c>
      <c r="Q442" s="6">
        <v>6490</v>
      </c>
      <c r="R442" s="60"/>
      <c r="S442" s="60"/>
    </row>
    <row r="443" spans="1:19" s="1" customFormat="1" hidden="1" outlineLevel="1" x14ac:dyDescent="0.25">
      <c r="A443" s="7" t="s">
        <v>819</v>
      </c>
      <c r="B443" s="7" t="s">
        <v>820</v>
      </c>
      <c r="C443" s="14">
        <v>34.119999999999997</v>
      </c>
      <c r="D443" s="6">
        <v>169.14</v>
      </c>
      <c r="E443" s="6">
        <v>100</v>
      </c>
      <c r="F443" s="6"/>
      <c r="G443" s="6"/>
      <c r="H443" s="6">
        <v>10</v>
      </c>
      <c r="I443" s="6">
        <v>341.2</v>
      </c>
      <c r="J443" s="6">
        <v>7224</v>
      </c>
      <c r="K443" s="6">
        <v>246482.88</v>
      </c>
      <c r="L443" s="6"/>
      <c r="M443" s="6"/>
      <c r="N443" s="6">
        <f t="shared" si="43"/>
        <v>7234</v>
      </c>
      <c r="O443" s="6">
        <f t="shared" si="44"/>
        <v>246824.08</v>
      </c>
      <c r="P443" s="6">
        <v>186</v>
      </c>
      <c r="Q443" s="6">
        <v>6199</v>
      </c>
      <c r="R443" s="60"/>
      <c r="S443" s="60"/>
    </row>
    <row r="444" spans="1:19" s="1" customFormat="1" hidden="1" outlineLevel="1" x14ac:dyDescent="0.25">
      <c r="A444" s="7" t="s">
        <v>837</v>
      </c>
      <c r="B444" s="7" t="s">
        <v>838</v>
      </c>
      <c r="C444" s="14">
        <v>249.77</v>
      </c>
      <c r="D444" s="6">
        <v>30225.67</v>
      </c>
      <c r="E444" s="6">
        <v>100</v>
      </c>
      <c r="F444" s="6"/>
      <c r="G444" s="6"/>
      <c r="H444" s="6">
        <v>20</v>
      </c>
      <c r="I444" s="6">
        <v>4995.3999999999996</v>
      </c>
      <c r="J444" s="6">
        <v>957</v>
      </c>
      <c r="K444" s="6">
        <v>239029.89</v>
      </c>
      <c r="L444" s="6"/>
      <c r="M444" s="6"/>
      <c r="N444" s="6">
        <f t="shared" si="43"/>
        <v>977</v>
      </c>
      <c r="O444" s="6">
        <f t="shared" si="44"/>
        <v>244025.29</v>
      </c>
      <c r="P444" s="6">
        <v>16</v>
      </c>
      <c r="Q444" s="6">
        <v>4986</v>
      </c>
      <c r="R444" s="60">
        <f t="shared" si="49"/>
        <v>951.30087074992878</v>
      </c>
      <c r="S444" s="60">
        <f t="shared" si="50"/>
        <v>237606.41848720971</v>
      </c>
    </row>
    <row r="445" spans="1:19" s="1" customFormat="1" hidden="1" outlineLevel="1" x14ac:dyDescent="0.25">
      <c r="A445" s="7" t="s">
        <v>191</v>
      </c>
      <c r="B445" s="7" t="s">
        <v>192</v>
      </c>
      <c r="C445" s="14">
        <v>76.709999999999994</v>
      </c>
      <c r="D445" s="6">
        <v>39.15</v>
      </c>
      <c r="E445" s="6">
        <v>100</v>
      </c>
      <c r="F445" s="6"/>
      <c r="G445" s="6"/>
      <c r="H445" s="6">
        <v>901</v>
      </c>
      <c r="I445" s="6">
        <v>69115.710000000006</v>
      </c>
      <c r="J445" s="6">
        <v>700</v>
      </c>
      <c r="K445" s="6">
        <v>53697</v>
      </c>
      <c r="L445" s="6"/>
      <c r="M445" s="6"/>
      <c r="N445" s="6">
        <f t="shared" si="43"/>
        <v>1601</v>
      </c>
      <c r="O445" s="6">
        <f t="shared" si="44"/>
        <v>122812.70999999999</v>
      </c>
      <c r="P445" s="6">
        <v>351</v>
      </c>
      <c r="Q445" s="6">
        <v>28319</v>
      </c>
      <c r="R445" s="60"/>
      <c r="S445" s="60"/>
    </row>
    <row r="446" spans="1:19" s="1" customFormat="1" hidden="1" outlineLevel="1" x14ac:dyDescent="0.25">
      <c r="A446" s="7" t="s">
        <v>584</v>
      </c>
      <c r="B446" s="7" t="s">
        <v>585</v>
      </c>
      <c r="C446" s="14">
        <v>448.89</v>
      </c>
      <c r="D446" s="6">
        <v>143.65</v>
      </c>
      <c r="E446" s="6">
        <v>100</v>
      </c>
      <c r="F446" s="6"/>
      <c r="G446" s="6"/>
      <c r="H446" s="6"/>
      <c r="I446" s="6"/>
      <c r="J446" s="6">
        <v>57</v>
      </c>
      <c r="K446" s="6">
        <v>25586.73</v>
      </c>
      <c r="L446" s="6"/>
      <c r="M446" s="6"/>
      <c r="N446" s="6">
        <f t="shared" si="43"/>
        <v>57</v>
      </c>
      <c r="O446" s="6">
        <f t="shared" si="44"/>
        <v>25586.73</v>
      </c>
      <c r="P446" s="6">
        <v>6</v>
      </c>
      <c r="Q446" s="6">
        <v>2388</v>
      </c>
      <c r="R446" s="60"/>
      <c r="S446" s="60"/>
    </row>
    <row r="447" spans="1:19" s="1" customFormat="1" hidden="1" outlineLevel="1" x14ac:dyDescent="0.25">
      <c r="A447" s="7" t="s">
        <v>694</v>
      </c>
      <c r="B447" s="7" t="s">
        <v>695</v>
      </c>
      <c r="C447" s="14">
        <v>450.89</v>
      </c>
      <c r="D447" s="6">
        <v>49.42</v>
      </c>
      <c r="E447" s="6">
        <v>100</v>
      </c>
      <c r="F447" s="6"/>
      <c r="G447" s="6"/>
      <c r="H447" s="6"/>
      <c r="I447" s="6"/>
      <c r="J447" s="6">
        <v>344</v>
      </c>
      <c r="K447" s="6">
        <v>155106.16</v>
      </c>
      <c r="L447" s="6"/>
      <c r="M447" s="6"/>
      <c r="N447" s="6">
        <f t="shared" si="43"/>
        <v>344</v>
      </c>
      <c r="O447" s="6">
        <f t="shared" si="44"/>
        <v>155106.16</v>
      </c>
      <c r="P447" s="6">
        <v>35</v>
      </c>
      <c r="Q447" s="6">
        <v>17794</v>
      </c>
      <c r="R447" s="60"/>
      <c r="S447" s="60"/>
    </row>
    <row r="448" spans="1:19" s="1" customFormat="1" hidden="1" outlineLevel="1" x14ac:dyDescent="0.25">
      <c r="A448" s="7" t="s">
        <v>724</v>
      </c>
      <c r="B448" s="7" t="s">
        <v>725</v>
      </c>
      <c r="C448" s="14">
        <v>153.4</v>
      </c>
      <c r="D448" s="6">
        <v>90.95</v>
      </c>
      <c r="E448" s="6">
        <v>100</v>
      </c>
      <c r="F448" s="6"/>
      <c r="G448" s="6"/>
      <c r="H448" s="6">
        <v>15</v>
      </c>
      <c r="I448" s="6">
        <v>2301</v>
      </c>
      <c r="J448" s="6">
        <v>486</v>
      </c>
      <c r="K448" s="6">
        <v>74552.399999999994</v>
      </c>
      <c r="L448" s="6"/>
      <c r="M448" s="6"/>
      <c r="N448" s="6">
        <f t="shared" si="43"/>
        <v>501</v>
      </c>
      <c r="O448" s="6">
        <f t="shared" si="44"/>
        <v>76853.400000000009</v>
      </c>
      <c r="P448" s="6">
        <v>49</v>
      </c>
      <c r="Q448" s="6">
        <v>7836</v>
      </c>
      <c r="R448" s="60"/>
      <c r="S448" s="60"/>
    </row>
    <row r="449" spans="1:19" s="1" customFormat="1" hidden="1" outlineLevel="1" x14ac:dyDescent="0.25">
      <c r="A449" s="7" t="s">
        <v>831</v>
      </c>
      <c r="B449" s="7" t="s">
        <v>832</v>
      </c>
      <c r="C449" s="14">
        <v>34.119999999999997</v>
      </c>
      <c r="D449" s="6">
        <v>66.64</v>
      </c>
      <c r="E449" s="6">
        <v>100</v>
      </c>
      <c r="F449" s="6"/>
      <c r="G449" s="6"/>
      <c r="H449" s="6">
        <v>8</v>
      </c>
      <c r="I449" s="6">
        <v>272.95999999999998</v>
      </c>
      <c r="J449" s="6">
        <v>5998</v>
      </c>
      <c r="K449" s="6">
        <v>204651.76</v>
      </c>
      <c r="L449" s="6"/>
      <c r="M449" s="6"/>
      <c r="N449" s="6">
        <f t="shared" si="43"/>
        <v>6006</v>
      </c>
      <c r="O449" s="6">
        <f t="shared" si="44"/>
        <v>204924.71999999997</v>
      </c>
      <c r="P449" s="6">
        <v>194</v>
      </c>
      <c r="Q449" s="6">
        <v>7157</v>
      </c>
      <c r="R449" s="60"/>
      <c r="S449" s="60"/>
    </row>
    <row r="450" spans="1:19" s="1" customFormat="1" hidden="1" outlineLevel="1" x14ac:dyDescent="0.25">
      <c r="A450" s="7" t="s">
        <v>804</v>
      </c>
      <c r="B450" s="7" t="s">
        <v>805</v>
      </c>
      <c r="C450" s="14">
        <v>100.57</v>
      </c>
      <c r="D450" s="6">
        <v>103.95</v>
      </c>
      <c r="E450" s="6">
        <v>100</v>
      </c>
      <c r="F450" s="6"/>
      <c r="G450" s="6"/>
      <c r="H450" s="6">
        <v>150</v>
      </c>
      <c r="I450" s="6">
        <v>15085.5</v>
      </c>
      <c r="J450" s="6">
        <v>1080</v>
      </c>
      <c r="K450" s="6">
        <v>108615.6</v>
      </c>
      <c r="L450" s="6"/>
      <c r="M450" s="6"/>
      <c r="N450" s="6">
        <f t="shared" si="43"/>
        <v>1230</v>
      </c>
      <c r="O450" s="6">
        <f t="shared" si="44"/>
        <v>123701.09999999999</v>
      </c>
      <c r="P450" s="6">
        <v>85</v>
      </c>
      <c r="Q450" s="6">
        <v>8139</v>
      </c>
      <c r="R450" s="60"/>
      <c r="S450" s="60"/>
    </row>
    <row r="451" spans="1:19" s="1" customFormat="1" hidden="1" outlineLevel="1" x14ac:dyDescent="0.25">
      <c r="A451" s="7" t="s">
        <v>488</v>
      </c>
      <c r="B451" s="7" t="s">
        <v>489</v>
      </c>
      <c r="C451" s="14">
        <v>69</v>
      </c>
      <c r="D451" s="6">
        <v>341.33</v>
      </c>
      <c r="E451" s="6">
        <v>100</v>
      </c>
      <c r="F451" s="6">
        <v>50</v>
      </c>
      <c r="G451" s="6">
        <v>3450</v>
      </c>
      <c r="H451" s="6"/>
      <c r="I451" s="6"/>
      <c r="J451" s="6">
        <v>2025</v>
      </c>
      <c r="K451" s="6">
        <v>139725</v>
      </c>
      <c r="L451" s="6"/>
      <c r="M451" s="6"/>
      <c r="N451" s="6">
        <f t="shared" si="43"/>
        <v>2075</v>
      </c>
      <c r="O451" s="6">
        <f t="shared" si="44"/>
        <v>143175</v>
      </c>
      <c r="P451" s="6">
        <v>150</v>
      </c>
      <c r="Q451" s="6">
        <v>11705</v>
      </c>
      <c r="R451" s="60">
        <f t="shared" si="49"/>
        <v>957.11847771950886</v>
      </c>
      <c r="S451" s="60">
        <f t="shared" si="50"/>
        <v>66041.17496264611</v>
      </c>
    </row>
    <row r="452" spans="1:19" s="1" customFormat="1" hidden="1" outlineLevel="1" x14ac:dyDescent="0.25">
      <c r="A452" s="7" t="s">
        <v>1179</v>
      </c>
      <c r="B452" s="7" t="s">
        <v>1180</v>
      </c>
      <c r="C452" s="14">
        <v>153.4</v>
      </c>
      <c r="D452" s="6">
        <v>113.42</v>
      </c>
      <c r="E452" s="6">
        <v>100</v>
      </c>
      <c r="F452" s="6"/>
      <c r="G452" s="6"/>
      <c r="H452" s="6"/>
      <c r="I452" s="6"/>
      <c r="J452" s="6">
        <v>471</v>
      </c>
      <c r="K452" s="6">
        <v>72251.399999999994</v>
      </c>
      <c r="L452" s="6"/>
      <c r="M452" s="6"/>
      <c r="N452" s="6">
        <f t="shared" si="43"/>
        <v>471</v>
      </c>
      <c r="O452" s="6">
        <f t="shared" si="44"/>
        <v>72251.400000000009</v>
      </c>
      <c r="P452" s="6">
        <v>52</v>
      </c>
      <c r="Q452" s="6">
        <v>7964</v>
      </c>
      <c r="R452" s="60"/>
      <c r="S452" s="60"/>
    </row>
    <row r="453" spans="1:19" s="1" customFormat="1" hidden="1" outlineLevel="1" x14ac:dyDescent="0.25">
      <c r="A453" s="7" t="s">
        <v>1131</v>
      </c>
      <c r="B453" s="7" t="s">
        <v>1132</v>
      </c>
      <c r="C453" s="14">
        <v>488.26</v>
      </c>
      <c r="D453" s="6"/>
      <c r="E453" s="6">
        <v>100</v>
      </c>
      <c r="F453" s="6"/>
      <c r="G453" s="6"/>
      <c r="H453" s="6"/>
      <c r="I453" s="6"/>
      <c r="J453" s="6">
        <v>248</v>
      </c>
      <c r="K453" s="6">
        <v>121088.48</v>
      </c>
      <c r="L453" s="6"/>
      <c r="M453" s="6"/>
      <c r="N453" s="6">
        <f t="shared" si="43"/>
        <v>248</v>
      </c>
      <c r="O453" s="6">
        <f t="shared" si="44"/>
        <v>121088.48</v>
      </c>
      <c r="P453" s="6">
        <v>21</v>
      </c>
      <c r="Q453" s="6">
        <v>12817</v>
      </c>
      <c r="R453" s="60"/>
      <c r="S453" s="60"/>
    </row>
    <row r="454" spans="1:19" s="1" customFormat="1" hidden="1" outlineLevel="1" x14ac:dyDescent="0.25">
      <c r="A454" s="7" t="s">
        <v>1085</v>
      </c>
      <c r="B454" s="7" t="s">
        <v>1086</v>
      </c>
      <c r="C454" s="14">
        <v>116.85</v>
      </c>
      <c r="D454" s="6">
        <v>422.59</v>
      </c>
      <c r="E454" s="6">
        <v>100</v>
      </c>
      <c r="F454" s="6">
        <v>3</v>
      </c>
      <c r="G454" s="6">
        <v>350.55</v>
      </c>
      <c r="H454" s="6"/>
      <c r="I454" s="6"/>
      <c r="J454" s="6">
        <v>871</v>
      </c>
      <c r="K454" s="6">
        <v>101776.35</v>
      </c>
      <c r="L454" s="6"/>
      <c r="M454" s="6"/>
      <c r="N454" s="6">
        <f t="shared" si="43"/>
        <v>874</v>
      </c>
      <c r="O454" s="6">
        <f t="shared" si="44"/>
        <v>102126.9</v>
      </c>
      <c r="P454" s="6">
        <v>79</v>
      </c>
      <c r="Q454" s="6">
        <v>11092</v>
      </c>
      <c r="R454" s="60">
        <f t="shared" si="49"/>
        <v>500.00210606024746</v>
      </c>
      <c r="S454" s="60">
        <f t="shared" si="50"/>
        <v>58425.246093139911</v>
      </c>
    </row>
    <row r="455" spans="1:19" s="1" customFormat="1" hidden="1" outlineLevel="1" x14ac:dyDescent="0.25">
      <c r="A455" s="7" t="s">
        <v>1115</v>
      </c>
      <c r="B455" s="7" t="s">
        <v>1116</v>
      </c>
      <c r="C455" s="14">
        <v>261.33</v>
      </c>
      <c r="D455" s="6">
        <v>555.89</v>
      </c>
      <c r="E455" s="6">
        <v>100</v>
      </c>
      <c r="F455" s="6">
        <v>2</v>
      </c>
      <c r="G455" s="6">
        <v>522.66</v>
      </c>
      <c r="H455" s="6">
        <v>4</v>
      </c>
      <c r="I455" s="6">
        <v>1045.32</v>
      </c>
      <c r="J455" s="6">
        <v>386</v>
      </c>
      <c r="K455" s="6">
        <v>100873.38</v>
      </c>
      <c r="L455" s="6"/>
      <c r="M455" s="6"/>
      <c r="N455" s="6">
        <f t="shared" si="43"/>
        <v>392</v>
      </c>
      <c r="O455" s="6">
        <f t="shared" si="44"/>
        <v>102441.36</v>
      </c>
      <c r="P455" s="6">
        <v>16</v>
      </c>
      <c r="Q455" s="6">
        <v>5037</v>
      </c>
      <c r="R455" s="60">
        <f t="shared" si="49"/>
        <v>261.01124323157455</v>
      </c>
      <c r="S455" s="60">
        <f t="shared" si="50"/>
        <v>68210.068193707368</v>
      </c>
    </row>
    <row r="456" spans="1:19" s="1" customFormat="1" hidden="1" outlineLevel="1" x14ac:dyDescent="0.25">
      <c r="A456" s="7" t="s">
        <v>1011</v>
      </c>
      <c r="B456" s="7" t="s">
        <v>1012</v>
      </c>
      <c r="C456" s="14">
        <v>48.43</v>
      </c>
      <c r="D456" s="6">
        <v>503.01</v>
      </c>
      <c r="E456" s="6">
        <v>100</v>
      </c>
      <c r="F456" s="6"/>
      <c r="G456" s="6"/>
      <c r="H456" s="6">
        <v>200</v>
      </c>
      <c r="I456" s="6">
        <v>9686</v>
      </c>
      <c r="J456" s="6">
        <v>911</v>
      </c>
      <c r="K456" s="6">
        <v>44119.73</v>
      </c>
      <c r="L456" s="6"/>
      <c r="M456" s="6"/>
      <c r="N456" s="6">
        <f t="shared" si="43"/>
        <v>1111</v>
      </c>
      <c r="O456" s="6">
        <f t="shared" si="44"/>
        <v>53805.73</v>
      </c>
      <c r="P456" s="6">
        <v>82</v>
      </c>
      <c r="Q456" s="6">
        <v>4723</v>
      </c>
      <c r="R456" s="60">
        <f t="shared" si="49"/>
        <v>585.00250492037935</v>
      </c>
      <c r="S456" s="60">
        <f t="shared" si="50"/>
        <v>28331.671313293973</v>
      </c>
    </row>
    <row r="457" spans="1:19" s="1" customFormat="1" hidden="1" outlineLevel="1" x14ac:dyDescent="0.25">
      <c r="A457" s="7" t="s">
        <v>558</v>
      </c>
      <c r="B457" s="7" t="s">
        <v>559</v>
      </c>
      <c r="C457" s="14">
        <v>104.13</v>
      </c>
      <c r="D457" s="6">
        <v>38.200000000000003</v>
      </c>
      <c r="E457" s="6">
        <v>100</v>
      </c>
      <c r="F457" s="6"/>
      <c r="G457" s="6"/>
      <c r="H457" s="6">
        <v>90</v>
      </c>
      <c r="I457" s="6">
        <v>9371.7000000000007</v>
      </c>
      <c r="J457" s="6">
        <v>2</v>
      </c>
      <c r="K457" s="6">
        <v>208.26</v>
      </c>
      <c r="L457" s="6">
        <v>500</v>
      </c>
      <c r="M457" s="6">
        <v>52065</v>
      </c>
      <c r="N457" s="6">
        <f t="shared" si="43"/>
        <v>592</v>
      </c>
      <c r="O457" s="6">
        <f t="shared" si="44"/>
        <v>61644.959999999999</v>
      </c>
      <c r="P457" s="6">
        <v>19</v>
      </c>
      <c r="Q457" s="6">
        <v>1408</v>
      </c>
      <c r="R457" s="60"/>
      <c r="S457" s="60"/>
    </row>
    <row r="458" spans="1:19" s="1" customFormat="1" hidden="1" outlineLevel="1" x14ac:dyDescent="0.25">
      <c r="A458" s="7" t="s">
        <v>949</v>
      </c>
      <c r="B458" s="7" t="s">
        <v>950</v>
      </c>
      <c r="C458" s="14">
        <v>350.88</v>
      </c>
      <c r="D458" s="6">
        <v>74.459999999999994</v>
      </c>
      <c r="E458" s="6">
        <v>100</v>
      </c>
      <c r="F458" s="6"/>
      <c r="G458" s="6"/>
      <c r="H458" s="6"/>
      <c r="I458" s="6"/>
      <c r="J458" s="6">
        <v>38</v>
      </c>
      <c r="K458" s="6">
        <v>13333.44</v>
      </c>
      <c r="L458" s="6">
        <v>350</v>
      </c>
      <c r="M458" s="6">
        <v>122808</v>
      </c>
      <c r="N458" s="6">
        <f t="shared" si="43"/>
        <v>388</v>
      </c>
      <c r="O458" s="6">
        <f t="shared" si="44"/>
        <v>136141.44</v>
      </c>
      <c r="P458" s="6">
        <v>7</v>
      </c>
      <c r="Q458" s="6">
        <v>2153</v>
      </c>
      <c r="R458" s="60"/>
      <c r="S458" s="60"/>
    </row>
    <row r="459" spans="1:19" s="1" customFormat="1" hidden="1" outlineLevel="1" x14ac:dyDescent="0.25">
      <c r="A459" s="7" t="s">
        <v>566</v>
      </c>
      <c r="B459" s="7" t="s">
        <v>567</v>
      </c>
      <c r="C459" s="14">
        <v>63.11</v>
      </c>
      <c r="D459" s="6">
        <v>63.82</v>
      </c>
      <c r="E459" s="6">
        <v>100</v>
      </c>
      <c r="F459" s="6">
        <v>1</v>
      </c>
      <c r="G459" s="6">
        <v>63.11</v>
      </c>
      <c r="H459" s="6">
        <v>5</v>
      </c>
      <c r="I459" s="6">
        <v>315.55</v>
      </c>
      <c r="J459" s="6">
        <v>635</v>
      </c>
      <c r="K459" s="6">
        <v>40074.85</v>
      </c>
      <c r="L459" s="6"/>
      <c r="M459" s="6"/>
      <c r="N459" s="6">
        <f t="shared" si="43"/>
        <v>641</v>
      </c>
      <c r="O459" s="6">
        <f t="shared" si="44"/>
        <v>40453.51</v>
      </c>
      <c r="P459" s="6">
        <v>70</v>
      </c>
      <c r="Q459" s="6">
        <v>4253</v>
      </c>
      <c r="R459" s="60"/>
      <c r="S459" s="60"/>
    </row>
    <row r="460" spans="1:19" s="1" customFormat="1" hidden="1" outlineLevel="1" x14ac:dyDescent="0.25">
      <c r="A460" s="7" t="s">
        <v>917</v>
      </c>
      <c r="B460" s="7" t="s">
        <v>918</v>
      </c>
      <c r="C460" s="14">
        <v>425</v>
      </c>
      <c r="D460" s="6">
        <v>163.26</v>
      </c>
      <c r="E460" s="6">
        <v>100</v>
      </c>
      <c r="F460" s="6">
        <v>20</v>
      </c>
      <c r="G460" s="6">
        <v>8500</v>
      </c>
      <c r="H460" s="6">
        <v>60</v>
      </c>
      <c r="I460" s="6">
        <v>25500</v>
      </c>
      <c r="J460" s="6">
        <v>499</v>
      </c>
      <c r="K460" s="6">
        <v>212075</v>
      </c>
      <c r="L460" s="6"/>
      <c r="M460" s="6"/>
      <c r="N460" s="6">
        <f t="shared" si="43"/>
        <v>579</v>
      </c>
      <c r="O460" s="6">
        <f t="shared" si="44"/>
        <v>246075</v>
      </c>
      <c r="P460" s="6">
        <v>64</v>
      </c>
      <c r="Q460" s="6">
        <v>32421</v>
      </c>
      <c r="R460" s="60"/>
      <c r="S460" s="60"/>
    </row>
    <row r="461" spans="1:19" s="1" customFormat="1" hidden="1" outlineLevel="1" x14ac:dyDescent="0.25">
      <c r="A461" s="7" t="s">
        <v>393</v>
      </c>
      <c r="B461" s="7" t="s">
        <v>394</v>
      </c>
      <c r="C461" s="14">
        <v>405.01</v>
      </c>
      <c r="D461" s="6">
        <v>776.38</v>
      </c>
      <c r="E461" s="6">
        <v>100</v>
      </c>
      <c r="F461" s="6"/>
      <c r="G461" s="6"/>
      <c r="H461" s="6">
        <v>24</v>
      </c>
      <c r="I461" s="6">
        <v>9720.24</v>
      </c>
      <c r="J461" s="6">
        <v>616</v>
      </c>
      <c r="K461" s="6">
        <v>249486.16</v>
      </c>
      <c r="L461" s="6"/>
      <c r="M461" s="6"/>
      <c r="N461" s="6">
        <f t="shared" si="43"/>
        <v>640</v>
      </c>
      <c r="O461" s="6">
        <f t="shared" si="44"/>
        <v>259206.39999999999</v>
      </c>
      <c r="P461" s="6">
        <v>21</v>
      </c>
      <c r="Q461" s="6">
        <v>9499</v>
      </c>
      <c r="R461" s="60">
        <f t="shared" si="49"/>
        <v>473.18333805610655</v>
      </c>
      <c r="S461" s="60">
        <f t="shared" si="50"/>
        <v>191643.98374610371</v>
      </c>
    </row>
    <row r="462" spans="1:19" s="1" customFormat="1" hidden="1" outlineLevel="1" x14ac:dyDescent="0.25">
      <c r="A462" s="7" t="s">
        <v>658</v>
      </c>
      <c r="B462" s="7" t="s">
        <v>659</v>
      </c>
      <c r="C462" s="14">
        <v>556.05999999999995</v>
      </c>
      <c r="D462" s="6">
        <v>44.8</v>
      </c>
      <c r="E462" s="6">
        <v>100</v>
      </c>
      <c r="F462" s="6"/>
      <c r="G462" s="6"/>
      <c r="H462" s="6">
        <v>1</v>
      </c>
      <c r="I462" s="6">
        <v>556.05999999999995</v>
      </c>
      <c r="J462" s="6">
        <v>40</v>
      </c>
      <c r="K462" s="6">
        <v>22242.400000000001</v>
      </c>
      <c r="L462" s="6"/>
      <c r="M462" s="6"/>
      <c r="N462" s="6">
        <f t="shared" si="43"/>
        <v>41</v>
      </c>
      <c r="O462" s="6">
        <f t="shared" si="44"/>
        <v>22798.46</v>
      </c>
      <c r="P462" s="6">
        <v>7</v>
      </c>
      <c r="Q462" s="6">
        <v>4112</v>
      </c>
      <c r="R462" s="60"/>
      <c r="S462" s="60"/>
    </row>
    <row r="463" spans="1:19" s="1" customFormat="1" hidden="1" outlineLevel="1" x14ac:dyDescent="0.25">
      <c r="A463" s="7" t="s">
        <v>652</v>
      </c>
      <c r="B463" s="7" t="s">
        <v>653</v>
      </c>
      <c r="C463" s="14">
        <v>556.05999999999995</v>
      </c>
      <c r="D463" s="6">
        <v>21.48</v>
      </c>
      <c r="E463" s="6">
        <v>100</v>
      </c>
      <c r="F463" s="6"/>
      <c r="G463" s="6"/>
      <c r="H463" s="6">
        <v>5</v>
      </c>
      <c r="I463" s="6">
        <v>2780.3</v>
      </c>
      <c r="J463" s="6">
        <v>44</v>
      </c>
      <c r="K463" s="6">
        <v>24466.639999999999</v>
      </c>
      <c r="L463" s="6"/>
      <c r="M463" s="6"/>
      <c r="N463" s="6">
        <f t="shared" si="43"/>
        <v>49</v>
      </c>
      <c r="O463" s="6">
        <f t="shared" si="44"/>
        <v>27246.94</v>
      </c>
      <c r="P463" s="6">
        <v>15</v>
      </c>
      <c r="Q463" s="6">
        <v>8527</v>
      </c>
      <c r="R463" s="60"/>
      <c r="S463" s="60"/>
    </row>
    <row r="464" spans="1:19" s="1" customFormat="1" hidden="1" outlineLevel="1" x14ac:dyDescent="0.25">
      <c r="A464" s="7" t="s">
        <v>971</v>
      </c>
      <c r="B464" s="7" t="s">
        <v>972</v>
      </c>
      <c r="C464" s="14">
        <v>364.68</v>
      </c>
      <c r="D464" s="6">
        <v>302.91000000000003</v>
      </c>
      <c r="E464" s="6">
        <v>100</v>
      </c>
      <c r="F464" s="6"/>
      <c r="G464" s="6"/>
      <c r="H464" s="6">
        <v>3</v>
      </c>
      <c r="I464" s="6">
        <v>1094.04</v>
      </c>
      <c r="J464" s="6">
        <v>334</v>
      </c>
      <c r="K464" s="6">
        <v>121803.12</v>
      </c>
      <c r="L464" s="6"/>
      <c r="M464" s="6"/>
      <c r="N464" s="6">
        <f t="shared" si="43"/>
        <v>337</v>
      </c>
      <c r="O464" s="6">
        <f t="shared" si="44"/>
        <v>122897.16</v>
      </c>
      <c r="P464" s="6">
        <v>10</v>
      </c>
      <c r="Q464" s="6">
        <v>3871</v>
      </c>
      <c r="R464" s="60">
        <f t="shared" si="49"/>
        <v>135.52520550658613</v>
      </c>
      <c r="S464" s="60">
        <f t="shared" si="50"/>
        <v>49423.331944141835</v>
      </c>
    </row>
    <row r="465" spans="1:19" s="1" customFormat="1" hidden="1" outlineLevel="1" x14ac:dyDescent="0.25">
      <c r="A465" s="7" t="s">
        <v>265</v>
      </c>
      <c r="B465" s="7" t="s">
        <v>266</v>
      </c>
      <c r="C465" s="14">
        <v>495.9</v>
      </c>
      <c r="D465" s="6">
        <v>202.29</v>
      </c>
      <c r="E465" s="6">
        <v>81.72</v>
      </c>
      <c r="F465" s="6"/>
      <c r="G465" s="6"/>
      <c r="H465" s="6"/>
      <c r="I465" s="6"/>
      <c r="J465" s="6">
        <v>1526</v>
      </c>
      <c r="K465" s="6">
        <v>756743.4</v>
      </c>
      <c r="L465" s="6"/>
      <c r="M465" s="6"/>
      <c r="N465" s="6">
        <f t="shared" si="43"/>
        <v>1526</v>
      </c>
      <c r="O465" s="6">
        <f t="shared" si="44"/>
        <v>756743.4</v>
      </c>
      <c r="P465" s="6">
        <v>60</v>
      </c>
      <c r="Q465" s="6">
        <v>30769</v>
      </c>
      <c r="R465" s="60">
        <f t="shared" si="49"/>
        <v>168.14741213109886</v>
      </c>
      <c r="S465" s="60">
        <f t="shared" si="50"/>
        <v>83384.301675811919</v>
      </c>
    </row>
    <row r="466" spans="1:19" s="1" customFormat="1" hidden="1" outlineLevel="1" x14ac:dyDescent="0.25">
      <c r="A466" s="7" t="s">
        <v>923</v>
      </c>
      <c r="B466" s="7" t="s">
        <v>924</v>
      </c>
      <c r="C466" s="14">
        <v>224.98</v>
      </c>
      <c r="D466" s="6">
        <v>287.3</v>
      </c>
      <c r="E466" s="6">
        <v>100</v>
      </c>
      <c r="F466" s="6"/>
      <c r="G466" s="6"/>
      <c r="H466" s="6"/>
      <c r="I466" s="6"/>
      <c r="J466" s="6">
        <v>350</v>
      </c>
      <c r="K466" s="6">
        <v>78743</v>
      </c>
      <c r="L466" s="6"/>
      <c r="M466" s="6"/>
      <c r="N466" s="6">
        <f t="shared" si="43"/>
        <v>350</v>
      </c>
      <c r="O466" s="6">
        <f t="shared" si="44"/>
        <v>78743</v>
      </c>
      <c r="P466" s="6">
        <v>13</v>
      </c>
      <c r="Q466" s="6">
        <v>3461</v>
      </c>
      <c r="R466" s="60">
        <f t="shared" si="49"/>
        <v>130.71702053602507</v>
      </c>
      <c r="S466" s="60">
        <f t="shared" si="50"/>
        <v>29408.71528019492</v>
      </c>
    </row>
    <row r="467" spans="1:19" s="1" customFormat="1" hidden="1" outlineLevel="1" x14ac:dyDescent="0.25">
      <c r="A467" s="7" t="s">
        <v>1171</v>
      </c>
      <c r="B467" s="7" t="s">
        <v>1172</v>
      </c>
      <c r="C467" s="14">
        <v>976.52</v>
      </c>
      <c r="D467" s="6">
        <v>1101</v>
      </c>
      <c r="E467" s="6">
        <v>100</v>
      </c>
      <c r="F467" s="6"/>
      <c r="G467" s="6"/>
      <c r="H467" s="6"/>
      <c r="I467" s="6"/>
      <c r="J467" s="6">
        <v>71</v>
      </c>
      <c r="K467" s="6">
        <v>69332.92</v>
      </c>
      <c r="L467" s="6"/>
      <c r="M467" s="6"/>
      <c r="N467" s="6">
        <f t="shared" si="43"/>
        <v>71</v>
      </c>
      <c r="O467" s="6">
        <f t="shared" si="44"/>
        <v>69332.92</v>
      </c>
      <c r="P467" s="6"/>
      <c r="Q467" s="6"/>
      <c r="R467" s="60">
        <f t="shared" si="49"/>
        <v>59.392370572207078</v>
      </c>
      <c r="S467" s="60">
        <f t="shared" si="50"/>
        <v>57997.837711171655</v>
      </c>
    </row>
    <row r="468" spans="1:19" s="1" customFormat="1" hidden="1" outlineLevel="1" x14ac:dyDescent="0.25">
      <c r="A468" s="7" t="s">
        <v>967</v>
      </c>
      <c r="B468" s="7" t="s">
        <v>968</v>
      </c>
      <c r="C468" s="14">
        <v>292.95999999999998</v>
      </c>
      <c r="D468" s="6">
        <v>101.95</v>
      </c>
      <c r="E468" s="6">
        <v>100</v>
      </c>
      <c r="F468" s="6"/>
      <c r="G468" s="6"/>
      <c r="H468" s="6">
        <v>5</v>
      </c>
      <c r="I468" s="6">
        <v>1464.8</v>
      </c>
      <c r="J468" s="6">
        <v>432</v>
      </c>
      <c r="K468" s="6">
        <v>126558.72</v>
      </c>
      <c r="L468" s="6"/>
      <c r="M468" s="6"/>
      <c r="N468" s="6">
        <f t="shared" si="43"/>
        <v>437</v>
      </c>
      <c r="O468" s="6">
        <f t="shared" si="44"/>
        <v>128023.51999999999</v>
      </c>
      <c r="P468" s="6">
        <v>28</v>
      </c>
      <c r="Q468" s="6">
        <v>8241</v>
      </c>
      <c r="R468" s="60"/>
      <c r="S468" s="60"/>
    </row>
    <row r="469" spans="1:19" s="1" customFormat="1" hidden="1" outlineLevel="1" x14ac:dyDescent="0.25">
      <c r="A469" s="7" t="s">
        <v>893</v>
      </c>
      <c r="B469" s="7" t="s">
        <v>894</v>
      </c>
      <c r="C469" s="14">
        <v>79</v>
      </c>
      <c r="D469" s="6">
        <v>1331.01</v>
      </c>
      <c r="E469" s="6">
        <v>100</v>
      </c>
      <c r="F469" s="6"/>
      <c r="G469" s="6"/>
      <c r="H469" s="6">
        <v>162</v>
      </c>
      <c r="I469" s="6">
        <v>12798</v>
      </c>
      <c r="J469" s="6">
        <v>771</v>
      </c>
      <c r="K469" s="6">
        <v>60909</v>
      </c>
      <c r="L469" s="6"/>
      <c r="M469" s="6"/>
      <c r="N469" s="6">
        <f t="shared" si="43"/>
        <v>933</v>
      </c>
      <c r="O469" s="6">
        <f t="shared" si="44"/>
        <v>73707</v>
      </c>
      <c r="P469" s="6">
        <v>100</v>
      </c>
      <c r="Q469" s="6">
        <v>9977</v>
      </c>
      <c r="R469" s="60">
        <f t="shared" si="49"/>
        <v>666.73331530191365</v>
      </c>
      <c r="S469" s="60">
        <f t="shared" si="50"/>
        <v>52671.931908851177</v>
      </c>
    </row>
    <row r="470" spans="1:19" s="1" customFormat="1" hidden="1" outlineLevel="1" x14ac:dyDescent="0.25">
      <c r="A470" s="7" t="s">
        <v>1083</v>
      </c>
      <c r="B470" s="7" t="s">
        <v>1084</v>
      </c>
      <c r="C470" s="14">
        <v>100.1</v>
      </c>
      <c r="D470" s="6">
        <v>211.83</v>
      </c>
      <c r="E470" s="6">
        <v>100</v>
      </c>
      <c r="F470" s="6"/>
      <c r="G470" s="6"/>
      <c r="H470" s="6"/>
      <c r="I470" s="6"/>
      <c r="J470" s="6">
        <v>1441</v>
      </c>
      <c r="K470" s="6">
        <v>144244.1</v>
      </c>
      <c r="L470" s="6"/>
      <c r="M470" s="6"/>
      <c r="N470" s="6">
        <f t="shared" si="43"/>
        <v>1441</v>
      </c>
      <c r="O470" s="6">
        <f t="shared" si="44"/>
        <v>144244.1</v>
      </c>
      <c r="P470" s="6">
        <v>236</v>
      </c>
      <c r="Q470" s="6">
        <v>28539</v>
      </c>
      <c r="R470" s="60">
        <f t="shared" si="49"/>
        <v>216.52754567341745</v>
      </c>
      <c r="S470" s="60">
        <f t="shared" si="50"/>
        <v>21674.407321909086</v>
      </c>
    </row>
    <row r="471" spans="1:19" s="1" customFormat="1" hidden="1" outlineLevel="1" x14ac:dyDescent="0.25">
      <c r="A471" s="7" t="s">
        <v>580</v>
      </c>
      <c r="B471" s="7" t="s">
        <v>581</v>
      </c>
      <c r="C471" s="14">
        <v>286.88</v>
      </c>
      <c r="D471" s="6">
        <v>13.45</v>
      </c>
      <c r="E471" s="6">
        <v>100</v>
      </c>
      <c r="F471" s="6">
        <v>7</v>
      </c>
      <c r="G471" s="6">
        <v>2008.16</v>
      </c>
      <c r="H471" s="6">
        <v>1</v>
      </c>
      <c r="I471" s="6">
        <v>286.88</v>
      </c>
      <c r="J471" s="6">
        <v>23</v>
      </c>
      <c r="K471" s="6">
        <v>6598.24</v>
      </c>
      <c r="L471" s="6"/>
      <c r="M471" s="6"/>
      <c r="N471" s="6">
        <f t="shared" si="43"/>
        <v>31</v>
      </c>
      <c r="O471" s="6">
        <f t="shared" si="44"/>
        <v>8893.2800000000007</v>
      </c>
      <c r="P471" s="6">
        <v>24</v>
      </c>
      <c r="Q471" s="6">
        <v>6796</v>
      </c>
      <c r="R471" s="60"/>
      <c r="S471" s="60"/>
    </row>
    <row r="472" spans="1:19" s="1" customFormat="1" hidden="1" outlineLevel="1" x14ac:dyDescent="0.25">
      <c r="A472" s="7" t="s">
        <v>1183</v>
      </c>
      <c r="B472" s="7" t="s">
        <v>1184</v>
      </c>
      <c r="C472" s="14">
        <v>153.4</v>
      </c>
      <c r="D472" s="6">
        <v>856.97</v>
      </c>
      <c r="E472" s="6">
        <v>100</v>
      </c>
      <c r="F472" s="6"/>
      <c r="G472" s="6"/>
      <c r="H472" s="6"/>
      <c r="I472" s="6"/>
      <c r="J472" s="6">
        <v>1722</v>
      </c>
      <c r="K472" s="6">
        <v>264154.8</v>
      </c>
      <c r="L472" s="6"/>
      <c r="M472" s="6"/>
      <c r="N472" s="6">
        <f t="shared" si="43"/>
        <v>1722</v>
      </c>
      <c r="O472" s="6">
        <f t="shared" si="44"/>
        <v>264154.8</v>
      </c>
      <c r="P472" s="6">
        <v>33</v>
      </c>
      <c r="Q472" s="6">
        <v>5377</v>
      </c>
      <c r="R472" s="60">
        <f t="shared" si="49"/>
        <v>1360.3070585901492</v>
      </c>
      <c r="S472" s="60">
        <f t="shared" si="50"/>
        <v>208671.10278772889</v>
      </c>
    </row>
    <row r="473" spans="1:19" s="1" customFormat="1" hidden="1" outlineLevel="1" x14ac:dyDescent="0.25">
      <c r="A473" s="7" t="s">
        <v>895</v>
      </c>
      <c r="B473" s="7" t="s">
        <v>896</v>
      </c>
      <c r="C473" s="14">
        <v>115</v>
      </c>
      <c r="D473" s="6">
        <v>12.96</v>
      </c>
      <c r="E473" s="6">
        <v>100</v>
      </c>
      <c r="F473" s="6"/>
      <c r="G473" s="6"/>
      <c r="H473" s="6">
        <v>198</v>
      </c>
      <c r="I473" s="6">
        <v>22770</v>
      </c>
      <c r="J473" s="6">
        <v>0</v>
      </c>
      <c r="K473" s="6">
        <v>0</v>
      </c>
      <c r="L473" s="6"/>
      <c r="M473" s="6"/>
      <c r="N473" s="6">
        <f t="shared" si="43"/>
        <v>198</v>
      </c>
      <c r="O473" s="6">
        <f t="shared" si="44"/>
        <v>22770</v>
      </c>
      <c r="P473" s="6">
        <v>97</v>
      </c>
      <c r="Q473" s="6">
        <v>13751</v>
      </c>
      <c r="R473" s="60"/>
      <c r="S473" s="60"/>
    </row>
    <row r="474" spans="1:19" s="1" customFormat="1" hidden="1" outlineLevel="1" x14ac:dyDescent="0.25">
      <c r="A474" s="7" t="s">
        <v>480</v>
      </c>
      <c r="B474" s="7" t="s">
        <v>481</v>
      </c>
      <c r="C474" s="14">
        <v>105</v>
      </c>
      <c r="D474" s="6">
        <v>45.78</v>
      </c>
      <c r="E474" s="6">
        <v>88.17</v>
      </c>
      <c r="F474" s="6"/>
      <c r="G474" s="6"/>
      <c r="H474" s="6">
        <v>2</v>
      </c>
      <c r="I474" s="6">
        <v>210</v>
      </c>
      <c r="J474" s="6">
        <v>803</v>
      </c>
      <c r="K474" s="6">
        <v>84315</v>
      </c>
      <c r="L474" s="6"/>
      <c r="M474" s="6"/>
      <c r="N474" s="6">
        <f t="shared" ref="N474:N537" si="51">IF(J474+L474+H474+F474&lt;=0,"",J474+L474+H474+F474)</f>
        <v>805</v>
      </c>
      <c r="O474" s="6">
        <f t="shared" ref="O474:O537" si="52">IFERROR(C474*N474,"")</f>
        <v>84525</v>
      </c>
      <c r="P474" s="6">
        <v>41</v>
      </c>
      <c r="Q474" s="6">
        <v>4430</v>
      </c>
      <c r="R474" s="60"/>
      <c r="S474" s="60"/>
    </row>
    <row r="475" spans="1:19" s="1" customFormat="1" hidden="1" outlineLevel="1" x14ac:dyDescent="0.25">
      <c r="A475" s="7" t="s">
        <v>1089</v>
      </c>
      <c r="B475" s="7" t="s">
        <v>1090</v>
      </c>
      <c r="C475" s="14">
        <v>138.76</v>
      </c>
      <c r="D475" s="6">
        <v>530.14</v>
      </c>
      <c r="E475" s="6">
        <v>100</v>
      </c>
      <c r="F475" s="6">
        <v>3</v>
      </c>
      <c r="G475" s="6">
        <v>416.28</v>
      </c>
      <c r="H475" s="6">
        <v>270</v>
      </c>
      <c r="I475" s="6">
        <v>37465.199999999997</v>
      </c>
      <c r="J475" s="6">
        <v>856</v>
      </c>
      <c r="K475" s="6">
        <v>118778.56</v>
      </c>
      <c r="L475" s="6"/>
      <c r="M475" s="6"/>
      <c r="N475" s="6">
        <f t="shared" si="51"/>
        <v>1129</v>
      </c>
      <c r="O475" s="6">
        <f t="shared" si="52"/>
        <v>156660.03999999998</v>
      </c>
      <c r="P475" s="6">
        <v>102</v>
      </c>
      <c r="Q475" s="6">
        <v>16879</v>
      </c>
      <c r="R475" s="60">
        <f t="shared" si="49"/>
        <v>565.35979175312184</v>
      </c>
      <c r="S475" s="60">
        <f t="shared" si="50"/>
        <v>78449.32470366318</v>
      </c>
    </row>
    <row r="476" spans="1:19" s="1" customFormat="1" hidden="1" outlineLevel="1" x14ac:dyDescent="0.25">
      <c r="A476" s="7" t="s">
        <v>41</v>
      </c>
      <c r="B476" s="7" t="s">
        <v>42</v>
      </c>
      <c r="C476" s="14">
        <v>54.93</v>
      </c>
      <c r="D476" s="6">
        <v>79.59</v>
      </c>
      <c r="E476" s="6">
        <v>100</v>
      </c>
      <c r="F476" s="6"/>
      <c r="G476" s="6"/>
      <c r="H476" s="6">
        <v>530</v>
      </c>
      <c r="I476" s="6">
        <v>29112.9</v>
      </c>
      <c r="J476" s="6">
        <v>1467</v>
      </c>
      <c r="K476" s="6">
        <v>80582.31</v>
      </c>
      <c r="L476" s="6"/>
      <c r="M476" s="6"/>
      <c r="N476" s="6">
        <f t="shared" si="51"/>
        <v>1997</v>
      </c>
      <c r="O476" s="6">
        <f t="shared" si="52"/>
        <v>109695.21</v>
      </c>
      <c r="P476" s="6">
        <v>876</v>
      </c>
      <c r="Q476" s="6">
        <v>55348</v>
      </c>
      <c r="R476" s="60"/>
      <c r="S476" s="60"/>
    </row>
    <row r="477" spans="1:19" s="1" customFormat="1" hidden="1" outlineLevel="1" x14ac:dyDescent="0.25">
      <c r="A477" s="7" t="s">
        <v>1059</v>
      </c>
      <c r="B477" s="7" t="s">
        <v>1060</v>
      </c>
      <c r="C477" s="14">
        <v>49</v>
      </c>
      <c r="D477" s="6">
        <v>175.59</v>
      </c>
      <c r="E477" s="6">
        <v>100</v>
      </c>
      <c r="F477" s="6">
        <v>2</v>
      </c>
      <c r="G477" s="6">
        <v>98</v>
      </c>
      <c r="H477" s="6"/>
      <c r="I477" s="6"/>
      <c r="J477" s="6">
        <v>1666</v>
      </c>
      <c r="K477" s="6">
        <v>81634</v>
      </c>
      <c r="L477" s="6"/>
      <c r="M477" s="6"/>
      <c r="N477" s="6">
        <f t="shared" si="51"/>
        <v>1668</v>
      </c>
      <c r="O477" s="6">
        <f t="shared" si="52"/>
        <v>81732</v>
      </c>
      <c r="P477" s="6">
        <v>167</v>
      </c>
      <c r="Q477" s="6">
        <v>8612</v>
      </c>
      <c r="R477" s="60"/>
      <c r="S477" s="60"/>
    </row>
    <row r="478" spans="1:19" s="1" customFormat="1" hidden="1" outlineLevel="1" x14ac:dyDescent="0.25">
      <c r="A478" s="7" t="s">
        <v>574</v>
      </c>
      <c r="B478" s="7" t="s">
        <v>575</v>
      </c>
      <c r="C478" s="14">
        <v>131.18</v>
      </c>
      <c r="D478" s="6">
        <v>536.76</v>
      </c>
      <c r="E478" s="6">
        <v>100</v>
      </c>
      <c r="F478" s="6"/>
      <c r="G478" s="6"/>
      <c r="H478" s="6">
        <v>5</v>
      </c>
      <c r="I478" s="6">
        <v>655.9</v>
      </c>
      <c r="J478" s="6">
        <v>679</v>
      </c>
      <c r="K478" s="6">
        <v>89071.22</v>
      </c>
      <c r="L478" s="6"/>
      <c r="M478" s="6"/>
      <c r="N478" s="6">
        <f t="shared" si="51"/>
        <v>684</v>
      </c>
      <c r="O478" s="6">
        <f t="shared" si="52"/>
        <v>89727.12000000001</v>
      </c>
      <c r="P478" s="6">
        <v>12</v>
      </c>
      <c r="Q478" s="6">
        <v>1572</v>
      </c>
      <c r="R478" s="60">
        <f t="shared" si="49"/>
        <v>451.30046948356807</v>
      </c>
      <c r="S478" s="60">
        <f t="shared" si="50"/>
        <v>59201.595586854462</v>
      </c>
    </row>
    <row r="479" spans="1:19" s="1" customFormat="1" hidden="1" outlineLevel="1" x14ac:dyDescent="0.25">
      <c r="A479" s="7" t="s">
        <v>790</v>
      </c>
      <c r="B479" s="7" t="s">
        <v>791</v>
      </c>
      <c r="C479" s="14">
        <v>755.95</v>
      </c>
      <c r="D479" s="6"/>
      <c r="E479" s="6">
        <v>100</v>
      </c>
      <c r="F479" s="6"/>
      <c r="G479" s="6"/>
      <c r="H479" s="6"/>
      <c r="I479" s="6"/>
      <c r="J479" s="6">
        <v>336</v>
      </c>
      <c r="K479" s="6">
        <v>253999.2</v>
      </c>
      <c r="L479" s="6"/>
      <c r="M479" s="6"/>
      <c r="N479" s="6">
        <f t="shared" si="51"/>
        <v>336</v>
      </c>
      <c r="O479" s="6">
        <f t="shared" si="52"/>
        <v>253999.2</v>
      </c>
      <c r="P479" s="6">
        <v>35</v>
      </c>
      <c r="Q479" s="6">
        <v>33073</v>
      </c>
      <c r="R479" s="60"/>
      <c r="S479" s="60"/>
    </row>
    <row r="480" spans="1:19" s="1" customFormat="1" hidden="1" outlineLevel="1" x14ac:dyDescent="0.25">
      <c r="A480" s="7" t="s">
        <v>897</v>
      </c>
      <c r="B480" s="7" t="s">
        <v>898</v>
      </c>
      <c r="C480" s="14">
        <v>135</v>
      </c>
      <c r="D480" s="6">
        <v>107.69</v>
      </c>
      <c r="E480" s="6">
        <v>100</v>
      </c>
      <c r="F480" s="6">
        <v>1</v>
      </c>
      <c r="G480" s="6">
        <v>135</v>
      </c>
      <c r="H480" s="6"/>
      <c r="I480" s="6"/>
      <c r="J480" s="6">
        <v>317</v>
      </c>
      <c r="K480" s="6">
        <v>42795</v>
      </c>
      <c r="L480" s="6"/>
      <c r="M480" s="6"/>
      <c r="N480" s="6">
        <f t="shared" si="51"/>
        <v>318</v>
      </c>
      <c r="O480" s="6">
        <f t="shared" si="52"/>
        <v>42930</v>
      </c>
      <c r="P480" s="6">
        <v>87</v>
      </c>
      <c r="Q480" s="6">
        <v>14102</v>
      </c>
      <c r="R480" s="60"/>
      <c r="S480" s="60"/>
    </row>
    <row r="481" spans="1:19" s="1" customFormat="1" hidden="1" outlineLevel="1" x14ac:dyDescent="0.25">
      <c r="A481" s="7" t="s">
        <v>1283</v>
      </c>
      <c r="B481" s="7" t="s">
        <v>1284</v>
      </c>
      <c r="C481" s="14">
        <v>65.680000000000007</v>
      </c>
      <c r="D481" s="6">
        <v>103.79</v>
      </c>
      <c r="E481" s="6">
        <v>100</v>
      </c>
      <c r="F481" s="6"/>
      <c r="G481" s="6"/>
      <c r="H481" s="6">
        <v>5</v>
      </c>
      <c r="I481" s="6">
        <v>328.4</v>
      </c>
      <c r="J481" s="6">
        <v>1138</v>
      </c>
      <c r="K481" s="6">
        <v>74743.839999999997</v>
      </c>
      <c r="L481" s="6"/>
      <c r="M481" s="6"/>
      <c r="N481" s="6">
        <f t="shared" si="51"/>
        <v>1143</v>
      </c>
      <c r="O481" s="6">
        <f t="shared" si="52"/>
        <v>75072.240000000005</v>
      </c>
      <c r="P481" s="6">
        <v>147</v>
      </c>
      <c r="Q481" s="6">
        <v>10350</v>
      </c>
      <c r="R481" s="60"/>
      <c r="S481" s="60"/>
    </row>
    <row r="482" spans="1:19" s="1" customFormat="1" hidden="1" outlineLevel="1" x14ac:dyDescent="0.25">
      <c r="A482" s="7" t="s">
        <v>997</v>
      </c>
      <c r="B482" s="7" t="s">
        <v>998</v>
      </c>
      <c r="C482" s="14">
        <v>120.5</v>
      </c>
      <c r="D482" s="6">
        <v>495.68</v>
      </c>
      <c r="E482" s="6">
        <v>100</v>
      </c>
      <c r="F482" s="6">
        <v>15</v>
      </c>
      <c r="G482" s="6">
        <v>1807.5</v>
      </c>
      <c r="H482" s="6">
        <v>1</v>
      </c>
      <c r="I482" s="6">
        <v>120.5</v>
      </c>
      <c r="J482" s="6">
        <v>417</v>
      </c>
      <c r="K482" s="6">
        <v>50248.5</v>
      </c>
      <c r="L482" s="6"/>
      <c r="M482" s="6"/>
      <c r="N482" s="6">
        <f t="shared" si="51"/>
        <v>433</v>
      </c>
      <c r="O482" s="6">
        <f t="shared" si="52"/>
        <v>52176.5</v>
      </c>
      <c r="P482" s="6">
        <v>9</v>
      </c>
      <c r="Q482" s="6">
        <v>1128</v>
      </c>
      <c r="R482" s="60">
        <f t="shared" ref="R482:R541" si="53">J482/D482*(D482-180)</f>
        <v>265.57165913492577</v>
      </c>
      <c r="S482" s="60">
        <f t="shared" ref="S482:S541" si="54">R482*C482</f>
        <v>32001.384925758553</v>
      </c>
    </row>
    <row r="483" spans="1:19" s="1" customFormat="1" hidden="1" outlineLevel="1" x14ac:dyDescent="0.25">
      <c r="A483" s="7" t="s">
        <v>215</v>
      </c>
      <c r="B483" s="7" t="s">
        <v>216</v>
      </c>
      <c r="C483" s="14">
        <v>315.32</v>
      </c>
      <c r="D483" s="6">
        <v>1475.47</v>
      </c>
      <c r="E483" s="6">
        <v>100</v>
      </c>
      <c r="F483" s="6"/>
      <c r="G483" s="6"/>
      <c r="H483" s="6">
        <v>77</v>
      </c>
      <c r="I483" s="6">
        <v>24279.64</v>
      </c>
      <c r="J483" s="6">
        <v>518</v>
      </c>
      <c r="K483" s="6">
        <v>163335.76</v>
      </c>
      <c r="L483" s="6"/>
      <c r="M483" s="6"/>
      <c r="N483" s="6">
        <f t="shared" si="51"/>
        <v>595</v>
      </c>
      <c r="O483" s="6">
        <f t="shared" si="52"/>
        <v>187615.4</v>
      </c>
      <c r="P483" s="6">
        <v>33</v>
      </c>
      <c r="Q483" s="6">
        <v>13138</v>
      </c>
      <c r="R483" s="60">
        <f t="shared" si="53"/>
        <v>454.80657688736471</v>
      </c>
      <c r="S483" s="60">
        <f t="shared" si="54"/>
        <v>143409.60982412385</v>
      </c>
    </row>
    <row r="484" spans="1:19" s="1" customFormat="1" hidden="1" outlineLevel="1" x14ac:dyDescent="0.25">
      <c r="A484" s="7" t="s">
        <v>1045</v>
      </c>
      <c r="B484" s="7" t="s">
        <v>1046</v>
      </c>
      <c r="C484" s="14">
        <v>198.46</v>
      </c>
      <c r="D484" s="6">
        <v>355.38</v>
      </c>
      <c r="E484" s="6">
        <v>100</v>
      </c>
      <c r="F484" s="6"/>
      <c r="G484" s="6"/>
      <c r="H484" s="6">
        <v>200</v>
      </c>
      <c r="I484" s="6">
        <v>39692</v>
      </c>
      <c r="J484" s="6">
        <v>951</v>
      </c>
      <c r="K484" s="6">
        <v>188735.46</v>
      </c>
      <c r="L484" s="6"/>
      <c r="M484" s="6"/>
      <c r="N484" s="6">
        <f t="shared" si="51"/>
        <v>1151</v>
      </c>
      <c r="O484" s="6">
        <f t="shared" si="52"/>
        <v>228427.46000000002</v>
      </c>
      <c r="P484" s="6">
        <v>40</v>
      </c>
      <c r="Q484" s="6">
        <v>8539</v>
      </c>
      <c r="R484" s="60">
        <f t="shared" si="53"/>
        <v>469.3184197197366</v>
      </c>
      <c r="S484" s="60">
        <f t="shared" si="54"/>
        <v>93140.933577578922</v>
      </c>
    </row>
    <row r="485" spans="1:19" s="1" customFormat="1" hidden="1" outlineLevel="1" x14ac:dyDescent="0.25">
      <c r="A485" s="7" t="s">
        <v>762</v>
      </c>
      <c r="B485" s="7" t="s">
        <v>763</v>
      </c>
      <c r="C485" s="14">
        <v>48.4</v>
      </c>
      <c r="D485" s="6">
        <v>55.38</v>
      </c>
      <c r="E485" s="6">
        <v>100</v>
      </c>
      <c r="F485" s="6">
        <v>2</v>
      </c>
      <c r="G485" s="6">
        <v>96.8</v>
      </c>
      <c r="H485" s="6">
        <v>146</v>
      </c>
      <c r="I485" s="6">
        <v>7066.4</v>
      </c>
      <c r="J485" s="6">
        <v>331</v>
      </c>
      <c r="K485" s="6">
        <v>16020.4</v>
      </c>
      <c r="L485" s="6"/>
      <c r="M485" s="6"/>
      <c r="N485" s="6">
        <f t="shared" si="51"/>
        <v>479</v>
      </c>
      <c r="O485" s="6">
        <f t="shared" si="52"/>
        <v>23183.599999999999</v>
      </c>
      <c r="P485" s="6">
        <v>231</v>
      </c>
      <c r="Q485" s="6">
        <v>11768</v>
      </c>
      <c r="R485" s="60"/>
      <c r="S485" s="60"/>
    </row>
    <row r="486" spans="1:19" s="1" customFormat="1" hidden="1" outlineLevel="1" x14ac:dyDescent="0.25">
      <c r="A486" s="7" t="s">
        <v>588</v>
      </c>
      <c r="B486" s="7" t="s">
        <v>589</v>
      </c>
      <c r="C486" s="14">
        <v>622.19000000000005</v>
      </c>
      <c r="D486" s="6">
        <v>97.79</v>
      </c>
      <c r="E486" s="6">
        <v>100</v>
      </c>
      <c r="F486" s="6"/>
      <c r="G486" s="6"/>
      <c r="H486" s="6"/>
      <c r="I486" s="6"/>
      <c r="J486" s="6">
        <v>40</v>
      </c>
      <c r="K486" s="6">
        <v>24887.599999999999</v>
      </c>
      <c r="L486" s="6"/>
      <c r="M486" s="6"/>
      <c r="N486" s="6">
        <f t="shared" si="51"/>
        <v>40</v>
      </c>
      <c r="O486" s="6">
        <f t="shared" si="52"/>
        <v>24887.600000000002</v>
      </c>
      <c r="P486" s="6">
        <v>5</v>
      </c>
      <c r="Q486" s="6">
        <v>2852</v>
      </c>
      <c r="R486" s="60"/>
      <c r="S486" s="60"/>
    </row>
    <row r="487" spans="1:19" s="1" customFormat="1" hidden="1" outlineLevel="1" x14ac:dyDescent="0.25">
      <c r="A487" s="7" t="s">
        <v>963</v>
      </c>
      <c r="B487" s="7" t="s">
        <v>964</v>
      </c>
      <c r="C487" s="14">
        <v>107.15</v>
      </c>
      <c r="D487" s="6">
        <v>74.14</v>
      </c>
      <c r="E487" s="6">
        <v>100</v>
      </c>
      <c r="F487" s="6"/>
      <c r="G487" s="6"/>
      <c r="H487" s="6">
        <v>3</v>
      </c>
      <c r="I487" s="6">
        <v>321.45</v>
      </c>
      <c r="J487" s="6">
        <v>389</v>
      </c>
      <c r="K487" s="6">
        <v>41681.35</v>
      </c>
      <c r="L487" s="6"/>
      <c r="M487" s="6"/>
      <c r="N487" s="6">
        <f t="shared" si="51"/>
        <v>392</v>
      </c>
      <c r="O487" s="6">
        <f t="shared" si="52"/>
        <v>42002.8</v>
      </c>
      <c r="P487" s="6">
        <v>35</v>
      </c>
      <c r="Q487" s="6">
        <v>3689</v>
      </c>
      <c r="R487" s="60"/>
      <c r="S487" s="60"/>
    </row>
    <row r="488" spans="1:19" s="1" customFormat="1" hidden="1" outlineLevel="1" x14ac:dyDescent="0.25">
      <c r="A488" s="7" t="s">
        <v>1053</v>
      </c>
      <c r="B488" s="7" t="s">
        <v>1054</v>
      </c>
      <c r="C488" s="14">
        <v>573.26</v>
      </c>
      <c r="D488" s="6"/>
      <c r="E488" s="6">
        <v>100</v>
      </c>
      <c r="F488" s="6"/>
      <c r="G488" s="6"/>
      <c r="H488" s="6"/>
      <c r="I488" s="6"/>
      <c r="J488" s="6">
        <v>39</v>
      </c>
      <c r="K488" s="6">
        <v>22357.14</v>
      </c>
      <c r="L488" s="6"/>
      <c r="M488" s="6"/>
      <c r="N488" s="6">
        <f t="shared" si="51"/>
        <v>39</v>
      </c>
      <c r="O488" s="6">
        <f t="shared" si="52"/>
        <v>22357.14</v>
      </c>
      <c r="P488" s="6"/>
      <c r="Q488" s="6"/>
      <c r="R488" s="60"/>
      <c r="S488" s="60"/>
    </row>
    <row r="489" spans="1:19" s="1" customFormat="1" hidden="1" outlineLevel="1" x14ac:dyDescent="0.25">
      <c r="A489" s="7" t="s">
        <v>650</v>
      </c>
      <c r="B489" s="7" t="s">
        <v>651</v>
      </c>
      <c r="C489" s="14">
        <v>561.79999999999995</v>
      </c>
      <c r="D489" s="6">
        <v>69.599999999999994</v>
      </c>
      <c r="E489" s="6">
        <v>100</v>
      </c>
      <c r="F489" s="6"/>
      <c r="G489" s="6"/>
      <c r="H489" s="6"/>
      <c r="I489" s="6"/>
      <c r="J489" s="6">
        <v>38</v>
      </c>
      <c r="K489" s="6">
        <v>21348.400000000001</v>
      </c>
      <c r="L489" s="6"/>
      <c r="M489" s="6"/>
      <c r="N489" s="6">
        <f t="shared" si="51"/>
        <v>38</v>
      </c>
      <c r="O489" s="6">
        <f t="shared" si="52"/>
        <v>21348.399999999998</v>
      </c>
      <c r="P489" s="6">
        <v>5</v>
      </c>
      <c r="Q489" s="6">
        <v>2603</v>
      </c>
      <c r="R489" s="60"/>
      <c r="S489" s="60"/>
    </row>
    <row r="490" spans="1:19" s="1" customFormat="1" hidden="1" outlineLevel="1" x14ac:dyDescent="0.25">
      <c r="A490" s="7" t="s">
        <v>660</v>
      </c>
      <c r="B490" s="7" t="s">
        <v>661</v>
      </c>
      <c r="C490" s="14">
        <v>556.05999999999995</v>
      </c>
      <c r="D490" s="6">
        <v>556.5</v>
      </c>
      <c r="E490" s="6">
        <v>100</v>
      </c>
      <c r="F490" s="6"/>
      <c r="G490" s="6"/>
      <c r="H490" s="6">
        <v>2</v>
      </c>
      <c r="I490" s="6">
        <v>1112.1199999999999</v>
      </c>
      <c r="J490" s="6">
        <v>33</v>
      </c>
      <c r="K490" s="6">
        <v>18349.98</v>
      </c>
      <c r="L490" s="6"/>
      <c r="M490" s="6"/>
      <c r="N490" s="6">
        <f t="shared" si="51"/>
        <v>35</v>
      </c>
      <c r="O490" s="6">
        <f t="shared" si="52"/>
        <v>19462.099999999999</v>
      </c>
      <c r="P490" s="6">
        <v>1</v>
      </c>
      <c r="Q490" s="6">
        <v>379</v>
      </c>
      <c r="R490" s="60">
        <f t="shared" si="53"/>
        <v>22.326145552560646</v>
      </c>
      <c r="S490" s="60">
        <f t="shared" si="54"/>
        <v>12414.676495956872</v>
      </c>
    </row>
    <row r="491" spans="1:19" s="1" customFormat="1" hidden="1" outlineLevel="1" x14ac:dyDescent="0.25">
      <c r="A491" s="7" t="s">
        <v>414</v>
      </c>
      <c r="B491" s="7" t="s">
        <v>415</v>
      </c>
      <c r="C491" s="14">
        <v>58.52</v>
      </c>
      <c r="D491" s="6">
        <v>150.61000000000001</v>
      </c>
      <c r="E491" s="6">
        <v>61.29</v>
      </c>
      <c r="F491" s="6"/>
      <c r="G491" s="6"/>
      <c r="H491" s="6"/>
      <c r="I491" s="6"/>
      <c r="J491" s="6">
        <v>1067</v>
      </c>
      <c r="K491" s="6">
        <v>62440.84</v>
      </c>
      <c r="L491" s="6"/>
      <c r="M491" s="6"/>
      <c r="N491" s="6">
        <f t="shared" si="51"/>
        <v>1067</v>
      </c>
      <c r="O491" s="6">
        <f t="shared" si="52"/>
        <v>62440.840000000004</v>
      </c>
      <c r="P491" s="6">
        <v>60</v>
      </c>
      <c r="Q491" s="6">
        <v>3605</v>
      </c>
      <c r="R491" s="60"/>
      <c r="S491" s="60"/>
    </row>
    <row r="492" spans="1:19" s="1" customFormat="1" hidden="1" outlineLevel="1" x14ac:dyDescent="0.25">
      <c r="A492" s="7" t="s">
        <v>494</v>
      </c>
      <c r="B492" s="7" t="s">
        <v>495</v>
      </c>
      <c r="C492" s="14">
        <v>106.17</v>
      </c>
      <c r="D492" s="6">
        <v>64.989999999999995</v>
      </c>
      <c r="E492" s="6">
        <v>100</v>
      </c>
      <c r="F492" s="6"/>
      <c r="G492" s="6"/>
      <c r="H492" s="6"/>
      <c r="I492" s="6"/>
      <c r="J492" s="6">
        <v>269</v>
      </c>
      <c r="K492" s="6">
        <v>28559.73</v>
      </c>
      <c r="L492" s="6"/>
      <c r="M492" s="6"/>
      <c r="N492" s="6">
        <f t="shared" si="51"/>
        <v>269</v>
      </c>
      <c r="O492" s="6">
        <f t="shared" si="52"/>
        <v>28559.73</v>
      </c>
      <c r="P492" s="6">
        <v>89</v>
      </c>
      <c r="Q492" s="6">
        <v>10877</v>
      </c>
      <c r="R492" s="60"/>
      <c r="S492" s="60"/>
    </row>
    <row r="493" spans="1:19" s="1" customFormat="1" hidden="1" outlineLevel="1" x14ac:dyDescent="0.25">
      <c r="A493" s="7" t="s">
        <v>1087</v>
      </c>
      <c r="B493" s="7" t="s">
        <v>1088</v>
      </c>
      <c r="C493" s="14">
        <v>88.23</v>
      </c>
      <c r="D493" s="6">
        <v>111.38</v>
      </c>
      <c r="E493" s="6">
        <v>100</v>
      </c>
      <c r="F493" s="6">
        <v>146</v>
      </c>
      <c r="G493" s="6">
        <v>12881.58</v>
      </c>
      <c r="H493" s="6"/>
      <c r="I493" s="6"/>
      <c r="J493" s="6">
        <v>729</v>
      </c>
      <c r="K493" s="6">
        <v>64319.67</v>
      </c>
      <c r="L493" s="6"/>
      <c r="M493" s="6"/>
      <c r="N493" s="6">
        <f t="shared" si="51"/>
        <v>875</v>
      </c>
      <c r="O493" s="6">
        <f t="shared" si="52"/>
        <v>77201.25</v>
      </c>
      <c r="P493" s="6">
        <v>69</v>
      </c>
      <c r="Q493" s="6">
        <v>7253</v>
      </c>
      <c r="R493" s="60"/>
      <c r="S493" s="60"/>
    </row>
    <row r="494" spans="1:19" s="1" customFormat="1" hidden="1" outlineLevel="1" x14ac:dyDescent="0.25">
      <c r="A494" s="7" t="s">
        <v>857</v>
      </c>
      <c r="B494" s="7" t="s">
        <v>858</v>
      </c>
      <c r="C494" s="14">
        <v>254.54</v>
      </c>
      <c r="D494" s="6">
        <v>31.36</v>
      </c>
      <c r="E494" s="6">
        <v>88.17</v>
      </c>
      <c r="F494" s="6">
        <v>5</v>
      </c>
      <c r="G494" s="6">
        <v>1272.7</v>
      </c>
      <c r="H494" s="6"/>
      <c r="I494" s="6"/>
      <c r="J494" s="6">
        <v>770</v>
      </c>
      <c r="K494" s="6">
        <v>195995.8</v>
      </c>
      <c r="L494" s="6"/>
      <c r="M494" s="6"/>
      <c r="N494" s="6">
        <f t="shared" si="51"/>
        <v>775</v>
      </c>
      <c r="O494" s="6">
        <f t="shared" si="52"/>
        <v>197268.5</v>
      </c>
      <c r="P494" s="6">
        <v>28</v>
      </c>
      <c r="Q494" s="6">
        <v>6962</v>
      </c>
      <c r="R494" s="60"/>
      <c r="S494" s="60"/>
    </row>
    <row r="495" spans="1:19" s="1" customFormat="1" hidden="1" outlineLevel="1" x14ac:dyDescent="0.25">
      <c r="A495" s="7" t="s">
        <v>442</v>
      </c>
      <c r="B495" s="7" t="s">
        <v>443</v>
      </c>
      <c r="C495" s="14">
        <v>77</v>
      </c>
      <c r="D495" s="6">
        <v>72.81</v>
      </c>
      <c r="E495" s="6">
        <v>61.29</v>
      </c>
      <c r="F495" s="6"/>
      <c r="G495" s="6"/>
      <c r="H495" s="6"/>
      <c r="I495" s="6"/>
      <c r="J495" s="6">
        <v>364</v>
      </c>
      <c r="K495" s="6">
        <v>28028</v>
      </c>
      <c r="L495" s="6"/>
      <c r="M495" s="6"/>
      <c r="N495" s="6">
        <f t="shared" si="51"/>
        <v>364</v>
      </c>
      <c r="O495" s="6">
        <f t="shared" si="52"/>
        <v>28028</v>
      </c>
      <c r="P495" s="6">
        <v>82</v>
      </c>
      <c r="Q495" s="6">
        <v>6017</v>
      </c>
      <c r="R495" s="60"/>
      <c r="S495" s="60"/>
    </row>
    <row r="496" spans="1:19" s="1" customFormat="1" hidden="1" outlineLevel="1" x14ac:dyDescent="0.25">
      <c r="A496" s="7" t="s">
        <v>823</v>
      </c>
      <c r="B496" s="7" t="s">
        <v>824</v>
      </c>
      <c r="C496" s="14">
        <v>34.119999999999997</v>
      </c>
      <c r="D496" s="6">
        <v>87.68</v>
      </c>
      <c r="E496" s="6">
        <v>100</v>
      </c>
      <c r="F496" s="6">
        <v>225</v>
      </c>
      <c r="G496" s="6">
        <v>7677</v>
      </c>
      <c r="H496" s="6">
        <v>53</v>
      </c>
      <c r="I496" s="6">
        <v>1808.36</v>
      </c>
      <c r="J496" s="6">
        <v>6037</v>
      </c>
      <c r="K496" s="6">
        <v>205982.44</v>
      </c>
      <c r="L496" s="6"/>
      <c r="M496" s="6"/>
      <c r="N496" s="6">
        <f t="shared" si="51"/>
        <v>6315</v>
      </c>
      <c r="O496" s="6">
        <f t="shared" si="52"/>
        <v>215467.8</v>
      </c>
      <c r="P496" s="6">
        <v>196</v>
      </c>
      <c r="Q496" s="6">
        <v>6665</v>
      </c>
      <c r="R496" s="60"/>
      <c r="S496" s="60"/>
    </row>
    <row r="497" spans="1:19" s="1" customFormat="1" hidden="1" outlineLevel="1" x14ac:dyDescent="0.25">
      <c r="A497" s="7" t="s">
        <v>1051</v>
      </c>
      <c r="B497" s="7" t="s">
        <v>1052</v>
      </c>
      <c r="C497" s="14">
        <v>704.5</v>
      </c>
      <c r="D497" s="6">
        <v>73.64</v>
      </c>
      <c r="E497" s="6">
        <v>99.07</v>
      </c>
      <c r="F497" s="6"/>
      <c r="G497" s="6"/>
      <c r="H497" s="6">
        <v>4</v>
      </c>
      <c r="I497" s="6">
        <v>2818</v>
      </c>
      <c r="J497" s="6">
        <v>165</v>
      </c>
      <c r="K497" s="6">
        <v>116242.5</v>
      </c>
      <c r="L497" s="6"/>
      <c r="M497" s="6"/>
      <c r="N497" s="6">
        <f t="shared" si="51"/>
        <v>169</v>
      </c>
      <c r="O497" s="6">
        <f t="shared" si="52"/>
        <v>119060.5</v>
      </c>
      <c r="P497" s="6">
        <v>15</v>
      </c>
      <c r="Q497" s="6">
        <v>9441</v>
      </c>
      <c r="R497" s="60"/>
      <c r="S497" s="60"/>
    </row>
    <row r="498" spans="1:19" s="1" customFormat="1" hidden="1" outlineLevel="1" x14ac:dyDescent="0.25">
      <c r="A498" s="7" t="s">
        <v>810</v>
      </c>
      <c r="B498" s="7" t="s">
        <v>811</v>
      </c>
      <c r="C498" s="14">
        <v>284.58999999999997</v>
      </c>
      <c r="D498" s="6">
        <v>490.96</v>
      </c>
      <c r="E498" s="6">
        <v>100</v>
      </c>
      <c r="F498" s="6">
        <v>7</v>
      </c>
      <c r="G498" s="6">
        <v>1992.13</v>
      </c>
      <c r="H498" s="6">
        <v>24</v>
      </c>
      <c r="I498" s="6">
        <v>6830.16</v>
      </c>
      <c r="J498" s="6">
        <v>366</v>
      </c>
      <c r="K498" s="6">
        <v>104159.94</v>
      </c>
      <c r="L498" s="6"/>
      <c r="M498" s="6"/>
      <c r="N498" s="6">
        <f t="shared" si="51"/>
        <v>397</v>
      </c>
      <c r="O498" s="6">
        <f t="shared" si="52"/>
        <v>112982.23</v>
      </c>
      <c r="P498" s="6">
        <v>32</v>
      </c>
      <c r="Q498" s="6">
        <v>10424</v>
      </c>
      <c r="R498" s="60">
        <f t="shared" si="53"/>
        <v>231.81391559393842</v>
      </c>
      <c r="S498" s="60">
        <f t="shared" si="54"/>
        <v>65971.922238878935</v>
      </c>
    </row>
    <row r="499" spans="1:19" s="1" customFormat="1" hidden="1" outlineLevel="1" x14ac:dyDescent="0.25">
      <c r="A499" s="7" t="s">
        <v>420</v>
      </c>
      <c r="B499" s="7" t="s">
        <v>421</v>
      </c>
      <c r="C499" s="14">
        <v>105.75</v>
      </c>
      <c r="D499" s="6">
        <v>33.65</v>
      </c>
      <c r="E499" s="6">
        <v>100</v>
      </c>
      <c r="F499" s="6"/>
      <c r="G499" s="6"/>
      <c r="H499" s="6"/>
      <c r="I499" s="6"/>
      <c r="J499" s="6">
        <v>100</v>
      </c>
      <c r="K499" s="6">
        <v>10575</v>
      </c>
      <c r="L499" s="6"/>
      <c r="M499" s="6"/>
      <c r="N499" s="6">
        <f t="shared" si="51"/>
        <v>100</v>
      </c>
      <c r="O499" s="6">
        <f t="shared" si="52"/>
        <v>10575</v>
      </c>
      <c r="P499" s="6">
        <v>104</v>
      </c>
      <c r="Q499" s="6">
        <v>10930</v>
      </c>
      <c r="R499" s="60"/>
      <c r="S499" s="60"/>
    </row>
    <row r="500" spans="1:19" s="1" customFormat="1" hidden="1" outlineLevel="1" x14ac:dyDescent="0.25">
      <c r="A500" s="7" t="s">
        <v>1031</v>
      </c>
      <c r="B500" s="7" t="s">
        <v>1032</v>
      </c>
      <c r="C500" s="14">
        <v>47.94</v>
      </c>
      <c r="D500" s="6">
        <v>2586.4899999999998</v>
      </c>
      <c r="E500" s="6">
        <v>100</v>
      </c>
      <c r="F500" s="6"/>
      <c r="G500" s="6"/>
      <c r="H500" s="6">
        <v>20</v>
      </c>
      <c r="I500" s="6">
        <v>958.8</v>
      </c>
      <c r="J500" s="6">
        <v>1295</v>
      </c>
      <c r="K500" s="6">
        <v>62082.3</v>
      </c>
      <c r="L500" s="6"/>
      <c r="M500" s="6"/>
      <c r="N500" s="6">
        <f t="shared" si="51"/>
        <v>1315</v>
      </c>
      <c r="O500" s="6">
        <f t="shared" si="52"/>
        <v>63041.1</v>
      </c>
      <c r="P500" s="6">
        <v>37</v>
      </c>
      <c r="Q500" s="6">
        <v>2154</v>
      </c>
      <c r="R500" s="60">
        <f t="shared" si="53"/>
        <v>1204.8778653696709</v>
      </c>
      <c r="S500" s="60">
        <f t="shared" si="54"/>
        <v>57761.844865822022</v>
      </c>
    </row>
    <row r="501" spans="1:19" s="1" customFormat="1" hidden="1" outlineLevel="1" x14ac:dyDescent="0.25">
      <c r="A501" s="7" t="s">
        <v>410</v>
      </c>
      <c r="B501" s="7" t="s">
        <v>411</v>
      </c>
      <c r="C501" s="14">
        <v>38.81</v>
      </c>
      <c r="D501" s="6">
        <v>73.92</v>
      </c>
      <c r="E501" s="6">
        <v>100</v>
      </c>
      <c r="F501" s="6"/>
      <c r="G501" s="6"/>
      <c r="H501" s="6">
        <v>40</v>
      </c>
      <c r="I501" s="6">
        <v>1552.4</v>
      </c>
      <c r="J501" s="6">
        <v>525</v>
      </c>
      <c r="K501" s="6">
        <v>20375.25</v>
      </c>
      <c r="L501" s="6"/>
      <c r="M501" s="6"/>
      <c r="N501" s="6">
        <f t="shared" si="51"/>
        <v>565</v>
      </c>
      <c r="O501" s="6">
        <f t="shared" si="52"/>
        <v>21927.65</v>
      </c>
      <c r="P501" s="6">
        <v>91</v>
      </c>
      <c r="Q501" s="6">
        <v>3377</v>
      </c>
      <c r="R501" s="60"/>
      <c r="S501" s="60"/>
    </row>
    <row r="502" spans="1:19" s="1" customFormat="1" hidden="1" outlineLevel="1" x14ac:dyDescent="0.25">
      <c r="A502" s="7" t="s">
        <v>436</v>
      </c>
      <c r="B502" s="7" t="s">
        <v>437</v>
      </c>
      <c r="C502" s="14">
        <v>38.81</v>
      </c>
      <c r="D502" s="6">
        <v>141</v>
      </c>
      <c r="E502" s="6">
        <v>100</v>
      </c>
      <c r="F502" s="6"/>
      <c r="G502" s="6"/>
      <c r="H502" s="6">
        <v>44</v>
      </c>
      <c r="I502" s="6">
        <v>1707.64</v>
      </c>
      <c r="J502" s="6">
        <v>600</v>
      </c>
      <c r="K502" s="6">
        <v>23286</v>
      </c>
      <c r="L502" s="6"/>
      <c r="M502" s="6"/>
      <c r="N502" s="6">
        <f t="shared" si="51"/>
        <v>644</v>
      </c>
      <c r="O502" s="6">
        <f t="shared" si="52"/>
        <v>24993.640000000003</v>
      </c>
      <c r="P502" s="6">
        <v>60</v>
      </c>
      <c r="Q502" s="6">
        <v>2287</v>
      </c>
      <c r="R502" s="60"/>
      <c r="S502" s="60"/>
    </row>
    <row r="503" spans="1:19" s="1" customFormat="1" hidden="1" outlineLevel="1" x14ac:dyDescent="0.25">
      <c r="A503" s="7" t="s">
        <v>684</v>
      </c>
      <c r="B503" s="7" t="s">
        <v>685</v>
      </c>
      <c r="C503" s="14">
        <v>755</v>
      </c>
      <c r="D503" s="6">
        <v>1276.53</v>
      </c>
      <c r="E503" s="6">
        <v>100</v>
      </c>
      <c r="F503" s="6"/>
      <c r="G503" s="6"/>
      <c r="H503" s="6"/>
      <c r="I503" s="6"/>
      <c r="J503" s="6">
        <v>172</v>
      </c>
      <c r="K503" s="6">
        <v>129860</v>
      </c>
      <c r="L503" s="6"/>
      <c r="M503" s="6"/>
      <c r="N503" s="6">
        <f t="shared" si="51"/>
        <v>172</v>
      </c>
      <c r="O503" s="6">
        <f t="shared" si="52"/>
        <v>129860</v>
      </c>
      <c r="P503" s="6">
        <v>35</v>
      </c>
      <c r="Q503" s="6">
        <v>43485</v>
      </c>
      <c r="R503" s="60">
        <f t="shared" si="53"/>
        <v>147.74675095767432</v>
      </c>
      <c r="S503" s="60">
        <f t="shared" si="54"/>
        <v>111548.79697304411</v>
      </c>
    </row>
    <row r="504" spans="1:19" s="1" customFormat="1" hidden="1" outlineLevel="1" x14ac:dyDescent="0.25">
      <c r="A504" s="7" t="s">
        <v>883</v>
      </c>
      <c r="B504" s="7" t="s">
        <v>884</v>
      </c>
      <c r="C504" s="14">
        <v>355</v>
      </c>
      <c r="D504" s="6">
        <v>136.77000000000001</v>
      </c>
      <c r="E504" s="6">
        <v>100</v>
      </c>
      <c r="F504" s="6">
        <v>2</v>
      </c>
      <c r="G504" s="6">
        <v>710</v>
      </c>
      <c r="H504" s="6"/>
      <c r="I504" s="6"/>
      <c r="J504" s="6">
        <v>209</v>
      </c>
      <c r="K504" s="6">
        <v>74195</v>
      </c>
      <c r="L504" s="6"/>
      <c r="M504" s="6"/>
      <c r="N504" s="6">
        <f t="shared" si="51"/>
        <v>211</v>
      </c>
      <c r="O504" s="6">
        <f t="shared" si="52"/>
        <v>74905</v>
      </c>
      <c r="P504" s="6">
        <v>29</v>
      </c>
      <c r="Q504" s="6">
        <v>11127</v>
      </c>
      <c r="R504" s="60"/>
      <c r="S504" s="60"/>
    </row>
    <row r="505" spans="1:19" s="1" customFormat="1" hidden="1" outlineLevel="1" x14ac:dyDescent="0.25">
      <c r="A505" s="7" t="s">
        <v>821</v>
      </c>
      <c r="B505" s="7" t="s">
        <v>822</v>
      </c>
      <c r="C505" s="14">
        <v>34.119999999999997</v>
      </c>
      <c r="D505" s="6">
        <v>92.38</v>
      </c>
      <c r="E505" s="6">
        <v>100</v>
      </c>
      <c r="F505" s="6">
        <v>55</v>
      </c>
      <c r="G505" s="6">
        <v>1876.6</v>
      </c>
      <c r="H505" s="6">
        <v>52</v>
      </c>
      <c r="I505" s="6">
        <v>1774.24</v>
      </c>
      <c r="J505" s="6">
        <v>6290</v>
      </c>
      <c r="K505" s="6">
        <v>214614.8</v>
      </c>
      <c r="L505" s="6"/>
      <c r="M505" s="6"/>
      <c r="N505" s="6">
        <f t="shared" si="51"/>
        <v>6397</v>
      </c>
      <c r="O505" s="6">
        <f t="shared" si="52"/>
        <v>218265.63999999998</v>
      </c>
      <c r="P505" s="6">
        <v>230</v>
      </c>
      <c r="Q505" s="6">
        <v>7857</v>
      </c>
      <c r="R505" s="60"/>
      <c r="S505" s="60"/>
    </row>
    <row r="506" spans="1:19" s="1" customFormat="1" hidden="1" outlineLevel="1" x14ac:dyDescent="0.25">
      <c r="A506" s="7" t="s">
        <v>562</v>
      </c>
      <c r="B506" s="7" t="s">
        <v>563</v>
      </c>
      <c r="C506" s="14">
        <v>47.04</v>
      </c>
      <c r="D506" s="6">
        <v>85</v>
      </c>
      <c r="E506" s="6">
        <v>81.72</v>
      </c>
      <c r="F506" s="6"/>
      <c r="G506" s="6"/>
      <c r="H506" s="6">
        <v>12</v>
      </c>
      <c r="I506" s="6">
        <v>564.48</v>
      </c>
      <c r="J506" s="6">
        <v>871</v>
      </c>
      <c r="K506" s="6">
        <v>40971.839999999997</v>
      </c>
      <c r="L506" s="6"/>
      <c r="M506" s="6"/>
      <c r="N506" s="6">
        <f t="shared" si="51"/>
        <v>883</v>
      </c>
      <c r="O506" s="6">
        <f t="shared" si="52"/>
        <v>41536.32</v>
      </c>
      <c r="P506" s="6">
        <v>77</v>
      </c>
      <c r="Q506" s="6">
        <v>3550</v>
      </c>
      <c r="R506" s="60"/>
      <c r="S506" s="60"/>
    </row>
    <row r="507" spans="1:19" s="1" customFormat="1" hidden="1" outlineLevel="1" x14ac:dyDescent="0.25">
      <c r="A507" s="7" t="s">
        <v>788</v>
      </c>
      <c r="B507" s="7" t="s">
        <v>789</v>
      </c>
      <c r="C507" s="14">
        <v>676.06</v>
      </c>
      <c r="D507" s="6">
        <v>9367</v>
      </c>
      <c r="E507" s="6">
        <v>100</v>
      </c>
      <c r="F507" s="6"/>
      <c r="G507" s="6"/>
      <c r="H507" s="6"/>
      <c r="I507" s="6"/>
      <c r="J507" s="6">
        <v>277</v>
      </c>
      <c r="K507" s="6">
        <v>187268.62</v>
      </c>
      <c r="L507" s="6"/>
      <c r="M507" s="6"/>
      <c r="N507" s="6">
        <f t="shared" si="51"/>
        <v>277</v>
      </c>
      <c r="O507" s="6">
        <f t="shared" si="52"/>
        <v>187268.62</v>
      </c>
      <c r="P507" s="6">
        <v>20</v>
      </c>
      <c r="Q507" s="6">
        <v>17245</v>
      </c>
      <c r="R507" s="60">
        <f t="shared" si="53"/>
        <v>271.67705775595175</v>
      </c>
      <c r="S507" s="60">
        <f t="shared" si="54"/>
        <v>183669.99166648873</v>
      </c>
    </row>
    <row r="508" spans="1:19" s="1" customFormat="1" hidden="1" outlineLevel="1" x14ac:dyDescent="0.25">
      <c r="A508" s="7" t="s">
        <v>1269</v>
      </c>
      <c r="B508" s="7" t="s">
        <v>1270</v>
      </c>
      <c r="C508" s="14">
        <v>33.21</v>
      </c>
      <c r="D508" s="6">
        <v>1268.06</v>
      </c>
      <c r="E508" s="6">
        <v>100</v>
      </c>
      <c r="F508" s="6"/>
      <c r="G508" s="6"/>
      <c r="H508" s="6">
        <v>6</v>
      </c>
      <c r="I508" s="6">
        <v>199.26</v>
      </c>
      <c r="J508" s="6">
        <v>535</v>
      </c>
      <c r="K508" s="6">
        <v>17767.349999999999</v>
      </c>
      <c r="L508" s="6"/>
      <c r="M508" s="6"/>
      <c r="N508" s="6">
        <f t="shared" si="51"/>
        <v>541</v>
      </c>
      <c r="O508" s="6">
        <f t="shared" si="52"/>
        <v>17966.61</v>
      </c>
      <c r="P508" s="6">
        <v>116</v>
      </c>
      <c r="Q508" s="6">
        <v>4773</v>
      </c>
      <c r="R508" s="60">
        <f t="shared" si="53"/>
        <v>459.05722126713243</v>
      </c>
      <c r="S508" s="60">
        <f t="shared" si="54"/>
        <v>15245.290318281468</v>
      </c>
    </row>
    <row r="509" spans="1:19" s="1" customFormat="1" hidden="1" outlineLevel="1" x14ac:dyDescent="0.25">
      <c r="A509" s="7" t="s">
        <v>863</v>
      </c>
      <c r="B509" s="7" t="s">
        <v>864</v>
      </c>
      <c r="C509" s="14">
        <v>205</v>
      </c>
      <c r="D509" s="6">
        <v>25.2</v>
      </c>
      <c r="E509" s="6">
        <v>100</v>
      </c>
      <c r="F509" s="6"/>
      <c r="G509" s="6"/>
      <c r="H509" s="6"/>
      <c r="I509" s="6"/>
      <c r="J509" s="6">
        <v>555</v>
      </c>
      <c r="K509" s="6">
        <v>113775</v>
      </c>
      <c r="L509" s="6"/>
      <c r="M509" s="6"/>
      <c r="N509" s="6">
        <f t="shared" si="51"/>
        <v>555</v>
      </c>
      <c r="O509" s="6">
        <f t="shared" si="52"/>
        <v>113775</v>
      </c>
      <c r="P509" s="6">
        <v>23</v>
      </c>
      <c r="Q509" s="6">
        <v>5260</v>
      </c>
      <c r="R509" s="60"/>
      <c r="S509" s="60"/>
    </row>
    <row r="510" spans="1:19" s="1" customFormat="1" hidden="1" outlineLevel="1" x14ac:dyDescent="0.25">
      <c r="A510" s="7" t="s">
        <v>1047</v>
      </c>
      <c r="B510" s="7" t="s">
        <v>1048</v>
      </c>
      <c r="C510" s="14">
        <v>228.17</v>
      </c>
      <c r="D510" s="6">
        <v>269.52</v>
      </c>
      <c r="E510" s="6">
        <v>100</v>
      </c>
      <c r="F510" s="6"/>
      <c r="G510" s="6"/>
      <c r="H510" s="6">
        <v>202</v>
      </c>
      <c r="I510" s="6">
        <v>46090.34</v>
      </c>
      <c r="J510" s="6">
        <v>1121</v>
      </c>
      <c r="K510" s="6">
        <v>255778.57</v>
      </c>
      <c r="L510" s="6"/>
      <c r="M510" s="6"/>
      <c r="N510" s="6">
        <f t="shared" si="51"/>
        <v>1323</v>
      </c>
      <c r="O510" s="6">
        <f t="shared" si="52"/>
        <v>301868.90999999997</v>
      </c>
      <c r="P510" s="6">
        <v>88</v>
      </c>
      <c r="Q510" s="6">
        <v>22292</v>
      </c>
      <c r="R510" s="60">
        <f t="shared" si="53"/>
        <v>372.33570792520027</v>
      </c>
      <c r="S510" s="60">
        <f t="shared" si="54"/>
        <v>84955.838477292942</v>
      </c>
    </row>
    <row r="511" spans="1:19" s="1" customFormat="1" hidden="1" outlineLevel="1" x14ac:dyDescent="0.25">
      <c r="A511" s="7" t="s">
        <v>654</v>
      </c>
      <c r="B511" s="7" t="s">
        <v>655</v>
      </c>
      <c r="C511" s="14">
        <v>556.05999999999995</v>
      </c>
      <c r="D511" s="6">
        <v>54.73</v>
      </c>
      <c r="E511" s="6">
        <v>100</v>
      </c>
      <c r="F511" s="6"/>
      <c r="G511" s="6"/>
      <c r="H511" s="6">
        <v>1</v>
      </c>
      <c r="I511" s="6">
        <v>556.05999999999995</v>
      </c>
      <c r="J511" s="6">
        <v>40</v>
      </c>
      <c r="K511" s="6">
        <v>22242.400000000001</v>
      </c>
      <c r="L511" s="6"/>
      <c r="M511" s="6"/>
      <c r="N511" s="6">
        <f t="shared" si="51"/>
        <v>41</v>
      </c>
      <c r="O511" s="6">
        <f t="shared" si="52"/>
        <v>22798.46</v>
      </c>
      <c r="P511" s="6">
        <v>9</v>
      </c>
      <c r="Q511" s="6">
        <v>4787</v>
      </c>
      <c r="R511" s="60"/>
      <c r="S511" s="60"/>
    </row>
    <row r="512" spans="1:19" s="1" customFormat="1" hidden="1" outlineLevel="1" x14ac:dyDescent="0.25">
      <c r="A512" s="7" t="s">
        <v>582</v>
      </c>
      <c r="B512" s="7" t="s">
        <v>583</v>
      </c>
      <c r="C512" s="14">
        <v>394.85</v>
      </c>
      <c r="D512" s="6">
        <v>15.3</v>
      </c>
      <c r="E512" s="6">
        <v>100</v>
      </c>
      <c r="F512" s="6">
        <v>5</v>
      </c>
      <c r="G512" s="6">
        <v>1974.25</v>
      </c>
      <c r="H512" s="6"/>
      <c r="I512" s="6"/>
      <c r="J512" s="6">
        <v>17</v>
      </c>
      <c r="K512" s="6">
        <v>6712.45</v>
      </c>
      <c r="L512" s="6"/>
      <c r="M512" s="6"/>
      <c r="N512" s="6">
        <f t="shared" si="51"/>
        <v>22</v>
      </c>
      <c r="O512" s="6">
        <f t="shared" si="52"/>
        <v>8686.7000000000007</v>
      </c>
      <c r="P512" s="6">
        <v>17</v>
      </c>
      <c r="Q512" s="6">
        <v>6817</v>
      </c>
      <c r="R512" s="60"/>
      <c r="S512" s="60"/>
    </row>
    <row r="513" spans="1:19" s="1" customFormat="1" hidden="1" outlineLevel="1" x14ac:dyDescent="0.25">
      <c r="A513" s="7" t="s">
        <v>610</v>
      </c>
      <c r="B513" s="7" t="s">
        <v>611</v>
      </c>
      <c r="C513" s="14">
        <v>385.23</v>
      </c>
      <c r="D513" s="6">
        <v>1072.02</v>
      </c>
      <c r="E513" s="6">
        <v>100</v>
      </c>
      <c r="F513" s="6"/>
      <c r="G513" s="6"/>
      <c r="H513" s="6"/>
      <c r="I513" s="6"/>
      <c r="J513" s="6">
        <v>1114</v>
      </c>
      <c r="K513" s="6">
        <v>429146.22</v>
      </c>
      <c r="L513" s="6"/>
      <c r="M513" s="6"/>
      <c r="N513" s="6">
        <f t="shared" si="51"/>
        <v>1114</v>
      </c>
      <c r="O513" s="6">
        <f t="shared" si="52"/>
        <v>429146.22000000003</v>
      </c>
      <c r="P513" s="6">
        <v>10</v>
      </c>
      <c r="Q513" s="6">
        <v>3519</v>
      </c>
      <c r="R513" s="60">
        <f t="shared" si="53"/>
        <v>926.95125090949796</v>
      </c>
      <c r="S513" s="60">
        <f t="shared" si="54"/>
        <v>357089.43038786593</v>
      </c>
    </row>
    <row r="514" spans="1:19" s="1" customFormat="1" hidden="1" outlineLevel="1" x14ac:dyDescent="0.25">
      <c r="A514" s="7" t="s">
        <v>89</v>
      </c>
      <c r="B514" s="7" t="s">
        <v>90</v>
      </c>
      <c r="C514" s="14">
        <v>223.7</v>
      </c>
      <c r="D514" s="6">
        <v>88.35</v>
      </c>
      <c r="E514" s="6">
        <v>100</v>
      </c>
      <c r="F514" s="6"/>
      <c r="G514" s="6"/>
      <c r="H514" s="6">
        <v>5</v>
      </c>
      <c r="I514" s="6">
        <v>1118.5</v>
      </c>
      <c r="J514" s="6">
        <v>176</v>
      </c>
      <c r="K514" s="6">
        <v>39371.199999999997</v>
      </c>
      <c r="L514" s="6"/>
      <c r="M514" s="6"/>
      <c r="N514" s="6">
        <f t="shared" si="51"/>
        <v>181</v>
      </c>
      <c r="O514" s="6">
        <f t="shared" si="52"/>
        <v>40489.699999999997</v>
      </c>
      <c r="P514" s="6">
        <v>20</v>
      </c>
      <c r="Q514" s="6">
        <v>4638</v>
      </c>
      <c r="R514" s="60"/>
      <c r="S514" s="60"/>
    </row>
    <row r="515" spans="1:19" s="1" customFormat="1" hidden="1" outlineLevel="1" x14ac:dyDescent="0.25">
      <c r="A515" s="7" t="s">
        <v>977</v>
      </c>
      <c r="B515" s="7" t="s">
        <v>978</v>
      </c>
      <c r="C515" s="14">
        <v>285</v>
      </c>
      <c r="D515" s="6">
        <v>101.1</v>
      </c>
      <c r="E515" s="6">
        <v>100</v>
      </c>
      <c r="F515" s="6"/>
      <c r="G515" s="6"/>
      <c r="H515" s="6"/>
      <c r="I515" s="6"/>
      <c r="J515" s="6">
        <v>116</v>
      </c>
      <c r="K515" s="6">
        <v>33060</v>
      </c>
      <c r="L515" s="6"/>
      <c r="M515" s="6"/>
      <c r="N515" s="6">
        <f t="shared" si="51"/>
        <v>116</v>
      </c>
      <c r="O515" s="6">
        <f t="shared" si="52"/>
        <v>33060</v>
      </c>
      <c r="P515" s="6">
        <v>9</v>
      </c>
      <c r="Q515" s="6">
        <v>2597</v>
      </c>
      <c r="R515" s="60"/>
      <c r="S515" s="60"/>
    </row>
    <row r="516" spans="1:19" s="1" customFormat="1" hidden="1" outlineLevel="1" x14ac:dyDescent="0.25">
      <c r="A516" s="7" t="s">
        <v>225</v>
      </c>
      <c r="B516" s="7" t="s">
        <v>226</v>
      </c>
      <c r="C516" s="14">
        <v>705</v>
      </c>
      <c r="D516" s="6">
        <v>190.02</v>
      </c>
      <c r="E516" s="6">
        <v>100</v>
      </c>
      <c r="F516" s="6"/>
      <c r="G516" s="6"/>
      <c r="H516" s="6"/>
      <c r="I516" s="6"/>
      <c r="J516" s="6">
        <v>138</v>
      </c>
      <c r="K516" s="6">
        <v>97290</v>
      </c>
      <c r="L516" s="6"/>
      <c r="M516" s="6"/>
      <c r="N516" s="6">
        <f t="shared" si="51"/>
        <v>138</v>
      </c>
      <c r="O516" s="6">
        <f t="shared" si="52"/>
        <v>97290</v>
      </c>
      <c r="P516" s="6">
        <v>43</v>
      </c>
      <c r="Q516" s="6">
        <v>44201</v>
      </c>
      <c r="R516" s="60">
        <f t="shared" si="53"/>
        <v>7.2769182191348349</v>
      </c>
      <c r="S516" s="60">
        <f t="shared" si="54"/>
        <v>5130.2273444900584</v>
      </c>
    </row>
    <row r="517" spans="1:19" s="1" customFormat="1" hidden="1" outlineLevel="1" x14ac:dyDescent="0.25">
      <c r="A517" s="7" t="s">
        <v>1019</v>
      </c>
      <c r="B517" s="7" t="s">
        <v>1020</v>
      </c>
      <c r="C517" s="14">
        <v>47.94</v>
      </c>
      <c r="D517" s="6">
        <v>263.39999999999998</v>
      </c>
      <c r="E517" s="6">
        <v>100</v>
      </c>
      <c r="F517" s="6"/>
      <c r="G517" s="6"/>
      <c r="H517" s="6"/>
      <c r="I517" s="6"/>
      <c r="J517" s="6">
        <v>1157</v>
      </c>
      <c r="K517" s="6">
        <v>55466.58</v>
      </c>
      <c r="L517" s="6"/>
      <c r="M517" s="6"/>
      <c r="N517" s="6">
        <f t="shared" si="51"/>
        <v>1157</v>
      </c>
      <c r="O517" s="6">
        <f t="shared" si="52"/>
        <v>55466.579999999994</v>
      </c>
      <c r="P517" s="6">
        <v>60</v>
      </c>
      <c r="Q517" s="6">
        <v>3229</v>
      </c>
      <c r="R517" s="60">
        <f t="shared" si="53"/>
        <v>366.33940774487462</v>
      </c>
      <c r="S517" s="60">
        <f t="shared" si="54"/>
        <v>17562.311207289287</v>
      </c>
    </row>
    <row r="518" spans="1:19" s="1" customFormat="1" hidden="1" outlineLevel="1" x14ac:dyDescent="0.25">
      <c r="A518" s="7" t="s">
        <v>1211</v>
      </c>
      <c r="B518" s="7" t="s">
        <v>1212</v>
      </c>
      <c r="C518" s="14">
        <v>381.32</v>
      </c>
      <c r="D518" s="6">
        <v>58.72</v>
      </c>
      <c r="E518" s="6">
        <v>100</v>
      </c>
      <c r="F518" s="6">
        <v>8</v>
      </c>
      <c r="G518" s="6">
        <v>3050.56</v>
      </c>
      <c r="H518" s="6"/>
      <c r="I518" s="6"/>
      <c r="J518" s="6">
        <v>166</v>
      </c>
      <c r="K518" s="6">
        <v>63299.12</v>
      </c>
      <c r="L518" s="6"/>
      <c r="M518" s="6"/>
      <c r="N518" s="6">
        <f t="shared" si="51"/>
        <v>174</v>
      </c>
      <c r="O518" s="6">
        <f t="shared" si="52"/>
        <v>66349.679999999993</v>
      </c>
      <c r="P518" s="6">
        <v>32</v>
      </c>
      <c r="Q518" s="6">
        <v>13652</v>
      </c>
      <c r="R518" s="60"/>
      <c r="S518" s="60"/>
    </row>
    <row r="519" spans="1:19" s="1" customFormat="1" hidden="1" outlineLevel="1" x14ac:dyDescent="0.25">
      <c r="A519" s="7" t="s">
        <v>1081</v>
      </c>
      <c r="B519" s="7" t="s">
        <v>1082</v>
      </c>
      <c r="C519" s="14">
        <v>61.66</v>
      </c>
      <c r="D519" s="6">
        <v>388.91</v>
      </c>
      <c r="E519" s="6">
        <v>100</v>
      </c>
      <c r="F519" s="6">
        <v>15</v>
      </c>
      <c r="G519" s="6">
        <v>924.9</v>
      </c>
      <c r="H519" s="6"/>
      <c r="I519" s="6"/>
      <c r="J519" s="6">
        <v>1094</v>
      </c>
      <c r="K519" s="6">
        <v>67456.039999999994</v>
      </c>
      <c r="L519" s="6"/>
      <c r="M519" s="6"/>
      <c r="N519" s="6">
        <f t="shared" si="51"/>
        <v>1109</v>
      </c>
      <c r="O519" s="6">
        <f t="shared" si="52"/>
        <v>68380.94</v>
      </c>
      <c r="P519" s="6">
        <v>142</v>
      </c>
      <c r="Q519" s="6">
        <v>10647</v>
      </c>
      <c r="R519" s="60">
        <f t="shared" si="53"/>
        <v>587.66177264662781</v>
      </c>
      <c r="S519" s="60">
        <f t="shared" si="54"/>
        <v>36235.22490139107</v>
      </c>
    </row>
    <row r="520" spans="1:19" s="1" customFormat="1" hidden="1" outlineLevel="1" x14ac:dyDescent="0.25">
      <c r="A520" s="7" t="s">
        <v>1097</v>
      </c>
      <c r="B520" s="7" t="s">
        <v>1098</v>
      </c>
      <c r="C520" s="14">
        <v>156.44</v>
      </c>
      <c r="D520" s="6">
        <v>552.02</v>
      </c>
      <c r="E520" s="6">
        <v>100</v>
      </c>
      <c r="F520" s="6">
        <v>15</v>
      </c>
      <c r="G520" s="6">
        <v>2346.6</v>
      </c>
      <c r="H520" s="6">
        <v>65</v>
      </c>
      <c r="I520" s="6">
        <v>10168.6</v>
      </c>
      <c r="J520" s="6">
        <v>84</v>
      </c>
      <c r="K520" s="6">
        <v>13140.96</v>
      </c>
      <c r="L520" s="6"/>
      <c r="M520" s="6"/>
      <c r="N520" s="6">
        <f t="shared" si="51"/>
        <v>164</v>
      </c>
      <c r="O520" s="6">
        <f t="shared" si="52"/>
        <v>25656.16</v>
      </c>
      <c r="P520" s="6">
        <v>70</v>
      </c>
      <c r="Q520" s="6">
        <v>13330</v>
      </c>
      <c r="R520" s="60">
        <f t="shared" si="53"/>
        <v>56.609688054780619</v>
      </c>
      <c r="S520" s="60">
        <f t="shared" si="54"/>
        <v>8856.0195992898807</v>
      </c>
    </row>
    <row r="521" spans="1:19" s="1" customFormat="1" hidden="1" outlineLevel="1" x14ac:dyDescent="0.25">
      <c r="A521" s="7" t="s">
        <v>973</v>
      </c>
      <c r="B521" s="7" t="s">
        <v>974</v>
      </c>
      <c r="C521" s="14">
        <v>247.28</v>
      </c>
      <c r="D521" s="6">
        <v>47.25</v>
      </c>
      <c r="E521" s="6">
        <v>100</v>
      </c>
      <c r="F521" s="6"/>
      <c r="G521" s="6"/>
      <c r="H521" s="6"/>
      <c r="I521" s="6"/>
      <c r="J521" s="6">
        <v>64</v>
      </c>
      <c r="K521" s="6">
        <v>15825.92</v>
      </c>
      <c r="L521" s="6"/>
      <c r="M521" s="6"/>
      <c r="N521" s="6">
        <f t="shared" si="51"/>
        <v>64</v>
      </c>
      <c r="O521" s="6">
        <f t="shared" si="52"/>
        <v>15825.92</v>
      </c>
      <c r="P521" s="6">
        <v>14</v>
      </c>
      <c r="Q521" s="6">
        <v>3470</v>
      </c>
      <c r="R521" s="60"/>
      <c r="S521" s="60"/>
    </row>
    <row r="522" spans="1:19" s="1" customFormat="1" hidden="1" outlineLevel="1" x14ac:dyDescent="0.25">
      <c r="A522" s="7" t="s">
        <v>440</v>
      </c>
      <c r="B522" s="7" t="s">
        <v>441</v>
      </c>
      <c r="C522" s="14">
        <v>79.8</v>
      </c>
      <c r="D522" s="6">
        <v>14.08</v>
      </c>
      <c r="E522" s="6">
        <v>96.64</v>
      </c>
      <c r="F522" s="6"/>
      <c r="G522" s="6"/>
      <c r="H522" s="6"/>
      <c r="I522" s="6"/>
      <c r="J522" s="6">
        <v>205</v>
      </c>
      <c r="K522" s="6">
        <v>16359</v>
      </c>
      <c r="L522" s="6"/>
      <c r="M522" s="6"/>
      <c r="N522" s="6">
        <f t="shared" si="51"/>
        <v>205</v>
      </c>
      <c r="O522" s="6">
        <f t="shared" si="52"/>
        <v>16359</v>
      </c>
      <c r="P522" s="6">
        <v>244</v>
      </c>
      <c r="Q522" s="6">
        <v>23950</v>
      </c>
      <c r="R522" s="60"/>
      <c r="S522" s="60"/>
    </row>
    <row r="523" spans="1:19" s="1" customFormat="1" hidden="1" outlineLevel="1" x14ac:dyDescent="0.25">
      <c r="A523" s="7" t="s">
        <v>692</v>
      </c>
      <c r="B523" s="7" t="s">
        <v>693</v>
      </c>
      <c r="C523" s="14">
        <v>427.88</v>
      </c>
      <c r="D523" s="6"/>
      <c r="E523" s="6">
        <v>82.8</v>
      </c>
      <c r="F523" s="6"/>
      <c r="G523" s="6"/>
      <c r="H523" s="6">
        <v>23</v>
      </c>
      <c r="I523" s="6">
        <v>9841.24</v>
      </c>
      <c r="J523" s="6">
        <v>200</v>
      </c>
      <c r="K523" s="6">
        <v>85576</v>
      </c>
      <c r="L523" s="6"/>
      <c r="M523" s="6"/>
      <c r="N523" s="6">
        <f t="shared" si="51"/>
        <v>223</v>
      </c>
      <c r="O523" s="6">
        <f t="shared" si="52"/>
        <v>95417.24</v>
      </c>
      <c r="P523" s="6">
        <v>17</v>
      </c>
      <c r="Q523" s="6">
        <v>9271</v>
      </c>
      <c r="R523" s="60"/>
      <c r="S523" s="60"/>
    </row>
    <row r="524" spans="1:19" s="1" customFormat="1" hidden="1" outlineLevel="1" x14ac:dyDescent="0.25">
      <c r="A524" s="7" t="s">
        <v>1295</v>
      </c>
      <c r="B524" s="7" t="s">
        <v>1296</v>
      </c>
      <c r="C524" s="14">
        <v>89.43</v>
      </c>
      <c r="D524" s="6">
        <v>837.8</v>
      </c>
      <c r="E524" s="6">
        <v>100</v>
      </c>
      <c r="F524" s="6"/>
      <c r="G524" s="6"/>
      <c r="H524" s="6"/>
      <c r="I524" s="6"/>
      <c r="J524" s="6">
        <v>808</v>
      </c>
      <c r="K524" s="6">
        <v>72259.44</v>
      </c>
      <c r="L524" s="6"/>
      <c r="M524" s="6"/>
      <c r="N524" s="6">
        <f t="shared" si="51"/>
        <v>808</v>
      </c>
      <c r="O524" s="6">
        <f t="shared" si="52"/>
        <v>72259.44</v>
      </c>
      <c r="P524" s="6">
        <v>98</v>
      </c>
      <c r="Q524" s="6">
        <v>10673</v>
      </c>
      <c r="R524" s="60">
        <f t="shared" si="53"/>
        <v>634.40248269276674</v>
      </c>
      <c r="S524" s="60">
        <f t="shared" si="54"/>
        <v>56734.614027214135</v>
      </c>
    </row>
    <row r="525" spans="1:19" s="1" customFormat="1" hidden="1" outlineLevel="1" x14ac:dyDescent="0.25">
      <c r="A525" s="7" t="s">
        <v>943</v>
      </c>
      <c r="B525" s="7" t="s">
        <v>944</v>
      </c>
      <c r="C525" s="14">
        <v>227</v>
      </c>
      <c r="D525" s="6">
        <v>222.46</v>
      </c>
      <c r="E525" s="6">
        <v>100</v>
      </c>
      <c r="F525" s="6"/>
      <c r="G525" s="6"/>
      <c r="H525" s="6"/>
      <c r="I525" s="6"/>
      <c r="J525" s="6">
        <v>846</v>
      </c>
      <c r="K525" s="6">
        <v>192042</v>
      </c>
      <c r="L525" s="6"/>
      <c r="M525" s="6"/>
      <c r="N525" s="6">
        <f t="shared" si="51"/>
        <v>846</v>
      </c>
      <c r="O525" s="6">
        <f t="shared" si="52"/>
        <v>192042</v>
      </c>
      <c r="P525" s="6">
        <v>39</v>
      </c>
      <c r="Q525" s="6">
        <v>8981</v>
      </c>
      <c r="R525" s="60">
        <f t="shared" si="53"/>
        <v>161.47244448440171</v>
      </c>
      <c r="S525" s="60">
        <f t="shared" si="54"/>
        <v>36654.244897959186</v>
      </c>
    </row>
    <row r="526" spans="1:19" s="1" customFormat="1" hidden="1" outlineLevel="1" x14ac:dyDescent="0.25">
      <c r="A526" s="7" t="s">
        <v>1271</v>
      </c>
      <c r="B526" s="7" t="s">
        <v>1272</v>
      </c>
      <c r="C526" s="14">
        <v>41.82</v>
      </c>
      <c r="D526" s="6">
        <v>62.97</v>
      </c>
      <c r="E526" s="6">
        <v>61.29</v>
      </c>
      <c r="F526" s="6"/>
      <c r="G526" s="6"/>
      <c r="H526" s="6">
        <v>8</v>
      </c>
      <c r="I526" s="6">
        <v>334.56</v>
      </c>
      <c r="J526" s="6">
        <v>647</v>
      </c>
      <c r="K526" s="6">
        <v>27057.54</v>
      </c>
      <c r="L526" s="6"/>
      <c r="M526" s="6"/>
      <c r="N526" s="6">
        <f t="shared" si="51"/>
        <v>655</v>
      </c>
      <c r="O526" s="6">
        <f t="shared" si="52"/>
        <v>27392.1</v>
      </c>
      <c r="P526" s="6">
        <v>115</v>
      </c>
      <c r="Q526" s="6">
        <v>5028</v>
      </c>
      <c r="R526" s="60"/>
      <c r="S526" s="60"/>
    </row>
    <row r="527" spans="1:19" s="1" customFormat="1" hidden="1" outlineLevel="1" x14ac:dyDescent="0.25">
      <c r="A527" s="7" t="s">
        <v>1099</v>
      </c>
      <c r="B527" s="7" t="s">
        <v>1100</v>
      </c>
      <c r="C527" s="14">
        <v>184.03</v>
      </c>
      <c r="D527" s="6">
        <v>122.48</v>
      </c>
      <c r="E527" s="6">
        <v>100</v>
      </c>
      <c r="F527" s="6">
        <v>14</v>
      </c>
      <c r="G527" s="6">
        <v>2576.42</v>
      </c>
      <c r="H527" s="6"/>
      <c r="I527" s="6"/>
      <c r="J527" s="6">
        <v>252</v>
      </c>
      <c r="K527" s="6">
        <v>46375.56</v>
      </c>
      <c r="L527" s="6"/>
      <c r="M527" s="6"/>
      <c r="N527" s="6">
        <f t="shared" si="51"/>
        <v>266</v>
      </c>
      <c r="O527" s="6">
        <f t="shared" si="52"/>
        <v>48951.98</v>
      </c>
      <c r="P527" s="6">
        <v>70</v>
      </c>
      <c r="Q527" s="6">
        <v>15667</v>
      </c>
      <c r="R527" s="60"/>
      <c r="S527" s="60"/>
    </row>
    <row r="528" spans="1:19" s="1" customFormat="1" hidden="1" outlineLevel="1" x14ac:dyDescent="0.25">
      <c r="A528" s="7" t="s">
        <v>618</v>
      </c>
      <c r="B528" s="7" t="s">
        <v>619</v>
      </c>
      <c r="C528" s="14">
        <v>395.23</v>
      </c>
      <c r="D528" s="6">
        <v>349.26</v>
      </c>
      <c r="E528" s="6">
        <v>100</v>
      </c>
      <c r="F528" s="6"/>
      <c r="G528" s="6"/>
      <c r="H528" s="6"/>
      <c r="I528" s="6"/>
      <c r="J528" s="6">
        <v>602</v>
      </c>
      <c r="K528" s="6">
        <v>237928.46</v>
      </c>
      <c r="L528" s="6"/>
      <c r="M528" s="6"/>
      <c r="N528" s="6">
        <f t="shared" si="51"/>
        <v>602</v>
      </c>
      <c r="O528" s="6">
        <f t="shared" si="52"/>
        <v>237928.46000000002</v>
      </c>
      <c r="P528" s="6">
        <v>8</v>
      </c>
      <c r="Q528" s="6">
        <v>3112</v>
      </c>
      <c r="R528" s="60">
        <f t="shared" si="53"/>
        <v>291.74403023535478</v>
      </c>
      <c r="S528" s="60">
        <f t="shared" si="54"/>
        <v>115305.99306991928</v>
      </c>
    </row>
    <row r="529" spans="1:19" s="1" customFormat="1" hidden="1" outlineLevel="1" x14ac:dyDescent="0.25">
      <c r="A529" s="7" t="s">
        <v>921</v>
      </c>
      <c r="B529" s="7" t="s">
        <v>922</v>
      </c>
      <c r="C529" s="14">
        <v>201.5</v>
      </c>
      <c r="D529" s="6">
        <v>109.79</v>
      </c>
      <c r="E529" s="6">
        <v>100</v>
      </c>
      <c r="F529" s="6"/>
      <c r="G529" s="6"/>
      <c r="H529" s="6"/>
      <c r="I529" s="6"/>
      <c r="J529" s="6">
        <v>320</v>
      </c>
      <c r="K529" s="6">
        <v>64480</v>
      </c>
      <c r="L529" s="6"/>
      <c r="M529" s="6"/>
      <c r="N529" s="6">
        <f t="shared" si="51"/>
        <v>320</v>
      </c>
      <c r="O529" s="6">
        <f t="shared" si="52"/>
        <v>64480</v>
      </c>
      <c r="P529" s="6">
        <v>61</v>
      </c>
      <c r="Q529" s="6">
        <v>14733</v>
      </c>
      <c r="R529" s="60"/>
      <c r="S529" s="60"/>
    </row>
    <row r="530" spans="1:19" s="1" customFormat="1" hidden="1" outlineLevel="1" x14ac:dyDescent="0.25">
      <c r="A530" s="7" t="s">
        <v>1079</v>
      </c>
      <c r="B530" s="7" t="s">
        <v>1080</v>
      </c>
      <c r="C530" s="14">
        <v>62.96</v>
      </c>
      <c r="D530" s="6">
        <v>311.95</v>
      </c>
      <c r="E530" s="6">
        <v>100</v>
      </c>
      <c r="F530" s="6"/>
      <c r="G530" s="6"/>
      <c r="H530" s="6">
        <v>350</v>
      </c>
      <c r="I530" s="6">
        <v>22036</v>
      </c>
      <c r="J530" s="6">
        <v>518</v>
      </c>
      <c r="K530" s="6">
        <v>32613.279999999999</v>
      </c>
      <c r="L530" s="6"/>
      <c r="M530" s="6"/>
      <c r="N530" s="6">
        <f t="shared" si="51"/>
        <v>868</v>
      </c>
      <c r="O530" s="6">
        <f t="shared" si="52"/>
        <v>54649.279999999999</v>
      </c>
      <c r="P530" s="6">
        <v>291</v>
      </c>
      <c r="Q530" s="6">
        <v>22191</v>
      </c>
      <c r="R530" s="60">
        <f t="shared" si="53"/>
        <v>219.10594646577974</v>
      </c>
      <c r="S530" s="60">
        <f t="shared" si="54"/>
        <v>13794.910389485492</v>
      </c>
    </row>
    <row r="531" spans="1:19" s="1" customFormat="1" hidden="1" outlineLevel="1" x14ac:dyDescent="0.25">
      <c r="A531" s="7" t="s">
        <v>999</v>
      </c>
      <c r="B531" s="7" t="s">
        <v>1000</v>
      </c>
      <c r="C531" s="14">
        <v>138.59</v>
      </c>
      <c r="D531" s="6">
        <v>6196.11</v>
      </c>
      <c r="E531" s="6">
        <v>100</v>
      </c>
      <c r="F531" s="6">
        <v>15</v>
      </c>
      <c r="G531" s="6">
        <v>2078.85</v>
      </c>
      <c r="H531" s="6"/>
      <c r="I531" s="6"/>
      <c r="J531" s="6">
        <v>1165</v>
      </c>
      <c r="K531" s="6">
        <v>161457.35</v>
      </c>
      <c r="L531" s="6"/>
      <c r="M531" s="6"/>
      <c r="N531" s="6">
        <f t="shared" si="51"/>
        <v>1180</v>
      </c>
      <c r="O531" s="6">
        <f t="shared" si="52"/>
        <v>163536.20000000001</v>
      </c>
      <c r="P531" s="6">
        <v>10</v>
      </c>
      <c r="Q531" s="6">
        <v>1736</v>
      </c>
      <c r="R531" s="60">
        <f t="shared" si="53"/>
        <v>1131.1561850903229</v>
      </c>
      <c r="S531" s="60">
        <f t="shared" si="54"/>
        <v>156766.93569166784</v>
      </c>
    </row>
    <row r="532" spans="1:19" s="1" customFormat="1" hidden="1" outlineLevel="1" x14ac:dyDescent="0.25">
      <c r="A532" s="7" t="s">
        <v>387</v>
      </c>
      <c r="B532" s="7" t="s">
        <v>388</v>
      </c>
      <c r="C532" s="14">
        <v>258.48</v>
      </c>
      <c r="D532" s="6">
        <v>1065.8900000000001</v>
      </c>
      <c r="E532" s="6">
        <v>100</v>
      </c>
      <c r="F532" s="6"/>
      <c r="G532" s="6"/>
      <c r="H532" s="6">
        <v>59</v>
      </c>
      <c r="I532" s="6">
        <v>15250.32</v>
      </c>
      <c r="J532" s="6">
        <v>89</v>
      </c>
      <c r="K532" s="6">
        <v>23004.720000000001</v>
      </c>
      <c r="L532" s="6"/>
      <c r="M532" s="6"/>
      <c r="N532" s="6">
        <f t="shared" si="51"/>
        <v>148</v>
      </c>
      <c r="O532" s="6">
        <f t="shared" si="52"/>
        <v>38255.040000000001</v>
      </c>
      <c r="P532" s="6">
        <v>30</v>
      </c>
      <c r="Q532" s="6">
        <v>9639</v>
      </c>
      <c r="R532" s="60">
        <f t="shared" si="53"/>
        <v>73.970306504423533</v>
      </c>
      <c r="S532" s="60">
        <f t="shared" si="54"/>
        <v>19119.844825263397</v>
      </c>
    </row>
    <row r="533" spans="1:19" s="1" customFormat="1" hidden="1" outlineLevel="1" x14ac:dyDescent="0.25">
      <c r="A533" s="7" t="s">
        <v>526</v>
      </c>
      <c r="B533" s="7" t="s">
        <v>527</v>
      </c>
      <c r="C533" s="14">
        <v>38</v>
      </c>
      <c r="D533" s="6">
        <v>140.61000000000001</v>
      </c>
      <c r="E533" s="6">
        <v>100</v>
      </c>
      <c r="F533" s="6"/>
      <c r="G533" s="6"/>
      <c r="H533" s="6">
        <v>500</v>
      </c>
      <c r="I533" s="6">
        <v>19000</v>
      </c>
      <c r="J533" s="6">
        <v>562</v>
      </c>
      <c r="K533" s="6">
        <v>21356</v>
      </c>
      <c r="L533" s="6"/>
      <c r="M533" s="6"/>
      <c r="N533" s="6">
        <f t="shared" si="51"/>
        <v>1062</v>
      </c>
      <c r="O533" s="6">
        <f t="shared" si="52"/>
        <v>40356</v>
      </c>
      <c r="P533" s="6">
        <v>210</v>
      </c>
      <c r="Q533" s="6">
        <v>9238</v>
      </c>
      <c r="R533" s="60"/>
      <c r="S533" s="60"/>
    </row>
    <row r="534" spans="1:19" s="1" customFormat="1" hidden="1" outlineLevel="1" x14ac:dyDescent="0.25">
      <c r="A534" s="7" t="s">
        <v>636</v>
      </c>
      <c r="B534" s="7" t="s">
        <v>637</v>
      </c>
      <c r="C534" s="14">
        <v>208.25</v>
      </c>
      <c r="D534" s="6">
        <v>24.2</v>
      </c>
      <c r="E534" s="6">
        <v>100</v>
      </c>
      <c r="F534" s="6">
        <v>20</v>
      </c>
      <c r="G534" s="6">
        <v>4165</v>
      </c>
      <c r="H534" s="6">
        <v>128</v>
      </c>
      <c r="I534" s="6">
        <v>26656</v>
      </c>
      <c r="J534" s="6">
        <v>496</v>
      </c>
      <c r="K534" s="6">
        <v>103292</v>
      </c>
      <c r="L534" s="6"/>
      <c r="M534" s="6"/>
      <c r="N534" s="6">
        <f t="shared" si="51"/>
        <v>644</v>
      </c>
      <c r="O534" s="6">
        <f t="shared" si="52"/>
        <v>134113</v>
      </c>
      <c r="P534" s="6">
        <v>136</v>
      </c>
      <c r="Q534" s="6">
        <v>28360</v>
      </c>
      <c r="R534" s="60"/>
      <c r="S534" s="60"/>
    </row>
    <row r="535" spans="1:19" s="1" customFormat="1" hidden="1" outlineLevel="1" x14ac:dyDescent="0.25">
      <c r="A535" s="7" t="s">
        <v>97</v>
      </c>
      <c r="B535" s="7" t="s">
        <v>98</v>
      </c>
      <c r="C535" s="14">
        <v>654.1</v>
      </c>
      <c r="D535" s="6">
        <v>64.11</v>
      </c>
      <c r="E535" s="6">
        <v>100</v>
      </c>
      <c r="F535" s="6"/>
      <c r="G535" s="6"/>
      <c r="H535" s="6">
        <v>2</v>
      </c>
      <c r="I535" s="6">
        <v>1308.2</v>
      </c>
      <c r="J535" s="6">
        <v>42</v>
      </c>
      <c r="K535" s="6">
        <v>27472.2</v>
      </c>
      <c r="L535" s="6"/>
      <c r="M535" s="6"/>
      <c r="N535" s="6">
        <f t="shared" si="51"/>
        <v>44</v>
      </c>
      <c r="O535" s="6">
        <f t="shared" si="52"/>
        <v>28780.400000000001</v>
      </c>
      <c r="P535" s="6">
        <v>8</v>
      </c>
      <c r="Q535" s="6">
        <v>5378</v>
      </c>
      <c r="R535" s="60"/>
      <c r="S535" s="60"/>
    </row>
    <row r="536" spans="1:19" s="1" customFormat="1" hidden="1" outlineLevel="1" x14ac:dyDescent="0.25">
      <c r="A536" s="7" t="s">
        <v>1033</v>
      </c>
      <c r="B536" s="7" t="s">
        <v>1034</v>
      </c>
      <c r="C536" s="14">
        <v>48.43</v>
      </c>
      <c r="D536" s="6">
        <v>195.96</v>
      </c>
      <c r="E536" s="6">
        <v>100</v>
      </c>
      <c r="F536" s="6"/>
      <c r="G536" s="6"/>
      <c r="H536" s="6"/>
      <c r="I536" s="6"/>
      <c r="J536" s="6">
        <v>639</v>
      </c>
      <c r="K536" s="6">
        <v>30946.77</v>
      </c>
      <c r="L536" s="6"/>
      <c r="M536" s="6"/>
      <c r="N536" s="6">
        <f t="shared" si="51"/>
        <v>639</v>
      </c>
      <c r="O536" s="6">
        <f t="shared" si="52"/>
        <v>30946.77</v>
      </c>
      <c r="P536" s="6">
        <v>93</v>
      </c>
      <c r="Q536" s="6">
        <v>5369</v>
      </c>
      <c r="R536" s="60">
        <f t="shared" si="53"/>
        <v>52.043478260869591</v>
      </c>
      <c r="S536" s="60">
        <f t="shared" si="54"/>
        <v>2520.4656521739143</v>
      </c>
    </row>
    <row r="537" spans="1:19" s="1" customFormat="1" hidden="1" outlineLevel="1" x14ac:dyDescent="0.25">
      <c r="A537" s="7" t="s">
        <v>927</v>
      </c>
      <c r="B537" s="7" t="s">
        <v>928</v>
      </c>
      <c r="C537" s="14">
        <v>265.3</v>
      </c>
      <c r="D537" s="6">
        <v>541.41</v>
      </c>
      <c r="E537" s="6">
        <v>100</v>
      </c>
      <c r="F537" s="6"/>
      <c r="G537" s="6"/>
      <c r="H537" s="6">
        <v>121</v>
      </c>
      <c r="I537" s="6">
        <v>32101.3</v>
      </c>
      <c r="J537" s="6">
        <v>122</v>
      </c>
      <c r="K537" s="6">
        <v>32366.6</v>
      </c>
      <c r="L537" s="6"/>
      <c r="M537" s="6"/>
      <c r="N537" s="6">
        <f t="shared" si="51"/>
        <v>243</v>
      </c>
      <c r="O537" s="6">
        <f t="shared" si="52"/>
        <v>64467.9</v>
      </c>
      <c r="P537" s="6">
        <v>35</v>
      </c>
      <c r="Q537" s="6">
        <v>11413</v>
      </c>
      <c r="R537" s="60">
        <f t="shared" si="53"/>
        <v>81.439241979276332</v>
      </c>
      <c r="S537" s="60">
        <f t="shared" si="54"/>
        <v>21605.830897102012</v>
      </c>
    </row>
    <row r="538" spans="1:19" s="1" customFormat="1" hidden="1" outlineLevel="1" x14ac:dyDescent="0.25">
      <c r="A538" s="7" t="s">
        <v>1175</v>
      </c>
      <c r="B538" s="7" t="s">
        <v>1176</v>
      </c>
      <c r="C538" s="14">
        <v>976.52</v>
      </c>
      <c r="D538" s="6">
        <v>383.56</v>
      </c>
      <c r="E538" s="6">
        <v>100</v>
      </c>
      <c r="F538" s="6"/>
      <c r="G538" s="6"/>
      <c r="H538" s="6"/>
      <c r="I538" s="6"/>
      <c r="J538" s="6">
        <v>142</v>
      </c>
      <c r="K538" s="6">
        <v>138665.84</v>
      </c>
      <c r="L538" s="6"/>
      <c r="M538" s="6"/>
      <c r="N538" s="6">
        <f t="shared" ref="N538:N601" si="55">IF(J538+L538+H538+F538&lt;=0,"",J538+L538+H538+F538)</f>
        <v>142</v>
      </c>
      <c r="O538" s="6">
        <f t="shared" ref="O538:O601" si="56">IFERROR(C538*N538,"")</f>
        <v>138665.84</v>
      </c>
      <c r="P538" s="6">
        <v>4</v>
      </c>
      <c r="Q538" s="6">
        <v>3857</v>
      </c>
      <c r="R538" s="60">
        <f t="shared" si="53"/>
        <v>75.361142976327045</v>
      </c>
      <c r="S538" s="60">
        <f t="shared" si="54"/>
        <v>73591.663339242878</v>
      </c>
    </row>
    <row r="539" spans="1:19" s="1" customFormat="1" hidden="1" outlineLevel="1" x14ac:dyDescent="0.25">
      <c r="A539" s="7" t="s">
        <v>945</v>
      </c>
      <c r="B539" s="7" t="s">
        <v>946</v>
      </c>
      <c r="C539" s="14">
        <v>280.89999999999998</v>
      </c>
      <c r="D539" s="6">
        <v>161.38999999999999</v>
      </c>
      <c r="E539" s="6">
        <v>100</v>
      </c>
      <c r="F539" s="6"/>
      <c r="G539" s="6"/>
      <c r="H539" s="6"/>
      <c r="I539" s="6"/>
      <c r="J539" s="6">
        <v>295</v>
      </c>
      <c r="K539" s="6">
        <v>82865.5</v>
      </c>
      <c r="L539" s="6">
        <v>250</v>
      </c>
      <c r="M539" s="6">
        <v>70225</v>
      </c>
      <c r="N539" s="6">
        <f t="shared" si="55"/>
        <v>545</v>
      </c>
      <c r="O539" s="6">
        <f t="shared" si="56"/>
        <v>153090.5</v>
      </c>
      <c r="P539" s="6">
        <v>22</v>
      </c>
      <c r="Q539" s="6">
        <v>6863</v>
      </c>
      <c r="R539" s="60"/>
      <c r="S539" s="60"/>
    </row>
    <row r="540" spans="1:19" s="1" customFormat="1" hidden="1" outlineLevel="1" x14ac:dyDescent="0.25">
      <c r="A540" s="7" t="s">
        <v>965</v>
      </c>
      <c r="B540" s="7" t="s">
        <v>966</v>
      </c>
      <c r="C540" s="14">
        <v>75</v>
      </c>
      <c r="D540" s="6">
        <v>236.83</v>
      </c>
      <c r="E540" s="6">
        <v>100</v>
      </c>
      <c r="F540" s="6">
        <v>10</v>
      </c>
      <c r="G540" s="6">
        <v>750</v>
      </c>
      <c r="H540" s="6">
        <v>5</v>
      </c>
      <c r="I540" s="6">
        <v>375</v>
      </c>
      <c r="J540" s="6">
        <v>576</v>
      </c>
      <c r="K540" s="6">
        <v>43200</v>
      </c>
      <c r="L540" s="6"/>
      <c r="M540" s="6"/>
      <c r="N540" s="6">
        <f t="shared" si="55"/>
        <v>591</v>
      </c>
      <c r="O540" s="6">
        <f t="shared" si="56"/>
        <v>44325</v>
      </c>
      <c r="P540" s="6">
        <v>23</v>
      </c>
      <c r="Q540" s="6">
        <v>2000</v>
      </c>
      <c r="R540" s="60">
        <f t="shared" si="53"/>
        <v>138.21762445636114</v>
      </c>
      <c r="S540" s="60">
        <f t="shared" si="54"/>
        <v>10366.321834227085</v>
      </c>
    </row>
    <row r="541" spans="1:19" s="1" customFormat="1" hidden="1" outlineLevel="1" x14ac:dyDescent="0.25">
      <c r="A541" s="7" t="s">
        <v>686</v>
      </c>
      <c r="B541" s="7" t="s">
        <v>687</v>
      </c>
      <c r="C541" s="14">
        <v>870</v>
      </c>
      <c r="D541" s="6">
        <v>1533.33</v>
      </c>
      <c r="E541" s="6">
        <v>100</v>
      </c>
      <c r="F541" s="6"/>
      <c r="G541" s="6"/>
      <c r="H541" s="6"/>
      <c r="I541" s="6"/>
      <c r="J541" s="6">
        <v>156</v>
      </c>
      <c r="K541" s="6">
        <v>135720</v>
      </c>
      <c r="L541" s="6"/>
      <c r="M541" s="6"/>
      <c r="N541" s="6">
        <f t="shared" si="55"/>
        <v>156</v>
      </c>
      <c r="O541" s="6">
        <f t="shared" si="56"/>
        <v>135720</v>
      </c>
      <c r="P541" s="6">
        <v>35</v>
      </c>
      <c r="Q541" s="6">
        <v>46517</v>
      </c>
      <c r="R541" s="60">
        <f t="shared" si="53"/>
        <v>137.68691671068851</v>
      </c>
      <c r="S541" s="60">
        <f t="shared" si="54"/>
        <v>119787.617538299</v>
      </c>
    </row>
    <row r="542" spans="1:19" s="1" customFormat="1" hidden="1" outlineLevel="1" x14ac:dyDescent="0.25">
      <c r="A542" s="7" t="s">
        <v>556</v>
      </c>
      <c r="B542" s="7" t="s">
        <v>557</v>
      </c>
      <c r="C542" s="14">
        <v>99.78</v>
      </c>
      <c r="D542" s="6">
        <v>10.68</v>
      </c>
      <c r="E542" s="6">
        <v>100</v>
      </c>
      <c r="F542" s="6">
        <v>33</v>
      </c>
      <c r="G542" s="6">
        <v>3292.74</v>
      </c>
      <c r="H542" s="6"/>
      <c r="I542" s="6"/>
      <c r="J542" s="6">
        <v>7</v>
      </c>
      <c r="K542" s="6">
        <v>698.46</v>
      </c>
      <c r="L542" s="6">
        <v>500</v>
      </c>
      <c r="M542" s="6">
        <v>49890</v>
      </c>
      <c r="N542" s="6">
        <f t="shared" si="55"/>
        <v>540</v>
      </c>
      <c r="O542" s="6">
        <f t="shared" si="56"/>
        <v>53881.2</v>
      </c>
      <c r="P542" s="6">
        <v>38</v>
      </c>
      <c r="Q542" s="6">
        <v>3294</v>
      </c>
      <c r="R542" s="60"/>
      <c r="S542" s="60"/>
    </row>
    <row r="543" spans="1:19" s="1" customFormat="1" hidden="1" outlineLevel="1" x14ac:dyDescent="0.25">
      <c r="A543" s="7" t="s">
        <v>800</v>
      </c>
      <c r="B543" s="7" t="s">
        <v>801</v>
      </c>
      <c r="C543" s="14">
        <v>255.58</v>
      </c>
      <c r="D543" s="6">
        <v>95.98</v>
      </c>
      <c r="E543" s="6">
        <v>100</v>
      </c>
      <c r="F543" s="6">
        <v>2</v>
      </c>
      <c r="G543" s="6">
        <v>511.16</v>
      </c>
      <c r="H543" s="6">
        <v>43</v>
      </c>
      <c r="I543" s="6">
        <v>10989.94</v>
      </c>
      <c r="J543" s="6">
        <v>489</v>
      </c>
      <c r="K543" s="6">
        <v>124978.62</v>
      </c>
      <c r="L543" s="6"/>
      <c r="M543" s="6"/>
      <c r="N543" s="6">
        <f t="shared" si="55"/>
        <v>534</v>
      </c>
      <c r="O543" s="6">
        <f t="shared" si="56"/>
        <v>136479.72</v>
      </c>
      <c r="P543" s="6">
        <v>31</v>
      </c>
      <c r="Q543" s="6">
        <v>8167</v>
      </c>
      <c r="R543" s="60"/>
      <c r="S543" s="60"/>
    </row>
    <row r="544" spans="1:19" s="1" customFormat="1" hidden="1" outlineLevel="1" x14ac:dyDescent="0.25">
      <c r="A544" s="7" t="s">
        <v>865</v>
      </c>
      <c r="B544" s="7" t="s">
        <v>866</v>
      </c>
      <c r="C544" s="14">
        <v>259</v>
      </c>
      <c r="D544" s="6">
        <v>466.57</v>
      </c>
      <c r="E544" s="6">
        <v>100</v>
      </c>
      <c r="F544" s="6"/>
      <c r="G544" s="6"/>
      <c r="H544" s="6">
        <v>200</v>
      </c>
      <c r="I544" s="6">
        <v>51800</v>
      </c>
      <c r="J544" s="6">
        <v>454</v>
      </c>
      <c r="K544" s="6">
        <v>117586</v>
      </c>
      <c r="L544" s="6"/>
      <c r="M544" s="6"/>
      <c r="N544" s="6">
        <f t="shared" si="55"/>
        <v>654</v>
      </c>
      <c r="O544" s="6">
        <f t="shared" si="56"/>
        <v>169386</v>
      </c>
      <c r="P544" s="6">
        <v>102</v>
      </c>
      <c r="Q544" s="6">
        <v>28505</v>
      </c>
      <c r="R544" s="60">
        <f t="shared" ref="R544:R604" si="57">J544/D544*(D544-180)</f>
        <v>278.84943309685576</v>
      </c>
      <c r="S544" s="60">
        <f t="shared" ref="S544:S604" si="58">R544*C544</f>
        <v>72222.00317208565</v>
      </c>
    </row>
    <row r="545" spans="1:19" s="1" customFormat="1" hidden="1" outlineLevel="1" x14ac:dyDescent="0.25">
      <c r="A545" s="7" t="s">
        <v>843</v>
      </c>
      <c r="B545" s="7" t="s">
        <v>844</v>
      </c>
      <c r="C545" s="14">
        <v>58.52</v>
      </c>
      <c r="D545" s="6">
        <v>84.4</v>
      </c>
      <c r="E545" s="6">
        <v>61.29</v>
      </c>
      <c r="F545" s="6">
        <v>9</v>
      </c>
      <c r="G545" s="6">
        <v>526.67999999999995</v>
      </c>
      <c r="H545" s="6">
        <v>55</v>
      </c>
      <c r="I545" s="6">
        <v>3218.6</v>
      </c>
      <c r="J545" s="6">
        <v>359</v>
      </c>
      <c r="K545" s="6">
        <v>21008.68</v>
      </c>
      <c r="L545" s="6"/>
      <c r="M545" s="6"/>
      <c r="N545" s="6">
        <f t="shared" si="55"/>
        <v>423</v>
      </c>
      <c r="O545" s="6">
        <f t="shared" si="56"/>
        <v>24753.960000000003</v>
      </c>
      <c r="P545" s="6">
        <v>60</v>
      </c>
      <c r="Q545" s="6">
        <v>3568</v>
      </c>
      <c r="R545" s="60"/>
      <c r="S545" s="60"/>
    </row>
    <row r="546" spans="1:19" s="1" customFormat="1" hidden="1" outlineLevel="1" x14ac:dyDescent="0.25">
      <c r="A546" s="7" t="s">
        <v>614</v>
      </c>
      <c r="B546" s="7" t="s">
        <v>615</v>
      </c>
      <c r="C546" s="14">
        <v>236.87</v>
      </c>
      <c r="D546" s="6">
        <v>292.62</v>
      </c>
      <c r="E546" s="6">
        <v>100</v>
      </c>
      <c r="F546" s="6"/>
      <c r="G546" s="6"/>
      <c r="H546" s="6"/>
      <c r="I546" s="6"/>
      <c r="J546" s="6">
        <v>1032</v>
      </c>
      <c r="K546" s="6">
        <v>244449.84</v>
      </c>
      <c r="L546" s="6"/>
      <c r="M546" s="6"/>
      <c r="N546" s="6">
        <f t="shared" si="55"/>
        <v>1032</v>
      </c>
      <c r="O546" s="6">
        <f t="shared" si="56"/>
        <v>244449.84</v>
      </c>
      <c r="P546" s="6">
        <v>31</v>
      </c>
      <c r="Q546" s="6">
        <v>7307</v>
      </c>
      <c r="R546" s="60">
        <f t="shared" si="57"/>
        <v>397.18351445560796</v>
      </c>
      <c r="S546" s="60">
        <f t="shared" si="58"/>
        <v>94080.859069099854</v>
      </c>
    </row>
    <row r="547" spans="1:19" s="1" customFormat="1" hidden="1" outlineLevel="1" x14ac:dyDescent="0.25">
      <c r="A547" s="7" t="s">
        <v>1209</v>
      </c>
      <c r="B547" s="7" t="s">
        <v>1210</v>
      </c>
      <c r="C547" s="14">
        <v>381.32</v>
      </c>
      <c r="D547" s="6">
        <v>51.28</v>
      </c>
      <c r="E547" s="6">
        <v>100</v>
      </c>
      <c r="F547" s="6"/>
      <c r="G547" s="6"/>
      <c r="H547" s="6"/>
      <c r="I547" s="6"/>
      <c r="J547" s="6">
        <v>96</v>
      </c>
      <c r="K547" s="6">
        <v>36606.720000000001</v>
      </c>
      <c r="L547" s="6"/>
      <c r="M547" s="6"/>
      <c r="N547" s="6">
        <f t="shared" si="55"/>
        <v>96</v>
      </c>
      <c r="O547" s="6">
        <f t="shared" si="56"/>
        <v>36606.720000000001</v>
      </c>
      <c r="P547" s="6">
        <v>26</v>
      </c>
      <c r="Q547" s="6">
        <v>10415</v>
      </c>
      <c r="R547" s="60"/>
      <c r="S547" s="60"/>
    </row>
    <row r="548" spans="1:19" s="1" customFormat="1" hidden="1" outlineLevel="1" x14ac:dyDescent="0.25">
      <c r="A548" s="7" t="s">
        <v>662</v>
      </c>
      <c r="B548" s="7" t="s">
        <v>663</v>
      </c>
      <c r="C548" s="14">
        <v>556.05999999999995</v>
      </c>
      <c r="D548" s="6">
        <v>577</v>
      </c>
      <c r="E548" s="6">
        <v>100</v>
      </c>
      <c r="F548" s="6"/>
      <c r="G548" s="6"/>
      <c r="H548" s="6"/>
      <c r="I548" s="6"/>
      <c r="J548" s="6">
        <v>55</v>
      </c>
      <c r="K548" s="6">
        <v>30583.3</v>
      </c>
      <c r="L548" s="6"/>
      <c r="M548" s="6"/>
      <c r="N548" s="6">
        <f t="shared" si="55"/>
        <v>55</v>
      </c>
      <c r="O548" s="6">
        <f t="shared" si="56"/>
        <v>30583.299999999996</v>
      </c>
      <c r="P548" s="6">
        <v>1</v>
      </c>
      <c r="Q548" s="6">
        <v>528</v>
      </c>
      <c r="R548" s="60">
        <f t="shared" si="57"/>
        <v>37.842287694974004</v>
      </c>
      <c r="S548" s="60">
        <f t="shared" si="58"/>
        <v>21042.582495667244</v>
      </c>
    </row>
    <row r="549" spans="1:19" s="1" customFormat="1" hidden="1" outlineLevel="1" x14ac:dyDescent="0.25">
      <c r="A549" s="7" t="s">
        <v>975</v>
      </c>
      <c r="B549" s="7" t="s">
        <v>976</v>
      </c>
      <c r="C549" s="14">
        <v>240</v>
      </c>
      <c r="D549" s="6">
        <v>292.47000000000003</v>
      </c>
      <c r="E549" s="6">
        <v>100</v>
      </c>
      <c r="F549" s="6"/>
      <c r="G549" s="6"/>
      <c r="H549" s="6">
        <v>5</v>
      </c>
      <c r="I549" s="6">
        <v>1200</v>
      </c>
      <c r="J549" s="6">
        <v>142</v>
      </c>
      <c r="K549" s="6">
        <v>34080</v>
      </c>
      <c r="L549" s="6"/>
      <c r="M549" s="6"/>
      <c r="N549" s="6">
        <f t="shared" si="55"/>
        <v>147</v>
      </c>
      <c r="O549" s="6">
        <f t="shared" si="56"/>
        <v>35280</v>
      </c>
      <c r="P549" s="6">
        <v>3</v>
      </c>
      <c r="Q549" s="6">
        <v>800</v>
      </c>
      <c r="R549" s="60">
        <f t="shared" si="57"/>
        <v>54.606421171402204</v>
      </c>
      <c r="S549" s="60">
        <f t="shared" si="58"/>
        <v>13105.541081136529</v>
      </c>
    </row>
    <row r="550" spans="1:19" s="1" customFormat="1" hidden="1" outlineLevel="1" x14ac:dyDescent="0.25">
      <c r="A550" s="7" t="s">
        <v>1015</v>
      </c>
      <c r="B550" s="7" t="s">
        <v>1016</v>
      </c>
      <c r="C550" s="14">
        <v>47.94</v>
      </c>
      <c r="D550" s="6">
        <v>188.17</v>
      </c>
      <c r="E550" s="6">
        <v>100</v>
      </c>
      <c r="F550" s="6">
        <v>5</v>
      </c>
      <c r="G550" s="6">
        <v>239.7</v>
      </c>
      <c r="H550" s="6"/>
      <c r="I550" s="6"/>
      <c r="J550" s="6">
        <v>594</v>
      </c>
      <c r="K550" s="6">
        <v>28476.36</v>
      </c>
      <c r="L550" s="6"/>
      <c r="M550" s="6"/>
      <c r="N550" s="6">
        <f t="shared" si="55"/>
        <v>599</v>
      </c>
      <c r="O550" s="6">
        <f t="shared" si="56"/>
        <v>28716.059999999998</v>
      </c>
      <c r="P550" s="6">
        <v>53</v>
      </c>
      <c r="Q550" s="6">
        <v>2566</v>
      </c>
      <c r="R550" s="60">
        <f t="shared" si="57"/>
        <v>25.790402295796319</v>
      </c>
      <c r="S550" s="60">
        <f t="shared" si="58"/>
        <v>1236.3918860604756</v>
      </c>
    </row>
    <row r="551" spans="1:19" s="1" customFormat="1" hidden="1" outlineLevel="1" x14ac:dyDescent="0.25">
      <c r="A551" s="7" t="s">
        <v>1095</v>
      </c>
      <c r="B551" s="7" t="s">
        <v>1096</v>
      </c>
      <c r="C551" s="14">
        <v>105.46</v>
      </c>
      <c r="D551" s="6">
        <v>240.63</v>
      </c>
      <c r="E551" s="6">
        <v>100</v>
      </c>
      <c r="F551" s="6"/>
      <c r="G551" s="6"/>
      <c r="H551" s="6"/>
      <c r="I551" s="6"/>
      <c r="J551" s="6">
        <v>156</v>
      </c>
      <c r="K551" s="6">
        <v>16451.759999999998</v>
      </c>
      <c r="L551" s="6"/>
      <c r="M551" s="6"/>
      <c r="N551" s="6">
        <f t="shared" si="55"/>
        <v>156</v>
      </c>
      <c r="O551" s="6">
        <f t="shared" si="56"/>
        <v>16451.759999999998</v>
      </c>
      <c r="P551" s="6">
        <v>48</v>
      </c>
      <c r="Q551" s="6">
        <v>6051</v>
      </c>
      <c r="R551" s="60">
        <f t="shared" si="57"/>
        <v>39.306320907617504</v>
      </c>
      <c r="S551" s="60">
        <f t="shared" si="58"/>
        <v>4145.2446029173416</v>
      </c>
    </row>
    <row r="552" spans="1:19" s="1" customFormat="1" hidden="1" outlineLevel="1" x14ac:dyDescent="0.25">
      <c r="A552" s="7" t="s">
        <v>1267</v>
      </c>
      <c r="B552" s="7" t="s">
        <v>1268</v>
      </c>
      <c r="C552" s="14">
        <v>27.99</v>
      </c>
      <c r="D552" s="6">
        <v>784.84</v>
      </c>
      <c r="E552" s="6">
        <v>64.52</v>
      </c>
      <c r="F552" s="6">
        <v>9</v>
      </c>
      <c r="G552" s="6">
        <v>251.91</v>
      </c>
      <c r="H552" s="6"/>
      <c r="I552" s="6"/>
      <c r="J552" s="6">
        <v>981</v>
      </c>
      <c r="K552" s="6">
        <v>27458.19</v>
      </c>
      <c r="L552" s="6"/>
      <c r="M552" s="6"/>
      <c r="N552" s="6">
        <f t="shared" si="55"/>
        <v>990</v>
      </c>
      <c r="O552" s="6">
        <f t="shared" si="56"/>
        <v>27710.1</v>
      </c>
      <c r="P552" s="6">
        <v>176</v>
      </c>
      <c r="Q552" s="6">
        <v>6159</v>
      </c>
      <c r="R552" s="60">
        <f t="shared" si="57"/>
        <v>756.01146730543803</v>
      </c>
      <c r="S552" s="60">
        <f t="shared" si="58"/>
        <v>21160.760969879208</v>
      </c>
    </row>
    <row r="553" spans="1:19" s="1" customFormat="1" hidden="1" outlineLevel="1" x14ac:dyDescent="0.25">
      <c r="A553" s="7" t="s">
        <v>572</v>
      </c>
      <c r="B553" s="7" t="s">
        <v>573</v>
      </c>
      <c r="C553" s="14">
        <v>81.52</v>
      </c>
      <c r="D553" s="6">
        <v>52.37</v>
      </c>
      <c r="E553" s="6">
        <v>100</v>
      </c>
      <c r="F553" s="6"/>
      <c r="G553" s="6"/>
      <c r="H553" s="6">
        <v>5</v>
      </c>
      <c r="I553" s="6">
        <v>407.6</v>
      </c>
      <c r="J553" s="6">
        <v>117</v>
      </c>
      <c r="K553" s="6">
        <v>9537.84</v>
      </c>
      <c r="L553" s="6"/>
      <c r="M553" s="6"/>
      <c r="N553" s="6">
        <f t="shared" si="55"/>
        <v>122</v>
      </c>
      <c r="O553" s="6">
        <f t="shared" si="56"/>
        <v>9945.4399999999987</v>
      </c>
      <c r="P553" s="6">
        <v>38</v>
      </c>
      <c r="Q553" s="6">
        <v>3168</v>
      </c>
      <c r="R553" s="60"/>
      <c r="S553" s="60"/>
    </row>
    <row r="554" spans="1:19" s="1" customFormat="1" hidden="1" outlineLevel="1" x14ac:dyDescent="0.25">
      <c r="A554" s="7" t="s">
        <v>542</v>
      </c>
      <c r="B554" s="7" t="s">
        <v>543</v>
      </c>
      <c r="C554" s="14">
        <v>1142.96</v>
      </c>
      <c r="D554" s="6">
        <v>100.1</v>
      </c>
      <c r="E554" s="6">
        <v>100</v>
      </c>
      <c r="F554" s="6"/>
      <c r="G554" s="6"/>
      <c r="H554" s="6"/>
      <c r="I554" s="6"/>
      <c r="J554" s="6">
        <v>55</v>
      </c>
      <c r="K554" s="6">
        <v>62862.8</v>
      </c>
      <c r="L554" s="6">
        <v>330</v>
      </c>
      <c r="M554" s="6">
        <v>377176.8</v>
      </c>
      <c r="N554" s="6">
        <f t="shared" si="55"/>
        <v>385</v>
      </c>
      <c r="O554" s="6">
        <f t="shared" si="56"/>
        <v>440039.60000000003</v>
      </c>
      <c r="P554" s="6">
        <v>55</v>
      </c>
      <c r="Q554" s="6">
        <v>74502</v>
      </c>
      <c r="R554" s="60"/>
      <c r="S554" s="60"/>
    </row>
    <row r="555" spans="1:19" s="1" customFormat="1" hidden="1" outlineLevel="1" x14ac:dyDescent="0.25">
      <c r="A555" s="7" t="s">
        <v>909</v>
      </c>
      <c r="B555" s="7" t="s">
        <v>910</v>
      </c>
      <c r="C555" s="14">
        <v>137</v>
      </c>
      <c r="D555" s="6"/>
      <c r="E555" s="6">
        <v>83.87</v>
      </c>
      <c r="F555" s="6">
        <v>70</v>
      </c>
      <c r="G555" s="6">
        <v>9590</v>
      </c>
      <c r="H555" s="6"/>
      <c r="I555" s="6"/>
      <c r="J555" s="6">
        <v>0</v>
      </c>
      <c r="K555" s="6">
        <v>0</v>
      </c>
      <c r="L555" s="6"/>
      <c r="M555" s="6"/>
      <c r="N555" s="6">
        <f t="shared" si="55"/>
        <v>70</v>
      </c>
      <c r="O555" s="6">
        <f t="shared" si="56"/>
        <v>9590</v>
      </c>
      <c r="P555" s="6">
        <v>33</v>
      </c>
      <c r="Q555" s="6">
        <v>5708</v>
      </c>
      <c r="R555" s="60"/>
      <c r="S555" s="60"/>
    </row>
    <row r="556" spans="1:19" s="1" customFormat="1" hidden="1" outlineLevel="1" x14ac:dyDescent="0.25">
      <c r="A556" s="7" t="s">
        <v>833</v>
      </c>
      <c r="B556" s="7" t="s">
        <v>834</v>
      </c>
      <c r="C556" s="14">
        <v>24.96</v>
      </c>
      <c r="D556" s="6">
        <v>154.04</v>
      </c>
      <c r="E556" s="6">
        <v>100</v>
      </c>
      <c r="F556" s="6">
        <v>40</v>
      </c>
      <c r="G556" s="6">
        <v>998.4</v>
      </c>
      <c r="H556" s="6">
        <v>50</v>
      </c>
      <c r="I556" s="6">
        <v>1248</v>
      </c>
      <c r="J556" s="6">
        <v>799</v>
      </c>
      <c r="K556" s="6">
        <v>19943.04</v>
      </c>
      <c r="L556" s="6"/>
      <c r="M556" s="6"/>
      <c r="N556" s="6">
        <f t="shared" si="55"/>
        <v>889</v>
      </c>
      <c r="O556" s="6">
        <f t="shared" si="56"/>
        <v>22189.440000000002</v>
      </c>
      <c r="P556" s="6">
        <v>50</v>
      </c>
      <c r="Q556" s="6">
        <v>1275</v>
      </c>
      <c r="R556" s="60"/>
      <c r="S556" s="60"/>
    </row>
    <row r="557" spans="1:19" s="1" customFormat="1" hidden="1" outlineLevel="1" x14ac:dyDescent="0.25">
      <c r="A557" s="7" t="s">
        <v>576</v>
      </c>
      <c r="B557" s="7" t="s">
        <v>577</v>
      </c>
      <c r="C557" s="14">
        <v>166.16</v>
      </c>
      <c r="D557" s="6">
        <v>60.83</v>
      </c>
      <c r="E557" s="6">
        <v>99.52</v>
      </c>
      <c r="F557" s="6"/>
      <c r="G557" s="6"/>
      <c r="H557" s="6">
        <v>5</v>
      </c>
      <c r="I557" s="6">
        <v>830.8</v>
      </c>
      <c r="J557" s="6">
        <v>160</v>
      </c>
      <c r="K557" s="6">
        <v>26585.599999999999</v>
      </c>
      <c r="L557" s="6"/>
      <c r="M557" s="6"/>
      <c r="N557" s="6">
        <f t="shared" si="55"/>
        <v>165</v>
      </c>
      <c r="O557" s="6">
        <f t="shared" si="56"/>
        <v>27416.399999999998</v>
      </c>
      <c r="P557" s="6">
        <v>26</v>
      </c>
      <c r="Q557" s="6">
        <v>4369</v>
      </c>
      <c r="R557" s="60"/>
      <c r="S557" s="60"/>
    </row>
    <row r="558" spans="1:19" s="1" customFormat="1" hidden="1" outlineLevel="1" x14ac:dyDescent="0.25">
      <c r="A558" s="7" t="s">
        <v>1139</v>
      </c>
      <c r="B558" s="7" t="s">
        <v>1140</v>
      </c>
      <c r="C558" s="14">
        <v>331.27</v>
      </c>
      <c r="D558" s="6">
        <v>154.13999999999999</v>
      </c>
      <c r="E558" s="6">
        <v>100</v>
      </c>
      <c r="F558" s="6"/>
      <c r="G558" s="6"/>
      <c r="H558" s="6">
        <v>6</v>
      </c>
      <c r="I558" s="6">
        <v>1987.62</v>
      </c>
      <c r="J558" s="6">
        <v>49</v>
      </c>
      <c r="K558" s="6">
        <v>16232.23</v>
      </c>
      <c r="L558" s="6"/>
      <c r="M558" s="6"/>
      <c r="N558" s="6">
        <f t="shared" si="55"/>
        <v>55</v>
      </c>
      <c r="O558" s="6">
        <f t="shared" si="56"/>
        <v>18219.849999999999</v>
      </c>
      <c r="P558" s="6">
        <v>124</v>
      </c>
      <c r="Q558" s="6">
        <v>51005</v>
      </c>
      <c r="R558" s="60"/>
      <c r="S558" s="60"/>
    </row>
    <row r="559" spans="1:19" s="1" customFormat="1" hidden="1" outlineLevel="1" x14ac:dyDescent="0.25">
      <c r="A559" s="7" t="s">
        <v>1103</v>
      </c>
      <c r="B559" s="7" t="s">
        <v>1104</v>
      </c>
      <c r="C559" s="14">
        <v>119.24</v>
      </c>
      <c r="D559" s="6">
        <v>1137.24</v>
      </c>
      <c r="E559" s="6">
        <v>100</v>
      </c>
      <c r="F559" s="6"/>
      <c r="G559" s="6"/>
      <c r="H559" s="6"/>
      <c r="I559" s="6"/>
      <c r="J559" s="6">
        <v>275</v>
      </c>
      <c r="K559" s="6">
        <v>32791</v>
      </c>
      <c r="L559" s="6"/>
      <c r="M559" s="6"/>
      <c r="N559" s="6">
        <f t="shared" si="55"/>
        <v>275</v>
      </c>
      <c r="O559" s="6">
        <f t="shared" si="56"/>
        <v>32791</v>
      </c>
      <c r="P559" s="6">
        <v>142</v>
      </c>
      <c r="Q559" s="6">
        <v>20862</v>
      </c>
      <c r="R559" s="60">
        <f t="shared" si="57"/>
        <v>231.4735675846787</v>
      </c>
      <c r="S559" s="60">
        <f t="shared" si="58"/>
        <v>27600.908198797086</v>
      </c>
    </row>
    <row r="560" spans="1:19" s="1" customFormat="1" hidden="1" outlineLevel="1" x14ac:dyDescent="0.25">
      <c r="A560" s="7" t="s">
        <v>1009</v>
      </c>
      <c r="B560" s="7" t="s">
        <v>1010</v>
      </c>
      <c r="C560" s="14">
        <v>48.43</v>
      </c>
      <c r="D560" s="6">
        <v>178.87</v>
      </c>
      <c r="E560" s="6">
        <v>100</v>
      </c>
      <c r="F560" s="6"/>
      <c r="G560" s="6"/>
      <c r="H560" s="6">
        <v>200</v>
      </c>
      <c r="I560" s="6">
        <v>9686</v>
      </c>
      <c r="J560" s="6">
        <v>970</v>
      </c>
      <c r="K560" s="6">
        <v>46977.1</v>
      </c>
      <c r="L560" s="6"/>
      <c r="M560" s="6"/>
      <c r="N560" s="6">
        <f t="shared" si="55"/>
        <v>1170</v>
      </c>
      <c r="O560" s="6">
        <f t="shared" si="56"/>
        <v>56663.1</v>
      </c>
      <c r="P560" s="6">
        <v>82</v>
      </c>
      <c r="Q560" s="6">
        <v>4161</v>
      </c>
      <c r="R560" s="60"/>
      <c r="S560" s="60"/>
    </row>
    <row r="561" spans="1:19" s="1" customFormat="1" hidden="1" outlineLevel="1" x14ac:dyDescent="0.25">
      <c r="A561" s="7" t="s">
        <v>1161</v>
      </c>
      <c r="B561" s="7" t="s">
        <v>1162</v>
      </c>
      <c r="C561" s="14">
        <v>271.20999999999998</v>
      </c>
      <c r="D561" s="6">
        <v>138.11000000000001</v>
      </c>
      <c r="E561" s="6">
        <v>100</v>
      </c>
      <c r="F561" s="6"/>
      <c r="G561" s="6"/>
      <c r="H561" s="6">
        <v>200</v>
      </c>
      <c r="I561" s="6">
        <v>54242</v>
      </c>
      <c r="J561" s="6">
        <v>179</v>
      </c>
      <c r="K561" s="6">
        <v>48546.59</v>
      </c>
      <c r="L561" s="6"/>
      <c r="M561" s="6"/>
      <c r="N561" s="6">
        <f t="shared" si="55"/>
        <v>379</v>
      </c>
      <c r="O561" s="6">
        <f t="shared" si="56"/>
        <v>102788.59</v>
      </c>
      <c r="P561" s="6">
        <v>34</v>
      </c>
      <c r="Q561" s="6">
        <v>10198</v>
      </c>
      <c r="R561" s="60"/>
      <c r="S561" s="60"/>
    </row>
    <row r="562" spans="1:19" s="1" customFormat="1" hidden="1" outlineLevel="1" x14ac:dyDescent="0.25">
      <c r="A562" s="7" t="s">
        <v>1143</v>
      </c>
      <c r="B562" s="7" t="s">
        <v>1144</v>
      </c>
      <c r="C562" s="14">
        <v>257.08</v>
      </c>
      <c r="D562" s="6">
        <v>146.13999999999999</v>
      </c>
      <c r="E562" s="6">
        <v>100</v>
      </c>
      <c r="F562" s="6"/>
      <c r="G562" s="6"/>
      <c r="H562" s="6"/>
      <c r="I562" s="6"/>
      <c r="J562" s="6">
        <v>283</v>
      </c>
      <c r="K562" s="6">
        <v>72753.64</v>
      </c>
      <c r="L562" s="6"/>
      <c r="M562" s="6"/>
      <c r="N562" s="6">
        <f t="shared" si="55"/>
        <v>283</v>
      </c>
      <c r="O562" s="6">
        <f t="shared" si="56"/>
        <v>72753.64</v>
      </c>
      <c r="P562" s="6">
        <v>41</v>
      </c>
      <c r="Q562" s="6">
        <v>13032</v>
      </c>
      <c r="R562" s="60"/>
      <c r="S562" s="60"/>
    </row>
    <row r="563" spans="1:19" s="1" customFormat="1" hidden="1" outlineLevel="1" x14ac:dyDescent="0.25">
      <c r="A563" s="7" t="s">
        <v>1091</v>
      </c>
      <c r="B563" s="7" t="s">
        <v>1092</v>
      </c>
      <c r="C563" s="14">
        <v>134.33000000000001</v>
      </c>
      <c r="D563" s="6">
        <v>162.72999999999999</v>
      </c>
      <c r="E563" s="6">
        <v>100</v>
      </c>
      <c r="F563" s="6">
        <v>330</v>
      </c>
      <c r="G563" s="6">
        <v>44328.9</v>
      </c>
      <c r="H563" s="6">
        <v>15</v>
      </c>
      <c r="I563" s="6">
        <v>2014.95</v>
      </c>
      <c r="J563" s="6">
        <v>55</v>
      </c>
      <c r="K563" s="6">
        <v>7388.15</v>
      </c>
      <c r="L563" s="6"/>
      <c r="M563" s="6"/>
      <c r="N563" s="6">
        <f t="shared" si="55"/>
        <v>400</v>
      </c>
      <c r="O563" s="6">
        <f t="shared" si="56"/>
        <v>53732.000000000007</v>
      </c>
      <c r="P563" s="6">
        <v>43</v>
      </c>
      <c r="Q563" s="6">
        <v>7183</v>
      </c>
      <c r="R563" s="60"/>
      <c r="S563" s="60"/>
    </row>
    <row r="564" spans="1:19" s="1" customFormat="1" hidden="1" outlineLevel="1" x14ac:dyDescent="0.25">
      <c r="A564" s="7" t="s">
        <v>1027</v>
      </c>
      <c r="B564" s="7" t="s">
        <v>1028</v>
      </c>
      <c r="C564" s="14">
        <v>48.43</v>
      </c>
      <c r="D564" s="6">
        <v>141.69999999999999</v>
      </c>
      <c r="E564" s="6">
        <v>100</v>
      </c>
      <c r="F564" s="6"/>
      <c r="G564" s="6"/>
      <c r="H564" s="6">
        <v>39</v>
      </c>
      <c r="I564" s="6">
        <v>1888.77</v>
      </c>
      <c r="J564" s="6">
        <v>557</v>
      </c>
      <c r="K564" s="6">
        <v>26975.51</v>
      </c>
      <c r="L564" s="6"/>
      <c r="M564" s="6"/>
      <c r="N564" s="6">
        <f t="shared" si="55"/>
        <v>596</v>
      </c>
      <c r="O564" s="6">
        <f t="shared" si="56"/>
        <v>28864.28</v>
      </c>
      <c r="P564" s="6">
        <v>48</v>
      </c>
      <c r="Q564" s="6">
        <v>2689</v>
      </c>
      <c r="R564" s="60"/>
      <c r="S564" s="60"/>
    </row>
    <row r="565" spans="1:19" s="1" customFormat="1" hidden="1" outlineLevel="1" x14ac:dyDescent="0.25">
      <c r="A565" s="7" t="s">
        <v>478</v>
      </c>
      <c r="B565" s="7" t="s">
        <v>479</v>
      </c>
      <c r="C565" s="14">
        <v>46.12</v>
      </c>
      <c r="D565" s="6">
        <v>493.15</v>
      </c>
      <c r="E565" s="6">
        <v>100</v>
      </c>
      <c r="F565" s="6"/>
      <c r="G565" s="6"/>
      <c r="H565" s="6">
        <v>5</v>
      </c>
      <c r="I565" s="6">
        <v>230.6</v>
      </c>
      <c r="J565" s="6">
        <v>971</v>
      </c>
      <c r="K565" s="6">
        <v>44782.52</v>
      </c>
      <c r="L565" s="6"/>
      <c r="M565" s="6"/>
      <c r="N565" s="6">
        <f t="shared" si="55"/>
        <v>976</v>
      </c>
      <c r="O565" s="6">
        <f t="shared" si="56"/>
        <v>45013.119999999995</v>
      </c>
      <c r="P565" s="6">
        <v>127</v>
      </c>
      <c r="Q565" s="6">
        <v>7165</v>
      </c>
      <c r="R565" s="60">
        <f t="shared" si="57"/>
        <v>616.58450775626079</v>
      </c>
      <c r="S565" s="60">
        <f t="shared" si="58"/>
        <v>28436.877497718746</v>
      </c>
    </row>
    <row r="566" spans="1:19" s="1" customFormat="1" hidden="1" outlineLevel="1" x14ac:dyDescent="0.25">
      <c r="A566" s="7" t="s">
        <v>189</v>
      </c>
      <c r="B566" s="7" t="s">
        <v>190</v>
      </c>
      <c r="C566" s="14">
        <v>52.14</v>
      </c>
      <c r="D566" s="6">
        <v>184.1</v>
      </c>
      <c r="E566" s="6">
        <v>100</v>
      </c>
      <c r="F566" s="6">
        <v>20</v>
      </c>
      <c r="G566" s="6">
        <v>1042.8</v>
      </c>
      <c r="H566" s="6"/>
      <c r="I566" s="6"/>
      <c r="J566" s="6">
        <v>2461</v>
      </c>
      <c r="K566" s="6">
        <v>128316.54</v>
      </c>
      <c r="L566" s="6"/>
      <c r="M566" s="6"/>
      <c r="N566" s="6">
        <f t="shared" si="55"/>
        <v>2481</v>
      </c>
      <c r="O566" s="6">
        <f t="shared" si="56"/>
        <v>129359.34</v>
      </c>
      <c r="P566" s="6">
        <v>212</v>
      </c>
      <c r="Q566" s="6">
        <v>11362</v>
      </c>
      <c r="R566" s="60">
        <f t="shared" si="57"/>
        <v>54.8077131993481</v>
      </c>
      <c r="S566" s="60">
        <f t="shared" si="58"/>
        <v>2857.6741662140098</v>
      </c>
    </row>
    <row r="567" spans="1:19" s="1" customFormat="1" hidden="1" outlineLevel="1" x14ac:dyDescent="0.25">
      <c r="A567" s="7" t="s">
        <v>961</v>
      </c>
      <c r="B567" s="7" t="s">
        <v>962</v>
      </c>
      <c r="C567" s="14">
        <v>66.510000000000005</v>
      </c>
      <c r="D567" s="6">
        <v>333.1</v>
      </c>
      <c r="E567" s="6">
        <v>100</v>
      </c>
      <c r="F567" s="6">
        <v>3</v>
      </c>
      <c r="G567" s="6">
        <v>199.53</v>
      </c>
      <c r="H567" s="6"/>
      <c r="I567" s="6"/>
      <c r="J567" s="6">
        <v>870</v>
      </c>
      <c r="K567" s="6">
        <v>57863.7</v>
      </c>
      <c r="L567" s="6"/>
      <c r="M567" s="6"/>
      <c r="N567" s="6">
        <f t="shared" si="55"/>
        <v>873</v>
      </c>
      <c r="O567" s="6">
        <f t="shared" si="56"/>
        <v>58063.23</v>
      </c>
      <c r="P567" s="6">
        <v>23</v>
      </c>
      <c r="Q567" s="6">
        <v>1582</v>
      </c>
      <c r="R567" s="60">
        <f t="shared" si="57"/>
        <v>399.87090963674575</v>
      </c>
      <c r="S567" s="60">
        <f t="shared" si="58"/>
        <v>26595.414199939962</v>
      </c>
    </row>
    <row r="568" spans="1:19" s="1" customFormat="1" hidden="1" outlineLevel="1" x14ac:dyDescent="0.25">
      <c r="A568" s="7" t="s">
        <v>187</v>
      </c>
      <c r="B568" s="7" t="s">
        <v>188</v>
      </c>
      <c r="C568" s="14">
        <v>56.93</v>
      </c>
      <c r="D568" s="6">
        <v>80.47</v>
      </c>
      <c r="E568" s="6">
        <v>100</v>
      </c>
      <c r="F568" s="6"/>
      <c r="G568" s="6"/>
      <c r="H568" s="6"/>
      <c r="I568" s="6"/>
      <c r="J568" s="6">
        <v>1677</v>
      </c>
      <c r="K568" s="6">
        <v>95471.61</v>
      </c>
      <c r="L568" s="6"/>
      <c r="M568" s="6"/>
      <c r="N568" s="6">
        <f t="shared" si="55"/>
        <v>1677</v>
      </c>
      <c r="O568" s="6">
        <f t="shared" si="56"/>
        <v>95471.61</v>
      </c>
      <c r="P568" s="6">
        <v>344</v>
      </c>
      <c r="Q568" s="6">
        <v>21448</v>
      </c>
      <c r="R568" s="60"/>
      <c r="S568" s="60"/>
    </row>
    <row r="569" spans="1:19" s="1" customFormat="1" hidden="1" outlineLevel="1" x14ac:dyDescent="0.25">
      <c r="A569" s="7" t="s">
        <v>516</v>
      </c>
      <c r="B569" s="7" t="s">
        <v>517</v>
      </c>
      <c r="C569" s="14">
        <v>199</v>
      </c>
      <c r="D569" s="6">
        <v>89.47</v>
      </c>
      <c r="E569" s="6">
        <v>100</v>
      </c>
      <c r="F569" s="6"/>
      <c r="G569" s="6"/>
      <c r="H569" s="6"/>
      <c r="I569" s="6"/>
      <c r="J569" s="6">
        <v>268</v>
      </c>
      <c r="K569" s="6">
        <v>53332</v>
      </c>
      <c r="L569" s="6"/>
      <c r="M569" s="6"/>
      <c r="N569" s="6">
        <f t="shared" si="55"/>
        <v>268</v>
      </c>
      <c r="O569" s="6">
        <f t="shared" si="56"/>
        <v>53332</v>
      </c>
      <c r="P569" s="6">
        <v>42</v>
      </c>
      <c r="Q569" s="6">
        <v>9370</v>
      </c>
      <c r="R569" s="60"/>
      <c r="S569" s="60"/>
    </row>
    <row r="570" spans="1:19" s="1" customFormat="1" hidden="1" outlineLevel="1" x14ac:dyDescent="0.25">
      <c r="A570" s="7" t="s">
        <v>514</v>
      </c>
      <c r="B570" s="7" t="s">
        <v>515</v>
      </c>
      <c r="C570" s="14">
        <v>145</v>
      </c>
      <c r="D570" s="6">
        <v>95.31</v>
      </c>
      <c r="E570" s="6">
        <v>100</v>
      </c>
      <c r="F570" s="6">
        <v>25</v>
      </c>
      <c r="G570" s="6">
        <v>3625</v>
      </c>
      <c r="H570" s="6"/>
      <c r="I570" s="6"/>
      <c r="J570" s="6">
        <v>232</v>
      </c>
      <c r="K570" s="6">
        <v>33640</v>
      </c>
      <c r="L570" s="6"/>
      <c r="M570" s="6"/>
      <c r="N570" s="6">
        <f t="shared" si="55"/>
        <v>257</v>
      </c>
      <c r="O570" s="6">
        <f t="shared" si="56"/>
        <v>37265</v>
      </c>
      <c r="P570" s="6">
        <v>59</v>
      </c>
      <c r="Q570" s="6">
        <v>9731</v>
      </c>
      <c r="R570" s="60"/>
      <c r="S570" s="60"/>
    </row>
    <row r="571" spans="1:19" s="1" customFormat="1" hidden="1" outlineLevel="1" x14ac:dyDescent="0.25">
      <c r="A571" s="7" t="s">
        <v>1055</v>
      </c>
      <c r="B571" s="7" t="s">
        <v>1056</v>
      </c>
      <c r="C571" s="14">
        <v>33.74</v>
      </c>
      <c r="D571" s="6">
        <v>996.36</v>
      </c>
      <c r="E571" s="6">
        <v>100</v>
      </c>
      <c r="F571" s="6">
        <v>378</v>
      </c>
      <c r="G571" s="6">
        <v>12753.72</v>
      </c>
      <c r="H571" s="6"/>
      <c r="I571" s="6"/>
      <c r="J571" s="6">
        <v>1467</v>
      </c>
      <c r="K571" s="6">
        <v>49496.58</v>
      </c>
      <c r="L571" s="6"/>
      <c r="M571" s="6"/>
      <c r="N571" s="6">
        <f t="shared" si="55"/>
        <v>1845</v>
      </c>
      <c r="O571" s="6">
        <f t="shared" si="56"/>
        <v>62250.3</v>
      </c>
      <c r="P571" s="6">
        <v>11</v>
      </c>
      <c r="Q571" s="6">
        <v>447</v>
      </c>
      <c r="R571" s="60">
        <f t="shared" si="57"/>
        <v>1201.9753101288691</v>
      </c>
      <c r="S571" s="60">
        <f t="shared" si="58"/>
        <v>40554.646963748048</v>
      </c>
    </row>
    <row r="572" spans="1:19" s="1" customFormat="1" hidden="1" outlineLevel="1" x14ac:dyDescent="0.25">
      <c r="A572" s="7" t="s">
        <v>1273</v>
      </c>
      <c r="B572" s="7" t="s">
        <v>1274</v>
      </c>
      <c r="C572" s="14">
        <v>43.27</v>
      </c>
      <c r="D572" s="6">
        <v>67.13</v>
      </c>
      <c r="E572" s="6">
        <v>100</v>
      </c>
      <c r="F572" s="6"/>
      <c r="G572" s="6"/>
      <c r="H572" s="6">
        <v>123</v>
      </c>
      <c r="I572" s="6">
        <v>5322.21</v>
      </c>
      <c r="J572" s="6">
        <v>284</v>
      </c>
      <c r="K572" s="6">
        <v>12288.68</v>
      </c>
      <c r="L572" s="6"/>
      <c r="M572" s="6"/>
      <c r="N572" s="6">
        <f t="shared" si="55"/>
        <v>407</v>
      </c>
      <c r="O572" s="6">
        <f t="shared" si="56"/>
        <v>17610.890000000003</v>
      </c>
      <c r="P572" s="6">
        <v>87</v>
      </c>
      <c r="Q572" s="6">
        <v>4094</v>
      </c>
      <c r="R572" s="60"/>
      <c r="S572" s="60"/>
    </row>
    <row r="573" spans="1:19" s="1" customFormat="1" hidden="1" outlineLevel="1" x14ac:dyDescent="0.25">
      <c r="A573" s="7" t="s">
        <v>664</v>
      </c>
      <c r="B573" s="7" t="s">
        <v>665</v>
      </c>
      <c r="C573" s="14">
        <v>544.6</v>
      </c>
      <c r="D573" s="6">
        <v>841.17</v>
      </c>
      <c r="E573" s="6">
        <v>100</v>
      </c>
      <c r="F573" s="6"/>
      <c r="G573" s="6"/>
      <c r="H573" s="6">
        <v>1</v>
      </c>
      <c r="I573" s="6">
        <v>544.6</v>
      </c>
      <c r="J573" s="6">
        <v>52</v>
      </c>
      <c r="K573" s="6">
        <v>28319.200000000001</v>
      </c>
      <c r="L573" s="6"/>
      <c r="M573" s="6"/>
      <c r="N573" s="6">
        <f t="shared" si="55"/>
        <v>53</v>
      </c>
      <c r="O573" s="6">
        <f t="shared" si="56"/>
        <v>28863.800000000003</v>
      </c>
      <c r="P573" s="6">
        <v>1</v>
      </c>
      <c r="Q573" s="6">
        <v>345</v>
      </c>
      <c r="R573" s="60">
        <f t="shared" si="57"/>
        <v>40.872641677663253</v>
      </c>
      <c r="S573" s="60">
        <f t="shared" si="58"/>
        <v>22259.240657655409</v>
      </c>
    </row>
    <row r="574" spans="1:19" s="1" customFormat="1" hidden="1" outlineLevel="1" x14ac:dyDescent="0.25">
      <c r="A574" s="7" t="s">
        <v>564</v>
      </c>
      <c r="B574" s="7" t="s">
        <v>565</v>
      </c>
      <c r="C574" s="14">
        <v>52.73</v>
      </c>
      <c r="D574" s="6">
        <v>26.41</v>
      </c>
      <c r="E574" s="6">
        <v>99.95</v>
      </c>
      <c r="F574" s="6"/>
      <c r="G574" s="6"/>
      <c r="H574" s="6">
        <v>23</v>
      </c>
      <c r="I574" s="6">
        <v>1212.79</v>
      </c>
      <c r="J574" s="6">
        <v>545.20000000000005</v>
      </c>
      <c r="K574" s="6">
        <v>28748.400000000001</v>
      </c>
      <c r="L574" s="6"/>
      <c r="M574" s="6"/>
      <c r="N574" s="6">
        <f t="shared" si="55"/>
        <v>568.20000000000005</v>
      </c>
      <c r="O574" s="6">
        <f t="shared" si="56"/>
        <v>29961.186000000002</v>
      </c>
      <c r="P574" s="6">
        <v>166</v>
      </c>
      <c r="Q574" s="6">
        <v>8651</v>
      </c>
      <c r="R574" s="60"/>
      <c r="S574" s="60"/>
    </row>
    <row r="575" spans="1:19" s="1" customFormat="1" hidden="1" outlineLevel="1" x14ac:dyDescent="0.25">
      <c r="A575" s="7" t="s">
        <v>1213</v>
      </c>
      <c r="B575" s="7" t="s">
        <v>1214</v>
      </c>
      <c r="C575" s="14">
        <v>381.32</v>
      </c>
      <c r="D575" s="6">
        <v>54.95</v>
      </c>
      <c r="E575" s="6">
        <v>100</v>
      </c>
      <c r="F575" s="6"/>
      <c r="G575" s="6"/>
      <c r="H575" s="6"/>
      <c r="I575" s="6"/>
      <c r="J575" s="6">
        <v>104</v>
      </c>
      <c r="K575" s="6">
        <v>39657.279999999999</v>
      </c>
      <c r="L575" s="6"/>
      <c r="M575" s="6"/>
      <c r="N575" s="6">
        <f t="shared" si="55"/>
        <v>104</v>
      </c>
      <c r="O575" s="6">
        <f t="shared" si="56"/>
        <v>39657.279999999999</v>
      </c>
      <c r="P575" s="6">
        <v>27</v>
      </c>
      <c r="Q575" s="6">
        <v>10481</v>
      </c>
      <c r="R575" s="60"/>
      <c r="S575" s="60"/>
    </row>
    <row r="576" spans="1:19" s="1" customFormat="1" hidden="1" outlineLevel="1" x14ac:dyDescent="0.25">
      <c r="A576" s="7" t="s">
        <v>438</v>
      </c>
      <c r="B576" s="7" t="s">
        <v>439</v>
      </c>
      <c r="C576" s="14">
        <v>53.1</v>
      </c>
      <c r="D576" s="6">
        <v>41.14</v>
      </c>
      <c r="E576" s="6">
        <v>100</v>
      </c>
      <c r="F576" s="6">
        <v>10</v>
      </c>
      <c r="G576" s="6">
        <v>531</v>
      </c>
      <c r="H576" s="6"/>
      <c r="I576" s="6"/>
      <c r="J576" s="6">
        <v>194</v>
      </c>
      <c r="K576" s="6">
        <v>10301.4</v>
      </c>
      <c r="L576" s="6"/>
      <c r="M576" s="6"/>
      <c r="N576" s="6">
        <f t="shared" si="55"/>
        <v>204</v>
      </c>
      <c r="O576" s="6">
        <f t="shared" si="56"/>
        <v>10832.4</v>
      </c>
      <c r="P576" s="6">
        <v>109</v>
      </c>
      <c r="Q576" s="6">
        <v>5840</v>
      </c>
      <c r="R576" s="60"/>
      <c r="S576" s="60"/>
    </row>
    <row r="577" spans="1:19" s="1" customFormat="1" hidden="1" outlineLevel="1" x14ac:dyDescent="0.25">
      <c r="A577" s="7" t="s">
        <v>47</v>
      </c>
      <c r="B577" s="7" t="s">
        <v>48</v>
      </c>
      <c r="C577" s="14">
        <v>107</v>
      </c>
      <c r="D577" s="6">
        <v>44.71</v>
      </c>
      <c r="E577" s="6">
        <v>100</v>
      </c>
      <c r="F577" s="6"/>
      <c r="G577" s="6"/>
      <c r="H577" s="6">
        <v>8</v>
      </c>
      <c r="I577" s="6">
        <v>856</v>
      </c>
      <c r="J577" s="6">
        <v>1038</v>
      </c>
      <c r="K577" s="6">
        <v>111066</v>
      </c>
      <c r="L577" s="6"/>
      <c r="M577" s="6"/>
      <c r="N577" s="6">
        <f t="shared" si="55"/>
        <v>1046</v>
      </c>
      <c r="O577" s="6">
        <f t="shared" si="56"/>
        <v>111922</v>
      </c>
      <c r="P577" s="6">
        <v>229</v>
      </c>
      <c r="Q577" s="6">
        <v>27876</v>
      </c>
      <c r="R577" s="60"/>
      <c r="S577" s="60"/>
    </row>
    <row r="578" spans="1:19" s="1" customFormat="1" hidden="1" outlineLevel="1" x14ac:dyDescent="0.25">
      <c r="A578" s="7" t="s">
        <v>1215</v>
      </c>
      <c r="B578" s="7" t="s">
        <v>1216</v>
      </c>
      <c r="C578" s="14">
        <v>381.32</v>
      </c>
      <c r="D578" s="6">
        <v>96.47</v>
      </c>
      <c r="E578" s="6">
        <v>100</v>
      </c>
      <c r="F578" s="6"/>
      <c r="G578" s="6"/>
      <c r="H578" s="6"/>
      <c r="I578" s="6"/>
      <c r="J578" s="6">
        <v>157</v>
      </c>
      <c r="K578" s="6">
        <v>59867.24</v>
      </c>
      <c r="L578" s="6"/>
      <c r="M578" s="6"/>
      <c r="N578" s="6">
        <f t="shared" si="55"/>
        <v>157</v>
      </c>
      <c r="O578" s="6">
        <f t="shared" si="56"/>
        <v>59867.24</v>
      </c>
      <c r="P578" s="6">
        <v>36</v>
      </c>
      <c r="Q578" s="6">
        <v>14949</v>
      </c>
      <c r="R578" s="60"/>
      <c r="S578" s="60"/>
    </row>
    <row r="579" spans="1:19" s="1" customFormat="1" hidden="1" outlineLevel="1" x14ac:dyDescent="0.25">
      <c r="A579" s="7" t="s">
        <v>1177</v>
      </c>
      <c r="B579" s="7" t="s">
        <v>1178</v>
      </c>
      <c r="C579" s="14">
        <v>984.61</v>
      </c>
      <c r="D579" s="6"/>
      <c r="E579" s="6">
        <v>100</v>
      </c>
      <c r="F579" s="6"/>
      <c r="G579" s="6"/>
      <c r="H579" s="6"/>
      <c r="I579" s="6"/>
      <c r="J579" s="6">
        <v>98</v>
      </c>
      <c r="K579" s="6">
        <v>96491.78</v>
      </c>
      <c r="L579" s="6"/>
      <c r="M579" s="6"/>
      <c r="N579" s="6">
        <f t="shared" si="55"/>
        <v>98</v>
      </c>
      <c r="O579" s="6">
        <f t="shared" si="56"/>
        <v>96491.78</v>
      </c>
      <c r="P579" s="6">
        <v>13</v>
      </c>
      <c r="Q579" s="6">
        <v>16410</v>
      </c>
      <c r="R579" s="60"/>
      <c r="S579" s="60"/>
    </row>
    <row r="580" spans="1:19" s="1" customFormat="1" hidden="1" outlineLevel="1" x14ac:dyDescent="0.25">
      <c r="A580" s="7" t="s">
        <v>1255</v>
      </c>
      <c r="B580" s="7" t="s">
        <v>1256</v>
      </c>
      <c r="C580" s="14">
        <v>56.72</v>
      </c>
      <c r="D580" s="6">
        <v>33.9</v>
      </c>
      <c r="E580" s="6">
        <v>100</v>
      </c>
      <c r="F580" s="6"/>
      <c r="G580" s="6"/>
      <c r="H580" s="6">
        <v>10</v>
      </c>
      <c r="I580" s="6">
        <v>567.20000000000005</v>
      </c>
      <c r="J580" s="6">
        <v>534</v>
      </c>
      <c r="K580" s="6">
        <v>30288.48</v>
      </c>
      <c r="L580" s="6"/>
      <c r="M580" s="6"/>
      <c r="N580" s="6">
        <f t="shared" si="55"/>
        <v>544</v>
      </c>
      <c r="O580" s="6">
        <f t="shared" si="56"/>
        <v>30855.68</v>
      </c>
      <c r="P580" s="6">
        <v>130</v>
      </c>
      <c r="Q580" s="6">
        <v>7312</v>
      </c>
      <c r="R580" s="60"/>
      <c r="S580" s="60"/>
    </row>
    <row r="581" spans="1:19" s="1" customFormat="1" hidden="1" outlineLevel="1" x14ac:dyDescent="0.25">
      <c r="A581" s="7" t="s">
        <v>1119</v>
      </c>
      <c r="B581" s="7" t="s">
        <v>1120</v>
      </c>
      <c r="C581" s="14">
        <v>168.07</v>
      </c>
      <c r="D581" s="6">
        <v>247.7</v>
      </c>
      <c r="E581" s="6">
        <v>100</v>
      </c>
      <c r="F581" s="6"/>
      <c r="G581" s="6"/>
      <c r="H581" s="6">
        <v>130</v>
      </c>
      <c r="I581" s="6">
        <v>21849.1</v>
      </c>
      <c r="J581" s="6">
        <v>190</v>
      </c>
      <c r="K581" s="6">
        <v>31933.3</v>
      </c>
      <c r="L581" s="6"/>
      <c r="M581" s="6"/>
      <c r="N581" s="6">
        <f t="shared" si="55"/>
        <v>320</v>
      </c>
      <c r="O581" s="6">
        <f t="shared" si="56"/>
        <v>53782.399999999994</v>
      </c>
      <c r="P581" s="6">
        <v>114</v>
      </c>
      <c r="Q581" s="6">
        <v>23728</v>
      </c>
      <c r="R581" s="60">
        <f t="shared" si="57"/>
        <v>51.929753734356069</v>
      </c>
      <c r="S581" s="60">
        <f t="shared" si="58"/>
        <v>8727.8337101332236</v>
      </c>
    </row>
    <row r="582" spans="1:19" s="1" customFormat="1" hidden="1" outlineLevel="1" x14ac:dyDescent="0.25">
      <c r="A582" s="7" t="s">
        <v>1201</v>
      </c>
      <c r="B582" s="7" t="s">
        <v>1202</v>
      </c>
      <c r="C582" s="14">
        <v>153.4</v>
      </c>
      <c r="D582" s="6"/>
      <c r="E582" s="6">
        <v>100</v>
      </c>
      <c r="F582" s="6"/>
      <c r="G582" s="6"/>
      <c r="H582" s="6"/>
      <c r="I582" s="6"/>
      <c r="J582" s="6">
        <v>383</v>
      </c>
      <c r="K582" s="6">
        <v>58752.2</v>
      </c>
      <c r="L582" s="6"/>
      <c r="M582" s="6"/>
      <c r="N582" s="6">
        <f t="shared" si="55"/>
        <v>383</v>
      </c>
      <c r="O582" s="6">
        <f t="shared" si="56"/>
        <v>58752.200000000004</v>
      </c>
      <c r="P582" s="6">
        <v>17</v>
      </c>
      <c r="Q582" s="6">
        <v>3196</v>
      </c>
      <c r="R582" s="60"/>
      <c r="S582" s="60"/>
    </row>
    <row r="583" spans="1:19" s="1" customFormat="1" hidden="1" outlineLevel="1" x14ac:dyDescent="0.25">
      <c r="A583" s="7" t="s">
        <v>935</v>
      </c>
      <c r="B583" s="7" t="s">
        <v>936</v>
      </c>
      <c r="C583" s="14">
        <v>105</v>
      </c>
      <c r="D583" s="6">
        <v>546.1</v>
      </c>
      <c r="E583" s="6">
        <v>100</v>
      </c>
      <c r="F583" s="6">
        <v>8</v>
      </c>
      <c r="G583" s="6">
        <v>840</v>
      </c>
      <c r="H583" s="6">
        <v>810</v>
      </c>
      <c r="I583" s="6">
        <v>85050</v>
      </c>
      <c r="J583" s="6">
        <v>0</v>
      </c>
      <c r="K583" s="6">
        <v>0</v>
      </c>
      <c r="L583" s="6"/>
      <c r="M583" s="6"/>
      <c r="N583" s="6">
        <f t="shared" si="55"/>
        <v>818</v>
      </c>
      <c r="O583" s="6">
        <f t="shared" si="56"/>
        <v>85890</v>
      </c>
      <c r="P583" s="6">
        <v>20</v>
      </c>
      <c r="Q583" s="6">
        <v>2255</v>
      </c>
      <c r="R583" s="60"/>
      <c r="S583" s="60"/>
    </row>
    <row r="584" spans="1:19" s="1" customFormat="1" hidden="1" outlineLevel="1" x14ac:dyDescent="0.25">
      <c r="A584" s="7" t="s">
        <v>1077</v>
      </c>
      <c r="B584" s="7" t="s">
        <v>1078</v>
      </c>
      <c r="C584" s="14">
        <v>930</v>
      </c>
      <c r="D584" s="6"/>
      <c r="E584" s="6">
        <v>100</v>
      </c>
      <c r="F584" s="6"/>
      <c r="G584" s="6"/>
      <c r="H584" s="6"/>
      <c r="I584" s="6"/>
      <c r="J584" s="6">
        <v>224</v>
      </c>
      <c r="K584" s="6">
        <v>208320</v>
      </c>
      <c r="L584" s="6"/>
      <c r="M584" s="6"/>
      <c r="N584" s="6">
        <f t="shared" si="55"/>
        <v>224</v>
      </c>
      <c r="O584" s="6">
        <f t="shared" si="56"/>
        <v>208320</v>
      </c>
      <c r="P584" s="6">
        <v>33</v>
      </c>
      <c r="Q584" s="6">
        <v>48834</v>
      </c>
      <c r="R584" s="60"/>
      <c r="S584" s="60"/>
    </row>
    <row r="585" spans="1:19" s="1" customFormat="1" hidden="1" outlineLevel="1" x14ac:dyDescent="0.25">
      <c r="A585" s="7" t="s">
        <v>9</v>
      </c>
      <c r="B585" s="7" t="s">
        <v>10</v>
      </c>
      <c r="C585" s="14">
        <v>106.36</v>
      </c>
      <c r="D585" s="6">
        <v>75.209999999999994</v>
      </c>
      <c r="E585" s="6">
        <v>100</v>
      </c>
      <c r="F585" s="6"/>
      <c r="G585" s="6"/>
      <c r="H585" s="6"/>
      <c r="I585" s="6"/>
      <c r="J585" s="6">
        <v>702</v>
      </c>
      <c r="K585" s="6">
        <v>74664.72</v>
      </c>
      <c r="L585" s="6"/>
      <c r="M585" s="6"/>
      <c r="N585" s="6">
        <f t="shared" si="55"/>
        <v>702</v>
      </c>
      <c r="O585" s="6">
        <f t="shared" si="56"/>
        <v>74664.72</v>
      </c>
      <c r="P585" s="6">
        <v>109</v>
      </c>
      <c r="Q585" s="6">
        <v>11077</v>
      </c>
      <c r="R585" s="60"/>
      <c r="S585" s="60"/>
    </row>
    <row r="586" spans="1:19" s="1" customFormat="1" hidden="1" outlineLevel="1" x14ac:dyDescent="0.25">
      <c r="A586" s="7" t="s">
        <v>3</v>
      </c>
      <c r="B586" s="7" t="s">
        <v>4</v>
      </c>
      <c r="C586" s="14">
        <v>113.87</v>
      </c>
      <c r="D586" s="6">
        <v>198.78</v>
      </c>
      <c r="E586" s="6">
        <v>100</v>
      </c>
      <c r="F586" s="6"/>
      <c r="G586" s="6"/>
      <c r="H586" s="6"/>
      <c r="I586" s="6"/>
      <c r="J586" s="6">
        <v>1029</v>
      </c>
      <c r="K586" s="6">
        <v>117172.23</v>
      </c>
      <c r="L586" s="6"/>
      <c r="M586" s="6"/>
      <c r="N586" s="6">
        <f t="shared" si="55"/>
        <v>1029</v>
      </c>
      <c r="O586" s="6">
        <f t="shared" si="56"/>
        <v>117172.23000000001</v>
      </c>
      <c r="P586" s="6">
        <v>48</v>
      </c>
      <c r="Q586" s="6">
        <v>5135</v>
      </c>
      <c r="R586" s="60">
        <f t="shared" si="57"/>
        <v>97.216118321762764</v>
      </c>
      <c r="S586" s="60">
        <f t="shared" si="58"/>
        <v>11069.999393299126</v>
      </c>
    </row>
    <row r="587" spans="1:19" s="1" customFormat="1" hidden="1" outlineLevel="1" x14ac:dyDescent="0.25">
      <c r="A587" s="7" t="s">
        <v>1023</v>
      </c>
      <c r="B587" s="7" t="s">
        <v>1024</v>
      </c>
      <c r="C587" s="14">
        <v>48.43</v>
      </c>
      <c r="D587" s="6">
        <v>40.869999999999997</v>
      </c>
      <c r="E587" s="6">
        <v>100</v>
      </c>
      <c r="F587" s="6"/>
      <c r="G587" s="6"/>
      <c r="H587" s="6"/>
      <c r="I587" s="6"/>
      <c r="J587" s="6">
        <v>214</v>
      </c>
      <c r="K587" s="6">
        <v>10364.02</v>
      </c>
      <c r="L587" s="6"/>
      <c r="M587" s="6"/>
      <c r="N587" s="6">
        <f t="shared" si="55"/>
        <v>214</v>
      </c>
      <c r="O587" s="6">
        <f t="shared" si="56"/>
        <v>10364.02</v>
      </c>
      <c r="P587" s="6">
        <v>125</v>
      </c>
      <c r="Q587" s="6">
        <v>6490</v>
      </c>
      <c r="R587" s="60"/>
      <c r="S587" s="60"/>
    </row>
    <row r="588" spans="1:19" s="1" customFormat="1" hidden="1" outlineLevel="1" x14ac:dyDescent="0.25">
      <c r="A588" s="7" t="s">
        <v>229</v>
      </c>
      <c r="B588" s="7" t="s">
        <v>230</v>
      </c>
      <c r="C588" s="14">
        <v>820</v>
      </c>
      <c r="D588" s="6">
        <v>409.22</v>
      </c>
      <c r="E588" s="6">
        <v>100</v>
      </c>
      <c r="F588" s="6"/>
      <c r="G588" s="6"/>
      <c r="H588" s="6"/>
      <c r="I588" s="6"/>
      <c r="J588" s="6">
        <v>226</v>
      </c>
      <c r="K588" s="6">
        <v>185320</v>
      </c>
      <c r="L588" s="6"/>
      <c r="M588" s="6"/>
      <c r="N588" s="6">
        <f t="shared" si="55"/>
        <v>226</v>
      </c>
      <c r="O588" s="6">
        <f t="shared" si="56"/>
        <v>185320</v>
      </c>
      <c r="P588" s="6">
        <v>39</v>
      </c>
      <c r="Q588" s="6">
        <v>43910</v>
      </c>
      <c r="R588" s="60">
        <f t="shared" si="57"/>
        <v>126.59136894579932</v>
      </c>
      <c r="S588" s="60">
        <f t="shared" si="58"/>
        <v>103804.92253555544</v>
      </c>
    </row>
    <row r="589" spans="1:19" s="1" customFormat="1" hidden="1" outlineLevel="1" x14ac:dyDescent="0.25">
      <c r="A589" s="7" t="s">
        <v>1067</v>
      </c>
      <c r="B589" s="7" t="s">
        <v>1068</v>
      </c>
      <c r="C589" s="14">
        <v>45.06</v>
      </c>
      <c r="D589" s="6">
        <v>64.14</v>
      </c>
      <c r="E589" s="6">
        <v>100</v>
      </c>
      <c r="F589" s="6"/>
      <c r="G589" s="6"/>
      <c r="H589" s="6"/>
      <c r="I589" s="6"/>
      <c r="J589" s="6">
        <v>1300</v>
      </c>
      <c r="K589" s="6">
        <v>58578</v>
      </c>
      <c r="L589" s="6"/>
      <c r="M589" s="6"/>
      <c r="N589" s="6">
        <f t="shared" si="55"/>
        <v>1300</v>
      </c>
      <c r="O589" s="6">
        <f t="shared" si="56"/>
        <v>58578</v>
      </c>
      <c r="P589" s="6">
        <v>170</v>
      </c>
      <c r="Q589" s="6">
        <v>8641</v>
      </c>
      <c r="R589" s="60"/>
      <c r="S589" s="60"/>
    </row>
    <row r="590" spans="1:19" s="1" customFormat="1" hidden="1" outlineLevel="1" x14ac:dyDescent="0.25">
      <c r="A590" s="7" t="s">
        <v>979</v>
      </c>
      <c r="B590" s="7" t="s">
        <v>980</v>
      </c>
      <c r="C590" s="14">
        <v>199</v>
      </c>
      <c r="D590" s="6">
        <v>11.32</v>
      </c>
      <c r="E590" s="6">
        <v>99.55</v>
      </c>
      <c r="F590" s="6"/>
      <c r="G590" s="6"/>
      <c r="H590" s="6"/>
      <c r="I590" s="6"/>
      <c r="J590" s="6">
        <v>12</v>
      </c>
      <c r="K590" s="6">
        <v>2388</v>
      </c>
      <c r="L590" s="6"/>
      <c r="M590" s="6"/>
      <c r="N590" s="6">
        <f t="shared" si="55"/>
        <v>12</v>
      </c>
      <c r="O590" s="6">
        <f t="shared" si="56"/>
        <v>2388</v>
      </c>
      <c r="P590" s="6">
        <v>11</v>
      </c>
      <c r="Q590" s="6">
        <v>2104</v>
      </c>
      <c r="R590" s="60"/>
      <c r="S590" s="60"/>
    </row>
    <row r="591" spans="1:19" s="1" customFormat="1" hidden="1" outlineLevel="1" x14ac:dyDescent="0.25">
      <c r="A591" s="7" t="s">
        <v>1219</v>
      </c>
      <c r="B591" s="7" t="s">
        <v>1220</v>
      </c>
      <c r="C591" s="14">
        <v>103.29</v>
      </c>
      <c r="D591" s="6">
        <v>98.96</v>
      </c>
      <c r="E591" s="6">
        <v>100</v>
      </c>
      <c r="F591" s="6"/>
      <c r="G591" s="6"/>
      <c r="H591" s="6">
        <v>50</v>
      </c>
      <c r="I591" s="6">
        <v>5164.5</v>
      </c>
      <c r="J591" s="6">
        <v>32</v>
      </c>
      <c r="K591" s="6">
        <v>3305.28</v>
      </c>
      <c r="L591" s="6"/>
      <c r="M591" s="6"/>
      <c r="N591" s="6">
        <f t="shared" si="55"/>
        <v>82</v>
      </c>
      <c r="O591" s="6">
        <f t="shared" si="56"/>
        <v>8469.7800000000007</v>
      </c>
      <c r="P591" s="6">
        <v>121</v>
      </c>
      <c r="Q591" s="6">
        <v>14832</v>
      </c>
      <c r="R591" s="60"/>
      <c r="S591" s="60"/>
    </row>
    <row r="592" spans="1:19" s="1" customFormat="1" hidden="1" outlineLevel="1" x14ac:dyDescent="0.25">
      <c r="A592" s="7" t="s">
        <v>1189</v>
      </c>
      <c r="B592" s="7" t="s">
        <v>1190</v>
      </c>
      <c r="C592" s="14">
        <v>153.4</v>
      </c>
      <c r="D592" s="6">
        <v>563.85</v>
      </c>
      <c r="E592" s="6">
        <v>100</v>
      </c>
      <c r="F592" s="6"/>
      <c r="G592" s="6"/>
      <c r="H592" s="6">
        <v>10</v>
      </c>
      <c r="I592" s="6">
        <v>1534</v>
      </c>
      <c r="J592" s="6">
        <v>834</v>
      </c>
      <c r="K592" s="6">
        <v>127935.6</v>
      </c>
      <c r="L592" s="6"/>
      <c r="M592" s="6"/>
      <c r="N592" s="6">
        <f t="shared" si="55"/>
        <v>844</v>
      </c>
      <c r="O592" s="6">
        <f t="shared" si="56"/>
        <v>129469.6</v>
      </c>
      <c r="P592" s="6">
        <v>29</v>
      </c>
      <c r="Q592" s="6">
        <v>4936</v>
      </c>
      <c r="R592" s="60">
        <f t="shared" si="57"/>
        <v>567.75897845171585</v>
      </c>
      <c r="S592" s="60">
        <f t="shared" si="58"/>
        <v>87094.227294493219</v>
      </c>
    </row>
    <row r="593" spans="1:19" s="1" customFormat="1" hidden="1" outlineLevel="1" x14ac:dyDescent="0.25">
      <c r="A593" s="7" t="s">
        <v>871</v>
      </c>
      <c r="B593" s="7" t="s">
        <v>872</v>
      </c>
      <c r="C593" s="14">
        <v>111.41</v>
      </c>
      <c r="D593" s="6">
        <v>60.95</v>
      </c>
      <c r="E593" s="6">
        <v>100</v>
      </c>
      <c r="F593" s="6">
        <v>31</v>
      </c>
      <c r="G593" s="6">
        <v>3453.71</v>
      </c>
      <c r="H593" s="6">
        <v>20</v>
      </c>
      <c r="I593" s="6">
        <v>2228.1999999999998</v>
      </c>
      <c r="J593" s="6">
        <v>865</v>
      </c>
      <c r="K593" s="6">
        <v>96369.65</v>
      </c>
      <c r="L593" s="6"/>
      <c r="M593" s="6"/>
      <c r="N593" s="6">
        <f t="shared" si="55"/>
        <v>916</v>
      </c>
      <c r="O593" s="6">
        <f t="shared" si="56"/>
        <v>102051.56</v>
      </c>
      <c r="P593" s="6">
        <v>112</v>
      </c>
      <c r="Q593" s="6">
        <v>14136</v>
      </c>
      <c r="R593" s="60"/>
      <c r="S593" s="60"/>
    </row>
    <row r="594" spans="1:19" s="1" customFormat="1" hidden="1" outlineLevel="1" x14ac:dyDescent="0.25">
      <c r="A594" s="7" t="s">
        <v>634</v>
      </c>
      <c r="B594" s="7" t="s">
        <v>635</v>
      </c>
      <c r="C594" s="14">
        <v>178.34</v>
      </c>
      <c r="D594" s="6">
        <v>24.67</v>
      </c>
      <c r="E594" s="6">
        <v>100</v>
      </c>
      <c r="F594" s="6">
        <v>20</v>
      </c>
      <c r="G594" s="6">
        <v>3566.8</v>
      </c>
      <c r="H594" s="6">
        <v>154</v>
      </c>
      <c r="I594" s="6">
        <v>27464.36</v>
      </c>
      <c r="J594" s="6">
        <v>372</v>
      </c>
      <c r="K594" s="6">
        <v>66342.48</v>
      </c>
      <c r="L594" s="6"/>
      <c r="M594" s="6"/>
      <c r="N594" s="6">
        <f t="shared" si="55"/>
        <v>546</v>
      </c>
      <c r="O594" s="6">
        <f t="shared" si="56"/>
        <v>97373.64</v>
      </c>
      <c r="P594" s="6">
        <v>128</v>
      </c>
      <c r="Q594" s="6">
        <v>22214</v>
      </c>
      <c r="R594" s="60"/>
      <c r="S594" s="60"/>
    </row>
    <row r="595" spans="1:19" s="1" customFormat="1" hidden="1" outlineLevel="1" x14ac:dyDescent="0.25">
      <c r="A595" s="7" t="s">
        <v>1125</v>
      </c>
      <c r="B595" s="7" t="s">
        <v>1126</v>
      </c>
      <c r="C595" s="14">
        <v>202.45</v>
      </c>
      <c r="D595" s="6">
        <v>1450.47</v>
      </c>
      <c r="E595" s="6">
        <v>100</v>
      </c>
      <c r="F595" s="6"/>
      <c r="G595" s="6"/>
      <c r="H595" s="6"/>
      <c r="I595" s="6"/>
      <c r="J595" s="6">
        <v>530</v>
      </c>
      <c r="K595" s="6">
        <v>107298.5</v>
      </c>
      <c r="L595" s="6"/>
      <c r="M595" s="6"/>
      <c r="N595" s="6">
        <f t="shared" si="55"/>
        <v>530</v>
      </c>
      <c r="O595" s="6">
        <f t="shared" si="56"/>
        <v>107298.5</v>
      </c>
      <c r="P595" s="6">
        <v>13</v>
      </c>
      <c r="Q595" s="6">
        <v>3366</v>
      </c>
      <c r="R595" s="60">
        <f t="shared" si="57"/>
        <v>464.22821568181348</v>
      </c>
      <c r="S595" s="60">
        <f t="shared" si="58"/>
        <v>93983.002264783136</v>
      </c>
    </row>
    <row r="596" spans="1:19" s="1" customFormat="1" hidden="1" outlineLevel="1" x14ac:dyDescent="0.25">
      <c r="A596" s="7" t="s">
        <v>1105</v>
      </c>
      <c r="B596" s="7" t="s">
        <v>1106</v>
      </c>
      <c r="C596" s="14">
        <v>173.92</v>
      </c>
      <c r="D596" s="6">
        <v>34.700000000000003</v>
      </c>
      <c r="E596" s="6">
        <v>100</v>
      </c>
      <c r="F596" s="6"/>
      <c r="G596" s="6"/>
      <c r="H596" s="6"/>
      <c r="I596" s="6"/>
      <c r="J596" s="6">
        <v>82</v>
      </c>
      <c r="K596" s="6">
        <v>14261.44</v>
      </c>
      <c r="L596" s="6"/>
      <c r="M596" s="6"/>
      <c r="N596" s="6">
        <f t="shared" si="55"/>
        <v>82</v>
      </c>
      <c r="O596" s="6">
        <f t="shared" si="56"/>
        <v>14261.439999999999</v>
      </c>
      <c r="P596" s="6">
        <v>131</v>
      </c>
      <c r="Q596" s="6">
        <v>27406</v>
      </c>
      <c r="R596" s="60"/>
      <c r="S596" s="60"/>
    </row>
    <row r="597" spans="1:19" s="1" customFormat="1" hidden="1" outlineLevel="1" x14ac:dyDescent="0.25">
      <c r="A597" s="7" t="s">
        <v>646</v>
      </c>
      <c r="B597" s="7" t="s">
        <v>647</v>
      </c>
      <c r="C597" s="14">
        <v>573.26</v>
      </c>
      <c r="D597" s="6">
        <v>824.78</v>
      </c>
      <c r="E597" s="6">
        <v>100</v>
      </c>
      <c r="F597" s="6"/>
      <c r="G597" s="6"/>
      <c r="H597" s="6"/>
      <c r="I597" s="6"/>
      <c r="J597" s="6">
        <v>79</v>
      </c>
      <c r="K597" s="6">
        <v>45287.54</v>
      </c>
      <c r="L597" s="6"/>
      <c r="M597" s="6"/>
      <c r="N597" s="6">
        <f t="shared" si="55"/>
        <v>79</v>
      </c>
      <c r="O597" s="6">
        <f t="shared" si="56"/>
        <v>45287.54</v>
      </c>
      <c r="P597" s="6">
        <v>1</v>
      </c>
      <c r="Q597" s="6">
        <v>614</v>
      </c>
      <c r="R597" s="60">
        <f t="shared" si="57"/>
        <v>61.759038773976087</v>
      </c>
      <c r="S597" s="60">
        <f t="shared" si="58"/>
        <v>35403.986567569533</v>
      </c>
    </row>
    <row r="598" spans="1:19" s="1" customFormat="1" hidden="1" outlineLevel="1" x14ac:dyDescent="0.25">
      <c r="A598" s="7" t="s">
        <v>887</v>
      </c>
      <c r="B598" s="7" t="s">
        <v>888</v>
      </c>
      <c r="C598" s="14">
        <v>150</v>
      </c>
      <c r="D598" s="6">
        <v>111.94</v>
      </c>
      <c r="E598" s="6">
        <v>100</v>
      </c>
      <c r="F598" s="6"/>
      <c r="G598" s="6"/>
      <c r="H598" s="6">
        <v>79</v>
      </c>
      <c r="I598" s="6">
        <v>11850</v>
      </c>
      <c r="J598" s="6">
        <v>348</v>
      </c>
      <c r="K598" s="6">
        <v>52200</v>
      </c>
      <c r="L598" s="6"/>
      <c r="M598" s="6"/>
      <c r="N598" s="6">
        <f t="shared" si="55"/>
        <v>427</v>
      </c>
      <c r="O598" s="6">
        <f t="shared" si="56"/>
        <v>64050</v>
      </c>
      <c r="P598" s="6">
        <v>58</v>
      </c>
      <c r="Q598" s="6">
        <v>10246</v>
      </c>
      <c r="R598" s="60"/>
      <c r="S598" s="60"/>
    </row>
    <row r="599" spans="1:19" s="1" customFormat="1" hidden="1" outlineLevel="1" x14ac:dyDescent="0.25">
      <c r="A599" s="7" t="s">
        <v>947</v>
      </c>
      <c r="B599" s="7" t="s">
        <v>948</v>
      </c>
      <c r="C599" s="14">
        <v>291.58</v>
      </c>
      <c r="D599" s="6">
        <v>66.83</v>
      </c>
      <c r="E599" s="6">
        <v>100</v>
      </c>
      <c r="F599" s="6"/>
      <c r="G599" s="6"/>
      <c r="H599" s="6"/>
      <c r="I599" s="6"/>
      <c r="J599" s="6">
        <v>99</v>
      </c>
      <c r="K599" s="6">
        <v>28866.42</v>
      </c>
      <c r="L599" s="6">
        <v>250</v>
      </c>
      <c r="M599" s="6">
        <v>72895</v>
      </c>
      <c r="N599" s="6">
        <f t="shared" si="55"/>
        <v>349</v>
      </c>
      <c r="O599" s="6">
        <f t="shared" si="56"/>
        <v>101761.42</v>
      </c>
      <c r="P599" s="6">
        <v>56</v>
      </c>
      <c r="Q599" s="6">
        <v>18714</v>
      </c>
      <c r="R599" s="60"/>
      <c r="S599" s="60"/>
    </row>
    <row r="600" spans="1:19" s="1" customFormat="1" hidden="1" outlineLevel="1" x14ac:dyDescent="0.25">
      <c r="A600" s="7" t="s">
        <v>1111</v>
      </c>
      <c r="B600" s="7" t="s">
        <v>1112</v>
      </c>
      <c r="C600" s="14">
        <v>148.15</v>
      </c>
      <c r="D600" s="6">
        <v>146.13999999999999</v>
      </c>
      <c r="E600" s="6">
        <v>100</v>
      </c>
      <c r="F600" s="6">
        <v>20</v>
      </c>
      <c r="G600" s="6">
        <v>2963</v>
      </c>
      <c r="H600" s="6">
        <v>44</v>
      </c>
      <c r="I600" s="6">
        <v>6518.6</v>
      </c>
      <c r="J600" s="6">
        <v>122</v>
      </c>
      <c r="K600" s="6">
        <v>18074.3</v>
      </c>
      <c r="L600" s="6"/>
      <c r="M600" s="6"/>
      <c r="N600" s="6">
        <f t="shared" si="55"/>
        <v>186</v>
      </c>
      <c r="O600" s="6">
        <f t="shared" si="56"/>
        <v>27555.9</v>
      </c>
      <c r="P600" s="6">
        <v>27</v>
      </c>
      <c r="Q600" s="6">
        <v>4825</v>
      </c>
      <c r="R600" s="60"/>
      <c r="S600" s="60"/>
    </row>
    <row r="601" spans="1:19" s="1" customFormat="1" hidden="1" outlineLevel="1" x14ac:dyDescent="0.25">
      <c r="A601" s="7" t="s">
        <v>1291</v>
      </c>
      <c r="B601" s="7" t="s">
        <v>1292</v>
      </c>
      <c r="C601" s="14">
        <v>85.27</v>
      </c>
      <c r="D601" s="6">
        <v>114.78</v>
      </c>
      <c r="E601" s="6">
        <v>100</v>
      </c>
      <c r="F601" s="6"/>
      <c r="G601" s="6"/>
      <c r="H601" s="6"/>
      <c r="I601" s="6"/>
      <c r="J601" s="6">
        <v>380</v>
      </c>
      <c r="K601" s="6">
        <v>32402.6</v>
      </c>
      <c r="L601" s="6"/>
      <c r="M601" s="6"/>
      <c r="N601" s="6">
        <f t="shared" si="55"/>
        <v>380</v>
      </c>
      <c r="O601" s="6">
        <f t="shared" si="56"/>
        <v>32402.6</v>
      </c>
      <c r="P601" s="6">
        <v>194</v>
      </c>
      <c r="Q601" s="6">
        <v>19683</v>
      </c>
      <c r="R601" s="60"/>
      <c r="S601" s="60"/>
    </row>
    <row r="602" spans="1:19" s="1" customFormat="1" hidden="1" outlineLevel="1" x14ac:dyDescent="0.25">
      <c r="A602" s="7" t="s">
        <v>991</v>
      </c>
      <c r="B602" s="7" t="s">
        <v>992</v>
      </c>
      <c r="C602" s="14">
        <v>319.76</v>
      </c>
      <c r="D602" s="6">
        <v>7137.67</v>
      </c>
      <c r="E602" s="6">
        <v>100</v>
      </c>
      <c r="F602" s="6"/>
      <c r="G602" s="6"/>
      <c r="H602" s="6"/>
      <c r="I602" s="6"/>
      <c r="J602" s="6">
        <v>1245</v>
      </c>
      <c r="K602" s="6">
        <v>398101.2</v>
      </c>
      <c r="L602" s="6"/>
      <c r="M602" s="6"/>
      <c r="N602" s="6">
        <f t="shared" ref="N602:N665" si="59">IF(J602+L602+H602+F602&lt;=0,"",J602+L602+H602+F602)</f>
        <v>1245</v>
      </c>
      <c r="O602" s="6">
        <f t="shared" ref="O602:O665" si="60">IFERROR(C602*N602,"")</f>
        <v>398101.2</v>
      </c>
      <c r="P602" s="6">
        <v>2</v>
      </c>
      <c r="Q602" s="6">
        <v>600</v>
      </c>
      <c r="R602" s="60">
        <f t="shared" si="57"/>
        <v>1213.6031996435811</v>
      </c>
      <c r="S602" s="60">
        <f t="shared" si="58"/>
        <v>388061.75911803148</v>
      </c>
    </row>
    <row r="603" spans="1:19" s="1" customFormat="1" hidden="1" outlineLevel="1" x14ac:dyDescent="0.25">
      <c r="A603" s="7" t="s">
        <v>933</v>
      </c>
      <c r="B603" s="7" t="s">
        <v>934</v>
      </c>
      <c r="C603" s="14">
        <v>98</v>
      </c>
      <c r="D603" s="6">
        <v>110.64</v>
      </c>
      <c r="E603" s="6">
        <v>100</v>
      </c>
      <c r="F603" s="6">
        <v>35</v>
      </c>
      <c r="G603" s="6">
        <v>3430</v>
      </c>
      <c r="H603" s="6"/>
      <c r="I603" s="6"/>
      <c r="J603" s="6">
        <v>198</v>
      </c>
      <c r="K603" s="6">
        <v>19404</v>
      </c>
      <c r="L603" s="6"/>
      <c r="M603" s="6"/>
      <c r="N603" s="6">
        <f t="shared" si="59"/>
        <v>233</v>
      </c>
      <c r="O603" s="6">
        <f t="shared" si="60"/>
        <v>22834</v>
      </c>
      <c r="P603" s="6">
        <v>69</v>
      </c>
      <c r="Q603" s="6">
        <v>8536</v>
      </c>
      <c r="R603" s="60"/>
      <c r="S603" s="60"/>
    </row>
    <row r="604" spans="1:19" s="1" customFormat="1" hidden="1" outlineLevel="1" x14ac:dyDescent="0.25">
      <c r="A604" s="7" t="s">
        <v>1197</v>
      </c>
      <c r="B604" s="7" t="s">
        <v>1198</v>
      </c>
      <c r="C604" s="14">
        <v>153.4</v>
      </c>
      <c r="D604" s="6">
        <v>529.6</v>
      </c>
      <c r="E604" s="6">
        <v>100</v>
      </c>
      <c r="F604" s="6"/>
      <c r="G604" s="6"/>
      <c r="H604" s="6"/>
      <c r="I604" s="6"/>
      <c r="J604" s="6">
        <v>574</v>
      </c>
      <c r="K604" s="6">
        <v>88051.6</v>
      </c>
      <c r="L604" s="6"/>
      <c r="M604" s="6"/>
      <c r="N604" s="6">
        <f t="shared" si="59"/>
        <v>574</v>
      </c>
      <c r="O604" s="6">
        <f t="shared" si="60"/>
        <v>88051.6</v>
      </c>
      <c r="P604" s="6"/>
      <c r="Q604" s="6"/>
      <c r="R604" s="60">
        <f t="shared" si="57"/>
        <v>378.90936555891238</v>
      </c>
      <c r="S604" s="60">
        <f t="shared" si="58"/>
        <v>58124.696676737163</v>
      </c>
    </row>
    <row r="605" spans="1:19" s="1" customFormat="1" hidden="1" outlineLevel="1" x14ac:dyDescent="0.25">
      <c r="A605" s="7" t="s">
        <v>937</v>
      </c>
      <c r="B605" s="7" t="s">
        <v>938</v>
      </c>
      <c r="C605" s="14">
        <v>139.69</v>
      </c>
      <c r="D605" s="6">
        <v>47.07</v>
      </c>
      <c r="E605" s="6">
        <v>88.17</v>
      </c>
      <c r="F605" s="6"/>
      <c r="G605" s="6"/>
      <c r="H605" s="6">
        <v>10</v>
      </c>
      <c r="I605" s="6">
        <v>1396.9</v>
      </c>
      <c r="J605" s="6">
        <v>11</v>
      </c>
      <c r="K605" s="6">
        <v>1536.59</v>
      </c>
      <c r="L605" s="6"/>
      <c r="M605" s="6"/>
      <c r="N605" s="6">
        <f t="shared" si="59"/>
        <v>21</v>
      </c>
      <c r="O605" s="6">
        <f t="shared" si="60"/>
        <v>2933.49</v>
      </c>
      <c r="P605" s="6">
        <v>4</v>
      </c>
      <c r="Q605" s="6">
        <v>491</v>
      </c>
      <c r="R605" s="60"/>
      <c r="S605" s="60"/>
    </row>
    <row r="606" spans="1:19" s="1" customFormat="1" hidden="1" outlineLevel="1" x14ac:dyDescent="0.25">
      <c r="A606" s="7" t="s">
        <v>861</v>
      </c>
      <c r="B606" s="7" t="s">
        <v>862</v>
      </c>
      <c r="C606" s="14">
        <v>145</v>
      </c>
      <c r="D606" s="6">
        <v>139.29</v>
      </c>
      <c r="E606" s="6">
        <v>100</v>
      </c>
      <c r="F606" s="6">
        <v>75</v>
      </c>
      <c r="G606" s="6">
        <v>10875</v>
      </c>
      <c r="H606" s="6"/>
      <c r="I606" s="6"/>
      <c r="J606" s="6">
        <v>219</v>
      </c>
      <c r="K606" s="6">
        <v>31755</v>
      </c>
      <c r="L606" s="6"/>
      <c r="M606" s="6"/>
      <c r="N606" s="6">
        <f t="shared" si="59"/>
        <v>294</v>
      </c>
      <c r="O606" s="6">
        <f t="shared" si="60"/>
        <v>42630</v>
      </c>
      <c r="P606" s="6">
        <v>61</v>
      </c>
      <c r="Q606" s="6">
        <v>9935</v>
      </c>
      <c r="R606" s="60"/>
      <c r="S606" s="60"/>
    </row>
    <row r="607" spans="1:19" s="1" customFormat="1" hidden="1" outlineLevel="1" x14ac:dyDescent="0.25">
      <c r="A607" s="7" t="s">
        <v>1287</v>
      </c>
      <c r="B607" s="7" t="s">
        <v>1288</v>
      </c>
      <c r="C607" s="14">
        <v>74.09</v>
      </c>
      <c r="D607" s="6">
        <v>569.35</v>
      </c>
      <c r="E607" s="6">
        <v>100</v>
      </c>
      <c r="F607" s="6"/>
      <c r="G607" s="6"/>
      <c r="H607" s="6">
        <v>148</v>
      </c>
      <c r="I607" s="6">
        <v>10965.32</v>
      </c>
      <c r="J607" s="6">
        <v>989</v>
      </c>
      <c r="K607" s="6">
        <v>73275.009999999995</v>
      </c>
      <c r="L607" s="6"/>
      <c r="M607" s="6"/>
      <c r="N607" s="6">
        <f t="shared" si="59"/>
        <v>1137</v>
      </c>
      <c r="O607" s="6">
        <f t="shared" si="60"/>
        <v>84240.33</v>
      </c>
      <c r="P607" s="6">
        <v>241</v>
      </c>
      <c r="Q607" s="6">
        <v>21911</v>
      </c>
      <c r="R607" s="60">
        <f t="shared" ref="R607:R669" si="61">J607/D607*(D607-180)</f>
        <v>676.32765434267151</v>
      </c>
      <c r="S607" s="60">
        <f t="shared" ref="S607:S669" si="62">R607*C607</f>
        <v>50109.115910248533</v>
      </c>
    </row>
    <row r="608" spans="1:19" s="1" customFormat="1" hidden="1" outlineLevel="1" x14ac:dyDescent="0.25">
      <c r="A608" s="7" t="s">
        <v>1337</v>
      </c>
      <c r="B608" s="7" t="s">
        <v>1338</v>
      </c>
      <c r="C608" s="14">
        <v>355.98</v>
      </c>
      <c r="D608" s="6">
        <v>366.5</v>
      </c>
      <c r="E608" s="6">
        <v>88.17</v>
      </c>
      <c r="F608" s="6"/>
      <c r="G608" s="6"/>
      <c r="H608" s="6"/>
      <c r="I608" s="6"/>
      <c r="J608" s="6"/>
      <c r="K608" s="6"/>
      <c r="L608" s="6">
        <v>732</v>
      </c>
      <c r="M608" s="6">
        <v>260577.36</v>
      </c>
      <c r="N608" s="6">
        <f t="shared" si="59"/>
        <v>732</v>
      </c>
      <c r="O608" s="6">
        <f t="shared" si="60"/>
        <v>260577.36000000002</v>
      </c>
      <c r="P608" s="6">
        <v>28</v>
      </c>
      <c r="Q608" s="6">
        <v>12303</v>
      </c>
      <c r="R608" s="60"/>
      <c r="S608" s="60"/>
    </row>
    <row r="609" spans="1:19" s="1" customFormat="1" hidden="1" outlineLevel="1" x14ac:dyDescent="0.25">
      <c r="A609" s="7" t="s">
        <v>1193</v>
      </c>
      <c r="B609" s="7" t="s">
        <v>1194</v>
      </c>
      <c r="C609" s="14">
        <v>153.4</v>
      </c>
      <c r="D609" s="6">
        <v>361.28</v>
      </c>
      <c r="E609" s="6">
        <v>100</v>
      </c>
      <c r="F609" s="6"/>
      <c r="G609" s="6"/>
      <c r="H609" s="6">
        <v>10</v>
      </c>
      <c r="I609" s="6">
        <v>1534</v>
      </c>
      <c r="J609" s="6">
        <v>780</v>
      </c>
      <c r="K609" s="6">
        <v>119652</v>
      </c>
      <c r="L609" s="6"/>
      <c r="M609" s="6"/>
      <c r="N609" s="6">
        <f t="shared" si="59"/>
        <v>790</v>
      </c>
      <c r="O609" s="6">
        <f t="shared" si="60"/>
        <v>121186</v>
      </c>
      <c r="P609" s="6">
        <v>31</v>
      </c>
      <c r="Q609" s="6">
        <v>5279</v>
      </c>
      <c r="R609" s="60">
        <f t="shared" si="61"/>
        <v>391.38175376439324</v>
      </c>
      <c r="S609" s="60">
        <f t="shared" si="62"/>
        <v>60037.961027457925</v>
      </c>
    </row>
    <row r="610" spans="1:19" s="1" customFormat="1" hidden="1" outlineLevel="1" x14ac:dyDescent="0.25">
      <c r="A610" s="7" t="s">
        <v>69</v>
      </c>
      <c r="B610" s="7" t="s">
        <v>70</v>
      </c>
      <c r="C610" s="14">
        <v>385.47</v>
      </c>
      <c r="D610" s="6">
        <v>342.23</v>
      </c>
      <c r="E610" s="6">
        <v>100</v>
      </c>
      <c r="F610" s="6"/>
      <c r="G610" s="6"/>
      <c r="H610" s="6">
        <v>4</v>
      </c>
      <c r="I610" s="6">
        <v>1541.88</v>
      </c>
      <c r="J610" s="6">
        <v>618</v>
      </c>
      <c r="K610" s="6">
        <v>238220.46</v>
      </c>
      <c r="L610" s="6">
        <v>40</v>
      </c>
      <c r="M610" s="6">
        <v>15418.8</v>
      </c>
      <c r="N610" s="6">
        <f t="shared" si="59"/>
        <v>662</v>
      </c>
      <c r="O610" s="6">
        <f t="shared" si="60"/>
        <v>255181.14</v>
      </c>
      <c r="P610" s="6">
        <v>38</v>
      </c>
      <c r="Q610" s="6">
        <v>16508</v>
      </c>
      <c r="R610" s="60">
        <f t="shared" si="61"/>
        <v>292.95543932443093</v>
      </c>
      <c r="S610" s="60">
        <f t="shared" si="62"/>
        <v>112925.53319638839</v>
      </c>
    </row>
    <row r="611" spans="1:19" s="1" customFormat="1" hidden="1" outlineLevel="1" x14ac:dyDescent="0.25">
      <c r="A611" s="7" t="s">
        <v>389</v>
      </c>
      <c r="B611" s="7" t="s">
        <v>390</v>
      </c>
      <c r="C611" s="14">
        <v>320.18</v>
      </c>
      <c r="D611" s="6">
        <v>159.71</v>
      </c>
      <c r="E611" s="6">
        <v>100</v>
      </c>
      <c r="F611" s="6"/>
      <c r="G611" s="6"/>
      <c r="H611" s="6">
        <v>24</v>
      </c>
      <c r="I611" s="6">
        <v>7684.32</v>
      </c>
      <c r="J611" s="6">
        <v>199</v>
      </c>
      <c r="K611" s="6">
        <v>63715.82</v>
      </c>
      <c r="L611" s="6"/>
      <c r="M611" s="6"/>
      <c r="N611" s="6">
        <f t="shared" si="59"/>
        <v>223</v>
      </c>
      <c r="O611" s="6">
        <f t="shared" si="60"/>
        <v>71400.14</v>
      </c>
      <c r="P611" s="6">
        <v>35</v>
      </c>
      <c r="Q611" s="6">
        <v>13140</v>
      </c>
      <c r="R611" s="60"/>
      <c r="S611" s="60"/>
    </row>
    <row r="612" spans="1:19" s="1" customFormat="1" hidden="1" outlineLevel="1" x14ac:dyDescent="0.25">
      <c r="A612" s="7" t="s">
        <v>1029</v>
      </c>
      <c r="B612" s="7" t="s">
        <v>1030</v>
      </c>
      <c r="C612" s="14">
        <v>48.43</v>
      </c>
      <c r="D612" s="6">
        <v>350.1</v>
      </c>
      <c r="E612" s="6">
        <v>100</v>
      </c>
      <c r="F612" s="6">
        <v>40</v>
      </c>
      <c r="G612" s="6">
        <v>1937.2</v>
      </c>
      <c r="H612" s="6"/>
      <c r="I612" s="6"/>
      <c r="J612" s="6">
        <v>580</v>
      </c>
      <c r="K612" s="6">
        <v>28089.4</v>
      </c>
      <c r="L612" s="6"/>
      <c r="M612" s="6"/>
      <c r="N612" s="6">
        <f t="shared" si="59"/>
        <v>620</v>
      </c>
      <c r="O612" s="6">
        <f t="shared" si="60"/>
        <v>30026.6</v>
      </c>
      <c r="P612" s="6">
        <v>25</v>
      </c>
      <c r="Q612" s="6">
        <v>1374</v>
      </c>
      <c r="R612" s="60">
        <f t="shared" si="61"/>
        <v>281.79948586118252</v>
      </c>
      <c r="S612" s="60">
        <f t="shared" si="62"/>
        <v>13647.549100257069</v>
      </c>
    </row>
    <row r="613" spans="1:19" s="1" customFormat="1" hidden="1" outlineLevel="1" x14ac:dyDescent="0.25">
      <c r="A613" s="7" t="s">
        <v>444</v>
      </c>
      <c r="B613" s="7" t="s">
        <v>445</v>
      </c>
      <c r="C613" s="14">
        <v>113.87</v>
      </c>
      <c r="D613" s="6">
        <v>81.400000000000006</v>
      </c>
      <c r="E613" s="6">
        <v>100</v>
      </c>
      <c r="F613" s="6"/>
      <c r="G613" s="6"/>
      <c r="H613" s="6"/>
      <c r="I613" s="6"/>
      <c r="J613" s="6">
        <v>456</v>
      </c>
      <c r="K613" s="6">
        <v>51924.72</v>
      </c>
      <c r="L613" s="6"/>
      <c r="M613" s="6"/>
      <c r="N613" s="6">
        <f t="shared" si="59"/>
        <v>456</v>
      </c>
      <c r="O613" s="6">
        <f t="shared" si="60"/>
        <v>51924.72</v>
      </c>
      <c r="P613" s="6">
        <v>63</v>
      </c>
      <c r="Q613" s="6">
        <v>6832</v>
      </c>
      <c r="R613" s="60"/>
      <c r="S613" s="60"/>
    </row>
    <row r="614" spans="1:19" s="1" customFormat="1" hidden="1" outlineLevel="1" x14ac:dyDescent="0.25">
      <c r="A614" s="7" t="s">
        <v>841</v>
      </c>
      <c r="B614" s="7" t="s">
        <v>842</v>
      </c>
      <c r="C614" s="14">
        <v>24.96</v>
      </c>
      <c r="D614" s="6">
        <v>51.24</v>
      </c>
      <c r="E614" s="6">
        <v>61.29</v>
      </c>
      <c r="F614" s="6"/>
      <c r="G614" s="6"/>
      <c r="H614" s="6">
        <v>50</v>
      </c>
      <c r="I614" s="6">
        <v>1248</v>
      </c>
      <c r="J614" s="6">
        <v>220</v>
      </c>
      <c r="K614" s="6">
        <v>5491.2</v>
      </c>
      <c r="L614" s="6"/>
      <c r="M614" s="6"/>
      <c r="N614" s="6">
        <f t="shared" si="59"/>
        <v>270</v>
      </c>
      <c r="O614" s="6">
        <f t="shared" si="60"/>
        <v>6739.2</v>
      </c>
      <c r="P614" s="6">
        <v>77</v>
      </c>
      <c r="Q614" s="6">
        <v>1933</v>
      </c>
      <c r="R614" s="60"/>
      <c r="S614" s="60"/>
    </row>
    <row r="615" spans="1:19" s="1" customFormat="1" hidden="1" outlineLevel="1" x14ac:dyDescent="0.25">
      <c r="A615" s="7" t="s">
        <v>524</v>
      </c>
      <c r="B615" s="7" t="s">
        <v>525</v>
      </c>
      <c r="C615" s="14">
        <v>82.14</v>
      </c>
      <c r="D615" s="6"/>
      <c r="E615" s="6">
        <v>25.81</v>
      </c>
      <c r="F615" s="6"/>
      <c r="G615" s="6"/>
      <c r="H615" s="6"/>
      <c r="I615" s="6"/>
      <c r="J615" s="6">
        <v>9</v>
      </c>
      <c r="K615" s="6">
        <v>739.26</v>
      </c>
      <c r="L615" s="6"/>
      <c r="M615" s="6"/>
      <c r="N615" s="6">
        <f t="shared" si="59"/>
        <v>9</v>
      </c>
      <c r="O615" s="6">
        <f t="shared" si="60"/>
        <v>739.26</v>
      </c>
      <c r="P615" s="6"/>
      <c r="Q615" s="6"/>
      <c r="R615" s="60"/>
      <c r="S615" s="60"/>
    </row>
    <row r="616" spans="1:19" s="1" customFormat="1" hidden="1" outlineLevel="1" x14ac:dyDescent="0.25">
      <c r="A616" s="7" t="s">
        <v>1297</v>
      </c>
      <c r="B616" s="7" t="s">
        <v>1298</v>
      </c>
      <c r="C616" s="14">
        <v>92.25</v>
      </c>
      <c r="D616" s="6">
        <v>93.51</v>
      </c>
      <c r="E616" s="6">
        <v>100</v>
      </c>
      <c r="F616" s="6"/>
      <c r="G616" s="6"/>
      <c r="H616" s="6"/>
      <c r="I616" s="6"/>
      <c r="J616" s="6">
        <v>202</v>
      </c>
      <c r="K616" s="6">
        <v>18634.5</v>
      </c>
      <c r="L616" s="6"/>
      <c r="M616" s="6"/>
      <c r="N616" s="6">
        <f t="shared" si="59"/>
        <v>202</v>
      </c>
      <c r="O616" s="6">
        <f t="shared" si="60"/>
        <v>18634.5</v>
      </c>
      <c r="P616" s="6">
        <v>199</v>
      </c>
      <c r="Q616" s="6">
        <v>21963</v>
      </c>
      <c r="R616" s="60"/>
      <c r="S616" s="60"/>
    </row>
    <row r="617" spans="1:19" s="1" customFormat="1" hidden="1" outlineLevel="1" x14ac:dyDescent="0.25">
      <c r="A617" s="7" t="s">
        <v>1203</v>
      </c>
      <c r="B617" s="7" t="s">
        <v>1204</v>
      </c>
      <c r="C617" s="14">
        <v>99.71</v>
      </c>
      <c r="D617" s="6"/>
      <c r="E617" s="6">
        <v>100</v>
      </c>
      <c r="F617" s="6"/>
      <c r="G617" s="6"/>
      <c r="H617" s="6"/>
      <c r="I617" s="6"/>
      <c r="J617" s="6">
        <v>125</v>
      </c>
      <c r="K617" s="6">
        <v>12463.75</v>
      </c>
      <c r="L617" s="6"/>
      <c r="M617" s="6"/>
      <c r="N617" s="6">
        <f t="shared" si="59"/>
        <v>125</v>
      </c>
      <c r="O617" s="6">
        <f t="shared" si="60"/>
        <v>12463.75</v>
      </c>
      <c r="P617" s="6">
        <v>17</v>
      </c>
      <c r="Q617" s="6">
        <v>2077</v>
      </c>
      <c r="R617" s="60"/>
      <c r="S617" s="60"/>
    </row>
    <row r="618" spans="1:19" s="1" customFormat="1" hidden="1" outlineLevel="1" x14ac:dyDescent="0.25">
      <c r="A618" s="7" t="s">
        <v>1257</v>
      </c>
      <c r="B618" s="7" t="s">
        <v>1258</v>
      </c>
      <c r="C618" s="14">
        <v>56.75</v>
      </c>
      <c r="D618" s="6">
        <v>25.98</v>
      </c>
      <c r="E618" s="6">
        <v>100</v>
      </c>
      <c r="F618" s="6">
        <v>36</v>
      </c>
      <c r="G618" s="6">
        <v>2043</v>
      </c>
      <c r="H618" s="6">
        <v>10</v>
      </c>
      <c r="I618" s="6">
        <v>567.5</v>
      </c>
      <c r="J618" s="6">
        <v>137</v>
      </c>
      <c r="K618" s="6">
        <v>7774.75</v>
      </c>
      <c r="L618" s="6"/>
      <c r="M618" s="6"/>
      <c r="N618" s="6">
        <f t="shared" si="59"/>
        <v>183</v>
      </c>
      <c r="O618" s="6">
        <f t="shared" si="60"/>
        <v>10385.25</v>
      </c>
      <c r="P618" s="6">
        <v>90</v>
      </c>
      <c r="Q618" s="6">
        <v>5082</v>
      </c>
      <c r="R618" s="60"/>
      <c r="S618" s="60"/>
    </row>
    <row r="619" spans="1:19" s="1" customFormat="1" hidden="1" outlineLevel="1" x14ac:dyDescent="0.25">
      <c r="A619" s="7" t="s">
        <v>913</v>
      </c>
      <c r="B619" s="7" t="s">
        <v>914</v>
      </c>
      <c r="C619" s="14">
        <v>204</v>
      </c>
      <c r="D619" s="6">
        <v>143.65</v>
      </c>
      <c r="E619" s="6">
        <v>100</v>
      </c>
      <c r="F619" s="6"/>
      <c r="G619" s="6"/>
      <c r="H619" s="6"/>
      <c r="I619" s="6"/>
      <c r="J619" s="6">
        <v>312</v>
      </c>
      <c r="K619" s="6">
        <v>63648</v>
      </c>
      <c r="L619" s="6"/>
      <c r="M619" s="6"/>
      <c r="N619" s="6">
        <f t="shared" si="59"/>
        <v>312</v>
      </c>
      <c r="O619" s="6">
        <f t="shared" si="60"/>
        <v>63648</v>
      </c>
      <c r="P619" s="6">
        <v>18</v>
      </c>
      <c r="Q619" s="6">
        <v>4221</v>
      </c>
      <c r="R619" s="60"/>
      <c r="S619" s="60"/>
    </row>
    <row r="620" spans="1:19" s="1" customFormat="1" hidden="1" outlineLevel="1" x14ac:dyDescent="0.25">
      <c r="A620" s="7" t="s">
        <v>901</v>
      </c>
      <c r="B620" s="7" t="s">
        <v>902</v>
      </c>
      <c r="C620" s="14">
        <v>159</v>
      </c>
      <c r="D620" s="6">
        <v>54.58</v>
      </c>
      <c r="E620" s="6">
        <v>100</v>
      </c>
      <c r="F620" s="6"/>
      <c r="G620" s="6"/>
      <c r="H620" s="6"/>
      <c r="I620" s="6"/>
      <c r="J620" s="6">
        <v>138</v>
      </c>
      <c r="K620" s="6">
        <v>21942</v>
      </c>
      <c r="L620" s="6"/>
      <c r="M620" s="6"/>
      <c r="N620" s="6">
        <f t="shared" si="59"/>
        <v>138</v>
      </c>
      <c r="O620" s="6">
        <f t="shared" si="60"/>
        <v>21942</v>
      </c>
      <c r="P620" s="6">
        <v>33</v>
      </c>
      <c r="Q620" s="6">
        <v>5917</v>
      </c>
      <c r="R620" s="60"/>
      <c r="S620" s="60"/>
    </row>
    <row r="621" spans="1:19" s="1" customFormat="1" hidden="1" outlineLevel="1" x14ac:dyDescent="0.25">
      <c r="A621" s="7" t="s">
        <v>802</v>
      </c>
      <c r="B621" s="7" t="s">
        <v>803</v>
      </c>
      <c r="C621" s="14">
        <v>175.32</v>
      </c>
      <c r="D621" s="6">
        <v>741.07</v>
      </c>
      <c r="E621" s="6">
        <v>12.9</v>
      </c>
      <c r="F621" s="6"/>
      <c r="G621" s="6"/>
      <c r="H621" s="6"/>
      <c r="I621" s="6"/>
      <c r="J621" s="6">
        <v>852</v>
      </c>
      <c r="K621" s="6">
        <v>149372.64000000001</v>
      </c>
      <c r="L621" s="6"/>
      <c r="M621" s="6"/>
      <c r="N621" s="6">
        <f t="shared" si="59"/>
        <v>852</v>
      </c>
      <c r="O621" s="6">
        <f t="shared" si="60"/>
        <v>149372.63999999998</v>
      </c>
      <c r="P621" s="6">
        <v>2</v>
      </c>
      <c r="Q621" s="6">
        <v>307</v>
      </c>
      <c r="R621" s="60">
        <f t="shared" si="61"/>
        <v>645.05598661395015</v>
      </c>
      <c r="S621" s="60">
        <f t="shared" si="62"/>
        <v>113091.21557315774</v>
      </c>
    </row>
    <row r="622" spans="1:19" s="1" customFormat="1" hidden="1" outlineLevel="1" x14ac:dyDescent="0.25">
      <c r="A622" s="7" t="s">
        <v>1163</v>
      </c>
      <c r="B622" s="7" t="s">
        <v>1164</v>
      </c>
      <c r="C622" s="14">
        <v>978.38</v>
      </c>
      <c r="D622" s="6"/>
      <c r="E622" s="6">
        <v>100</v>
      </c>
      <c r="F622" s="6"/>
      <c r="G622" s="6"/>
      <c r="H622" s="6"/>
      <c r="I622" s="6"/>
      <c r="J622" s="6">
        <v>62</v>
      </c>
      <c r="K622" s="6">
        <v>60659.56</v>
      </c>
      <c r="L622" s="6"/>
      <c r="M622" s="6"/>
      <c r="N622" s="6">
        <f t="shared" si="59"/>
        <v>62</v>
      </c>
      <c r="O622" s="6">
        <f t="shared" si="60"/>
        <v>60659.56</v>
      </c>
      <c r="P622" s="6">
        <v>17</v>
      </c>
      <c r="Q622" s="6">
        <v>20383</v>
      </c>
      <c r="R622" s="60"/>
      <c r="S622" s="60"/>
    </row>
    <row r="623" spans="1:19" s="1" customFormat="1" hidden="1" outlineLevel="1" x14ac:dyDescent="0.25">
      <c r="A623" s="7" t="s">
        <v>899</v>
      </c>
      <c r="B623" s="7" t="s">
        <v>900</v>
      </c>
      <c r="C623" s="14">
        <v>145</v>
      </c>
      <c r="D623" s="6">
        <v>21.01</v>
      </c>
      <c r="E623" s="6">
        <v>98.92</v>
      </c>
      <c r="F623" s="6"/>
      <c r="G623" s="6"/>
      <c r="H623" s="6">
        <v>3</v>
      </c>
      <c r="I623" s="6">
        <v>435</v>
      </c>
      <c r="J623" s="6">
        <v>119</v>
      </c>
      <c r="K623" s="6">
        <v>17255</v>
      </c>
      <c r="L623" s="6"/>
      <c r="M623" s="6"/>
      <c r="N623" s="6">
        <f t="shared" si="59"/>
        <v>122</v>
      </c>
      <c r="O623" s="6">
        <f t="shared" si="60"/>
        <v>17690</v>
      </c>
      <c r="P623" s="6">
        <v>8</v>
      </c>
      <c r="Q623" s="6">
        <v>1695</v>
      </c>
      <c r="R623" s="60"/>
      <c r="S623" s="60"/>
    </row>
    <row r="624" spans="1:19" s="1" customFormat="1" hidden="1" outlineLevel="1" x14ac:dyDescent="0.25">
      <c r="A624" s="7" t="s">
        <v>177</v>
      </c>
      <c r="B624" s="7" t="s">
        <v>178</v>
      </c>
      <c r="C624" s="14">
        <v>615.86</v>
      </c>
      <c r="D624" s="6">
        <v>47.82</v>
      </c>
      <c r="E624" s="6">
        <v>100</v>
      </c>
      <c r="F624" s="6"/>
      <c r="G624" s="6"/>
      <c r="H624" s="6">
        <v>2</v>
      </c>
      <c r="I624" s="6">
        <v>1231.72</v>
      </c>
      <c r="J624" s="6">
        <v>133</v>
      </c>
      <c r="K624" s="6">
        <v>81909.38</v>
      </c>
      <c r="L624" s="6"/>
      <c r="M624" s="6"/>
      <c r="N624" s="6">
        <f t="shared" si="59"/>
        <v>135</v>
      </c>
      <c r="O624" s="6">
        <f t="shared" si="60"/>
        <v>83141.100000000006</v>
      </c>
      <c r="P624" s="6">
        <v>39</v>
      </c>
      <c r="Q624" s="6">
        <v>23121</v>
      </c>
      <c r="R624" s="60"/>
      <c r="S624" s="60"/>
    </row>
    <row r="625" spans="1:19" s="1" customFormat="1" hidden="1" outlineLevel="1" x14ac:dyDescent="0.25">
      <c r="A625" s="7" t="s">
        <v>903</v>
      </c>
      <c r="B625" s="7" t="s">
        <v>904</v>
      </c>
      <c r="C625" s="14">
        <v>185</v>
      </c>
      <c r="D625" s="6">
        <v>161.29</v>
      </c>
      <c r="E625" s="6">
        <v>100</v>
      </c>
      <c r="F625" s="6">
        <v>5</v>
      </c>
      <c r="G625" s="6">
        <v>925</v>
      </c>
      <c r="H625" s="6"/>
      <c r="I625" s="6"/>
      <c r="J625" s="6">
        <v>93</v>
      </c>
      <c r="K625" s="6">
        <v>17205</v>
      </c>
      <c r="L625" s="6"/>
      <c r="M625" s="6"/>
      <c r="N625" s="6">
        <f t="shared" si="59"/>
        <v>98</v>
      </c>
      <c r="O625" s="6">
        <f t="shared" si="60"/>
        <v>18130</v>
      </c>
      <c r="P625" s="6">
        <v>60</v>
      </c>
      <c r="Q625" s="6">
        <v>13527</v>
      </c>
      <c r="R625" s="60"/>
      <c r="S625" s="60"/>
    </row>
    <row r="626" spans="1:19" s="1" customFormat="1" hidden="1" outlineLevel="1" x14ac:dyDescent="0.25">
      <c r="A626" s="7" t="s">
        <v>1207</v>
      </c>
      <c r="B626" s="7" t="s">
        <v>1208</v>
      </c>
      <c r="C626" s="14">
        <v>153.4</v>
      </c>
      <c r="D626" s="6"/>
      <c r="E626" s="6">
        <v>100</v>
      </c>
      <c r="F626" s="6"/>
      <c r="G626" s="6"/>
      <c r="H626" s="6">
        <v>25</v>
      </c>
      <c r="I626" s="6">
        <v>3835</v>
      </c>
      <c r="J626" s="6">
        <v>61</v>
      </c>
      <c r="K626" s="6">
        <v>9357.4</v>
      </c>
      <c r="L626" s="6"/>
      <c r="M626" s="6"/>
      <c r="N626" s="6">
        <f t="shared" si="59"/>
        <v>86</v>
      </c>
      <c r="O626" s="6">
        <f t="shared" si="60"/>
        <v>13192.4</v>
      </c>
      <c r="P626" s="6">
        <v>17</v>
      </c>
      <c r="Q626" s="6">
        <v>3196</v>
      </c>
      <c r="R626" s="60"/>
      <c r="S626" s="60"/>
    </row>
    <row r="627" spans="1:19" s="1" customFormat="1" hidden="1" outlineLevel="1" x14ac:dyDescent="0.25">
      <c r="A627" s="7" t="s">
        <v>121</v>
      </c>
      <c r="B627" s="7" t="s">
        <v>122</v>
      </c>
      <c r="C627" s="14">
        <v>159.62</v>
      </c>
      <c r="D627" s="6">
        <v>35.92</v>
      </c>
      <c r="E627" s="6">
        <v>100</v>
      </c>
      <c r="F627" s="6"/>
      <c r="G627" s="6"/>
      <c r="H627" s="6">
        <v>13</v>
      </c>
      <c r="I627" s="6">
        <v>2075.06</v>
      </c>
      <c r="J627" s="6">
        <v>245</v>
      </c>
      <c r="K627" s="6">
        <v>39106.9</v>
      </c>
      <c r="L627" s="6"/>
      <c r="M627" s="6"/>
      <c r="N627" s="6">
        <f t="shared" si="59"/>
        <v>258</v>
      </c>
      <c r="O627" s="6">
        <f t="shared" si="60"/>
        <v>41181.96</v>
      </c>
      <c r="P627" s="6">
        <v>80</v>
      </c>
      <c r="Q627" s="6">
        <v>12867</v>
      </c>
      <c r="R627" s="60"/>
      <c r="S627" s="60"/>
    </row>
    <row r="628" spans="1:19" s="1" customFormat="1" hidden="1" outlineLevel="1" x14ac:dyDescent="0.25">
      <c r="A628" s="7" t="s">
        <v>1061</v>
      </c>
      <c r="B628" s="7" t="s">
        <v>1062</v>
      </c>
      <c r="C628" s="14">
        <v>36.33</v>
      </c>
      <c r="D628" s="6">
        <v>60.35</v>
      </c>
      <c r="E628" s="6">
        <v>99.2</v>
      </c>
      <c r="F628" s="6">
        <v>4</v>
      </c>
      <c r="G628" s="6">
        <v>145.32</v>
      </c>
      <c r="H628" s="6">
        <v>7</v>
      </c>
      <c r="I628" s="6">
        <v>254.31</v>
      </c>
      <c r="J628" s="6">
        <v>2100</v>
      </c>
      <c r="K628" s="6">
        <v>76293</v>
      </c>
      <c r="L628" s="6"/>
      <c r="M628" s="6"/>
      <c r="N628" s="6">
        <f t="shared" si="59"/>
        <v>2111</v>
      </c>
      <c r="O628" s="6">
        <f t="shared" si="60"/>
        <v>76692.62999999999</v>
      </c>
      <c r="P628" s="6">
        <v>14</v>
      </c>
      <c r="Q628" s="6">
        <v>707</v>
      </c>
      <c r="R628" s="60"/>
      <c r="S628" s="60"/>
    </row>
    <row r="629" spans="1:19" s="1" customFormat="1" hidden="1" outlineLevel="1" x14ac:dyDescent="0.25">
      <c r="A629" s="7" t="s">
        <v>1127</v>
      </c>
      <c r="B629" s="7" t="s">
        <v>1128</v>
      </c>
      <c r="C629" s="14">
        <v>258.22000000000003</v>
      </c>
      <c r="D629" s="6">
        <v>112.35</v>
      </c>
      <c r="E629" s="6">
        <v>100</v>
      </c>
      <c r="F629" s="6"/>
      <c r="G629" s="6"/>
      <c r="H629" s="6">
        <v>40</v>
      </c>
      <c r="I629" s="6">
        <v>10328.799999999999</v>
      </c>
      <c r="J629" s="6">
        <v>74</v>
      </c>
      <c r="K629" s="6">
        <v>19108.28</v>
      </c>
      <c r="L629" s="6"/>
      <c r="M629" s="6"/>
      <c r="N629" s="6">
        <f t="shared" si="59"/>
        <v>114</v>
      </c>
      <c r="O629" s="6">
        <f t="shared" si="60"/>
        <v>29437.08</v>
      </c>
      <c r="P629" s="6">
        <v>120</v>
      </c>
      <c r="Q629" s="6">
        <v>37602</v>
      </c>
      <c r="R629" s="60"/>
      <c r="S629" s="60"/>
    </row>
    <row r="630" spans="1:19" s="1" customFormat="1" hidden="1" outlineLevel="1" x14ac:dyDescent="0.25">
      <c r="A630" s="7" t="s">
        <v>391</v>
      </c>
      <c r="B630" s="7" t="s">
        <v>392</v>
      </c>
      <c r="C630" s="14">
        <v>395.05</v>
      </c>
      <c r="D630" s="6">
        <v>752.44</v>
      </c>
      <c r="E630" s="6">
        <v>100</v>
      </c>
      <c r="F630" s="6"/>
      <c r="G630" s="6"/>
      <c r="H630" s="6">
        <v>24</v>
      </c>
      <c r="I630" s="6">
        <v>9481.2000000000007</v>
      </c>
      <c r="J630" s="6">
        <v>431</v>
      </c>
      <c r="K630" s="6">
        <v>170266.55</v>
      </c>
      <c r="L630" s="6"/>
      <c r="M630" s="6"/>
      <c r="N630" s="6">
        <f t="shared" si="59"/>
        <v>455</v>
      </c>
      <c r="O630" s="6">
        <f t="shared" si="60"/>
        <v>179747.75</v>
      </c>
      <c r="P630" s="6">
        <v>53</v>
      </c>
      <c r="Q630" s="6">
        <v>24958</v>
      </c>
      <c r="R630" s="60">
        <f t="shared" si="61"/>
        <v>327.89543352293873</v>
      </c>
      <c r="S630" s="60">
        <f t="shared" si="62"/>
        <v>129535.09101323695</v>
      </c>
    </row>
    <row r="631" spans="1:19" s="1" customFormat="1" hidden="1" outlineLevel="1" x14ac:dyDescent="0.25">
      <c r="A631" s="7" t="s">
        <v>1285</v>
      </c>
      <c r="B631" s="7" t="s">
        <v>1286</v>
      </c>
      <c r="C631" s="14">
        <v>72.680000000000007</v>
      </c>
      <c r="D631" s="6">
        <v>258.62</v>
      </c>
      <c r="E631" s="6">
        <v>100</v>
      </c>
      <c r="F631" s="6"/>
      <c r="G631" s="6"/>
      <c r="H631" s="6"/>
      <c r="I631" s="6"/>
      <c r="J631" s="6">
        <v>1012</v>
      </c>
      <c r="K631" s="6">
        <v>73552.160000000003</v>
      </c>
      <c r="L631" s="6"/>
      <c r="M631" s="6"/>
      <c r="N631" s="6">
        <f t="shared" si="59"/>
        <v>1012</v>
      </c>
      <c r="O631" s="6">
        <f t="shared" si="60"/>
        <v>73552.160000000003</v>
      </c>
      <c r="P631" s="6">
        <v>86</v>
      </c>
      <c r="Q631" s="6">
        <v>7216</v>
      </c>
      <c r="R631" s="60">
        <f t="shared" si="61"/>
        <v>307.64612172299127</v>
      </c>
      <c r="S631" s="60">
        <f t="shared" si="62"/>
        <v>22359.720126827007</v>
      </c>
    </row>
    <row r="632" spans="1:19" s="1" customFormat="1" hidden="1" outlineLevel="1" x14ac:dyDescent="0.25">
      <c r="A632" s="7" t="s">
        <v>1185</v>
      </c>
      <c r="B632" s="7" t="s">
        <v>1186</v>
      </c>
      <c r="C632" s="14">
        <v>99.71</v>
      </c>
      <c r="D632" s="6"/>
      <c r="E632" s="6">
        <v>100</v>
      </c>
      <c r="F632" s="6"/>
      <c r="G632" s="6"/>
      <c r="H632" s="6">
        <v>20</v>
      </c>
      <c r="I632" s="6">
        <v>1994.2</v>
      </c>
      <c r="J632" s="6">
        <v>52</v>
      </c>
      <c r="K632" s="6">
        <v>5184.92</v>
      </c>
      <c r="L632" s="6"/>
      <c r="M632" s="6"/>
      <c r="N632" s="6">
        <f t="shared" si="59"/>
        <v>72</v>
      </c>
      <c r="O632" s="6">
        <f t="shared" si="60"/>
        <v>7179.12</v>
      </c>
      <c r="P632" s="6">
        <v>17</v>
      </c>
      <c r="Q632" s="6">
        <v>2077</v>
      </c>
      <c r="R632" s="60"/>
      <c r="S632" s="60"/>
    </row>
    <row r="633" spans="1:19" s="1" customFormat="1" hidden="1" outlineLevel="1" x14ac:dyDescent="0.25">
      <c r="A633" s="7" t="s">
        <v>1187</v>
      </c>
      <c r="B633" s="7" t="s">
        <v>1188</v>
      </c>
      <c r="C633" s="14">
        <v>99.71</v>
      </c>
      <c r="D633" s="6">
        <v>2234.33</v>
      </c>
      <c r="E633" s="6">
        <v>100</v>
      </c>
      <c r="F633" s="6"/>
      <c r="G633" s="6"/>
      <c r="H633" s="6">
        <v>50</v>
      </c>
      <c r="I633" s="6">
        <v>4985.5</v>
      </c>
      <c r="J633" s="6">
        <v>76</v>
      </c>
      <c r="K633" s="6">
        <v>7577.96</v>
      </c>
      <c r="L633" s="6"/>
      <c r="M633" s="6"/>
      <c r="N633" s="6">
        <f t="shared" si="59"/>
        <v>126</v>
      </c>
      <c r="O633" s="6">
        <f t="shared" si="60"/>
        <v>12563.46</v>
      </c>
      <c r="P633" s="6">
        <v>17</v>
      </c>
      <c r="Q633" s="6">
        <v>2182</v>
      </c>
      <c r="R633" s="60">
        <f t="shared" si="61"/>
        <v>69.877359208353283</v>
      </c>
      <c r="S633" s="60">
        <f t="shared" si="62"/>
        <v>6967.4714866649056</v>
      </c>
    </row>
    <row r="634" spans="1:19" s="1" customFormat="1" hidden="1" outlineLevel="1" x14ac:dyDescent="0.25">
      <c r="A634" s="7" t="s">
        <v>1191</v>
      </c>
      <c r="B634" s="7" t="s">
        <v>1192</v>
      </c>
      <c r="C634" s="14">
        <v>99.71</v>
      </c>
      <c r="D634" s="6">
        <v>1116.67</v>
      </c>
      <c r="E634" s="6">
        <v>100</v>
      </c>
      <c r="F634" s="6"/>
      <c r="G634" s="6"/>
      <c r="H634" s="6"/>
      <c r="I634" s="6"/>
      <c r="J634" s="6">
        <v>124</v>
      </c>
      <c r="K634" s="6">
        <v>12364.04</v>
      </c>
      <c r="L634" s="6"/>
      <c r="M634" s="6"/>
      <c r="N634" s="6">
        <f t="shared" si="59"/>
        <v>124</v>
      </c>
      <c r="O634" s="6">
        <f t="shared" si="60"/>
        <v>12364.039999999999</v>
      </c>
      <c r="P634" s="6">
        <v>18</v>
      </c>
      <c r="Q634" s="6">
        <v>2242</v>
      </c>
      <c r="R634" s="60">
        <f t="shared" si="61"/>
        <v>104.01199996417921</v>
      </c>
      <c r="S634" s="60">
        <f t="shared" si="62"/>
        <v>10371.036516428308</v>
      </c>
    </row>
    <row r="635" spans="1:19" s="1" customFormat="1" hidden="1" outlineLevel="1" x14ac:dyDescent="0.25">
      <c r="A635" s="7" t="s">
        <v>1205</v>
      </c>
      <c r="B635" s="7" t="s">
        <v>1206</v>
      </c>
      <c r="C635" s="14">
        <v>99.71</v>
      </c>
      <c r="D635" s="6">
        <v>2218.67</v>
      </c>
      <c r="E635" s="6">
        <v>100</v>
      </c>
      <c r="F635" s="6"/>
      <c r="G635" s="6"/>
      <c r="H635" s="6"/>
      <c r="I635" s="6"/>
      <c r="J635" s="6">
        <v>124</v>
      </c>
      <c r="K635" s="6">
        <v>12364.04</v>
      </c>
      <c r="L635" s="6"/>
      <c r="M635" s="6"/>
      <c r="N635" s="6">
        <f t="shared" si="59"/>
        <v>124</v>
      </c>
      <c r="O635" s="6">
        <f t="shared" si="60"/>
        <v>12364.039999999999</v>
      </c>
      <c r="P635" s="6">
        <v>17</v>
      </c>
      <c r="Q635" s="6">
        <v>2137</v>
      </c>
      <c r="R635" s="60">
        <f t="shared" si="61"/>
        <v>113.9399189604583</v>
      </c>
      <c r="S635" s="60">
        <f t="shared" si="62"/>
        <v>11360.949319547297</v>
      </c>
    </row>
    <row r="636" spans="1:19" s="1" customFormat="1" hidden="1" outlineLevel="1" x14ac:dyDescent="0.25">
      <c r="A636" s="7" t="s">
        <v>1195</v>
      </c>
      <c r="B636" s="7" t="s">
        <v>1196</v>
      </c>
      <c r="C636" s="14">
        <v>99.71</v>
      </c>
      <c r="D636" s="6"/>
      <c r="E636" s="6">
        <v>100</v>
      </c>
      <c r="F636" s="6"/>
      <c r="G636" s="6"/>
      <c r="H636" s="6">
        <v>45</v>
      </c>
      <c r="I636" s="6">
        <v>4486.95</v>
      </c>
      <c r="J636" s="6">
        <v>146</v>
      </c>
      <c r="K636" s="6">
        <v>14557.66</v>
      </c>
      <c r="L636" s="6"/>
      <c r="M636" s="6"/>
      <c r="N636" s="6">
        <f t="shared" si="59"/>
        <v>191</v>
      </c>
      <c r="O636" s="6">
        <f t="shared" si="60"/>
        <v>19044.61</v>
      </c>
      <c r="P636" s="6">
        <v>17</v>
      </c>
      <c r="Q636" s="6">
        <v>2077</v>
      </c>
      <c r="R636" s="60"/>
      <c r="S636" s="60"/>
    </row>
    <row r="637" spans="1:19" s="1" customFormat="1" hidden="1" outlineLevel="1" x14ac:dyDescent="0.25">
      <c r="A637" s="7" t="s">
        <v>1199</v>
      </c>
      <c r="B637" s="7" t="s">
        <v>1200</v>
      </c>
      <c r="C637" s="14">
        <v>99.71</v>
      </c>
      <c r="D637" s="6"/>
      <c r="E637" s="6">
        <v>100</v>
      </c>
      <c r="F637" s="6"/>
      <c r="G637" s="6"/>
      <c r="H637" s="6">
        <v>66</v>
      </c>
      <c r="I637" s="6">
        <v>6580.86</v>
      </c>
      <c r="J637" s="6">
        <v>115</v>
      </c>
      <c r="K637" s="6">
        <v>11466.65</v>
      </c>
      <c r="L637" s="6"/>
      <c r="M637" s="6"/>
      <c r="N637" s="6">
        <f t="shared" si="59"/>
        <v>181</v>
      </c>
      <c r="O637" s="6">
        <f t="shared" si="60"/>
        <v>18047.509999999998</v>
      </c>
      <c r="P637" s="6">
        <v>20</v>
      </c>
      <c r="Q637" s="6">
        <v>2493</v>
      </c>
      <c r="R637" s="60"/>
      <c r="S637" s="60"/>
    </row>
    <row r="638" spans="1:19" s="1" customFormat="1" hidden="1" outlineLevel="1" x14ac:dyDescent="0.25">
      <c r="A638" s="7" t="s">
        <v>1339</v>
      </c>
      <c r="B638" s="7" t="s">
        <v>1340</v>
      </c>
      <c r="C638" s="14">
        <v>417.67</v>
      </c>
      <c r="D638" s="6"/>
      <c r="E638" s="6"/>
      <c r="F638" s="6"/>
      <c r="G638" s="6"/>
      <c r="H638" s="6"/>
      <c r="I638" s="6"/>
      <c r="J638" s="6"/>
      <c r="K638" s="6"/>
      <c r="L638" s="6">
        <v>1020</v>
      </c>
      <c r="M638" s="6">
        <v>426023.4</v>
      </c>
      <c r="N638" s="6">
        <f t="shared" si="59"/>
        <v>1020</v>
      </c>
      <c r="O638" s="6">
        <f t="shared" si="60"/>
        <v>426023.4</v>
      </c>
      <c r="P638" s="6"/>
      <c r="Q638" s="6"/>
      <c r="R638" s="60"/>
      <c r="S638" s="60"/>
    </row>
    <row r="639" spans="1:19" s="1" customFormat="1" hidden="1" outlineLevel="1" x14ac:dyDescent="0.25">
      <c r="A639" s="7" t="s">
        <v>506</v>
      </c>
      <c r="B639" s="7" t="s">
        <v>507</v>
      </c>
      <c r="C639" s="14">
        <v>220</v>
      </c>
      <c r="D639" s="6">
        <v>91.69</v>
      </c>
      <c r="E639" s="6">
        <v>100</v>
      </c>
      <c r="F639" s="6"/>
      <c r="G639" s="6"/>
      <c r="H639" s="6"/>
      <c r="I639" s="6"/>
      <c r="J639" s="6">
        <v>327</v>
      </c>
      <c r="K639" s="6">
        <v>71940</v>
      </c>
      <c r="L639" s="6"/>
      <c r="M639" s="6"/>
      <c r="N639" s="6">
        <f t="shared" si="59"/>
        <v>327</v>
      </c>
      <c r="O639" s="6">
        <f t="shared" si="60"/>
        <v>71940</v>
      </c>
      <c r="P639" s="6">
        <v>37</v>
      </c>
      <c r="Q639" s="6">
        <v>8648</v>
      </c>
      <c r="R639" s="60"/>
      <c r="S639" s="60"/>
    </row>
    <row r="640" spans="1:19" s="1" customFormat="1" hidden="1" outlineLevel="1" x14ac:dyDescent="0.25">
      <c r="A640" s="7" t="s">
        <v>766</v>
      </c>
      <c r="B640" s="7" t="s">
        <v>767</v>
      </c>
      <c r="C640" s="14">
        <v>62.9</v>
      </c>
      <c r="D640" s="6">
        <v>183.21</v>
      </c>
      <c r="E640" s="6">
        <v>100</v>
      </c>
      <c r="F640" s="6"/>
      <c r="G640" s="6"/>
      <c r="H640" s="6">
        <v>12</v>
      </c>
      <c r="I640" s="6">
        <v>754.8</v>
      </c>
      <c r="J640" s="6">
        <v>1714</v>
      </c>
      <c r="K640" s="6">
        <v>107810.6</v>
      </c>
      <c r="L640" s="6"/>
      <c r="M640" s="6"/>
      <c r="N640" s="6">
        <f t="shared" si="59"/>
        <v>1726</v>
      </c>
      <c r="O640" s="6">
        <f t="shared" si="60"/>
        <v>108565.4</v>
      </c>
      <c r="P640" s="6">
        <v>191</v>
      </c>
      <c r="Q640" s="6">
        <v>13173</v>
      </c>
      <c r="R640" s="60">
        <f t="shared" si="61"/>
        <v>30.030784345832725</v>
      </c>
      <c r="S640" s="60">
        <f t="shared" si="62"/>
        <v>1888.9363353528784</v>
      </c>
    </row>
    <row r="641" spans="1:19" s="1" customFormat="1" hidden="1" outlineLevel="1" x14ac:dyDescent="0.25">
      <c r="A641" s="7" t="s">
        <v>666</v>
      </c>
      <c r="B641" s="7" t="s">
        <v>667</v>
      </c>
      <c r="C641" s="14">
        <v>53.45</v>
      </c>
      <c r="D641" s="6">
        <v>55.51</v>
      </c>
      <c r="E641" s="6">
        <v>100</v>
      </c>
      <c r="F641" s="6">
        <v>12</v>
      </c>
      <c r="G641" s="6">
        <v>641.4</v>
      </c>
      <c r="H641" s="6"/>
      <c r="I641" s="6"/>
      <c r="J641" s="6">
        <v>895</v>
      </c>
      <c r="K641" s="6">
        <v>47837.75</v>
      </c>
      <c r="L641" s="6"/>
      <c r="M641" s="6"/>
      <c r="N641" s="6">
        <f t="shared" si="59"/>
        <v>907</v>
      </c>
      <c r="O641" s="6">
        <f t="shared" si="60"/>
        <v>48479.15</v>
      </c>
      <c r="P641" s="6">
        <v>104</v>
      </c>
      <c r="Q641" s="6">
        <v>6166</v>
      </c>
      <c r="R641" s="60"/>
      <c r="S641" s="60"/>
    </row>
    <row r="642" spans="1:19" s="1" customFormat="1" hidden="1" outlineLevel="1" x14ac:dyDescent="0.25">
      <c r="A642" s="7" t="s">
        <v>688</v>
      </c>
      <c r="B642" s="7" t="s">
        <v>689</v>
      </c>
      <c r="C642" s="14">
        <v>82.92</v>
      </c>
      <c r="D642" s="6">
        <v>165.13</v>
      </c>
      <c r="E642" s="6">
        <v>100</v>
      </c>
      <c r="F642" s="6">
        <v>3</v>
      </c>
      <c r="G642" s="6">
        <v>248.76</v>
      </c>
      <c r="H642" s="6"/>
      <c r="I642" s="6"/>
      <c r="J642" s="6">
        <v>1237</v>
      </c>
      <c r="K642" s="6">
        <v>102572.04</v>
      </c>
      <c r="L642" s="6"/>
      <c r="M642" s="6"/>
      <c r="N642" s="6">
        <f t="shared" si="59"/>
        <v>1240</v>
      </c>
      <c r="O642" s="6">
        <f t="shared" si="60"/>
        <v>102820.8</v>
      </c>
      <c r="P642" s="6">
        <v>79</v>
      </c>
      <c r="Q642" s="6">
        <v>7274</v>
      </c>
      <c r="R642" s="60"/>
      <c r="S642" s="60"/>
    </row>
    <row r="643" spans="1:19" s="1" customFormat="1" hidden="1" outlineLevel="1" x14ac:dyDescent="0.25">
      <c r="A643" s="7" t="s">
        <v>1323</v>
      </c>
      <c r="B643" s="7" t="s">
        <v>1324</v>
      </c>
      <c r="C643" s="14">
        <v>196.24</v>
      </c>
      <c r="D643" s="6">
        <v>311.85000000000002</v>
      </c>
      <c r="E643" s="6">
        <v>100</v>
      </c>
      <c r="F643" s="6"/>
      <c r="G643" s="6"/>
      <c r="H643" s="6">
        <v>95</v>
      </c>
      <c r="I643" s="6">
        <v>18642.8</v>
      </c>
      <c r="J643" s="6">
        <v>512</v>
      </c>
      <c r="K643" s="6">
        <v>100474.88</v>
      </c>
      <c r="L643" s="6"/>
      <c r="M643" s="6"/>
      <c r="N643" s="6">
        <f t="shared" si="59"/>
        <v>607</v>
      </c>
      <c r="O643" s="6">
        <f t="shared" si="60"/>
        <v>119117.68000000001</v>
      </c>
      <c r="P643" s="6">
        <v>92</v>
      </c>
      <c r="Q643" s="6">
        <v>22186</v>
      </c>
      <c r="R643" s="60">
        <f t="shared" si="61"/>
        <v>216.47330447330449</v>
      </c>
      <c r="S643" s="60">
        <f t="shared" si="62"/>
        <v>42480.721269841277</v>
      </c>
    </row>
    <row r="644" spans="1:19" s="1" customFormat="1" hidden="1" outlineLevel="1" x14ac:dyDescent="0.25">
      <c r="A644" s="7" t="s">
        <v>87</v>
      </c>
      <c r="B644" s="7" t="s">
        <v>88</v>
      </c>
      <c r="C644" s="14">
        <v>148.08000000000001</v>
      </c>
      <c r="D644" s="6">
        <v>10.57</v>
      </c>
      <c r="E644" s="6">
        <v>99.63</v>
      </c>
      <c r="F644" s="6">
        <v>12</v>
      </c>
      <c r="G644" s="6">
        <v>1776.96</v>
      </c>
      <c r="H644" s="6">
        <v>17</v>
      </c>
      <c r="I644" s="6">
        <v>2517.36</v>
      </c>
      <c r="J644" s="6">
        <v>26.1</v>
      </c>
      <c r="K644" s="6">
        <v>3864.89</v>
      </c>
      <c r="L644" s="6"/>
      <c r="M644" s="6"/>
      <c r="N644" s="6">
        <f t="shared" si="59"/>
        <v>55.1</v>
      </c>
      <c r="O644" s="6">
        <f t="shared" si="60"/>
        <v>8159.2080000000005</v>
      </c>
      <c r="P644" s="6">
        <v>101</v>
      </c>
      <c r="Q644" s="6">
        <v>14889</v>
      </c>
      <c r="R644" s="60"/>
      <c r="S644" s="60"/>
    </row>
    <row r="645" spans="1:19" s="1" customFormat="1" hidden="1" outlineLevel="1" x14ac:dyDescent="0.25">
      <c r="A645" s="7" t="s">
        <v>550</v>
      </c>
      <c r="B645" s="7" t="s">
        <v>551</v>
      </c>
      <c r="C645" s="14">
        <v>504.07</v>
      </c>
      <c r="D645" s="6">
        <v>274.81</v>
      </c>
      <c r="E645" s="6">
        <v>100</v>
      </c>
      <c r="F645" s="6"/>
      <c r="G645" s="6"/>
      <c r="H645" s="6">
        <v>4</v>
      </c>
      <c r="I645" s="6">
        <v>2016.28</v>
      </c>
      <c r="J645" s="6">
        <v>848</v>
      </c>
      <c r="K645" s="6">
        <v>427451.36</v>
      </c>
      <c r="L645" s="6"/>
      <c r="M645" s="6"/>
      <c r="N645" s="6">
        <f t="shared" si="59"/>
        <v>852</v>
      </c>
      <c r="O645" s="6">
        <f t="shared" si="60"/>
        <v>429467.64</v>
      </c>
      <c r="P645" s="6">
        <v>139</v>
      </c>
      <c r="Q645" s="6">
        <v>85397</v>
      </c>
      <c r="R645" s="60">
        <f t="shared" si="61"/>
        <v>292.56169717259201</v>
      </c>
      <c r="S645" s="60">
        <f t="shared" si="62"/>
        <v>147471.57469378845</v>
      </c>
    </row>
    <row r="646" spans="1:19" s="1" customFormat="1" hidden="1" outlineLevel="1" x14ac:dyDescent="0.25">
      <c r="A646" s="7" t="s">
        <v>808</v>
      </c>
      <c r="B646" s="7" t="s">
        <v>809</v>
      </c>
      <c r="C646" s="14">
        <v>213.45</v>
      </c>
      <c r="D646" s="6">
        <v>418.81</v>
      </c>
      <c r="E646" s="6">
        <v>100</v>
      </c>
      <c r="F646" s="6"/>
      <c r="G646" s="6"/>
      <c r="H646" s="6">
        <v>41</v>
      </c>
      <c r="I646" s="6">
        <v>8751.4500000000007</v>
      </c>
      <c r="J646" s="6">
        <v>202</v>
      </c>
      <c r="K646" s="6">
        <v>43116.9</v>
      </c>
      <c r="L646" s="6"/>
      <c r="M646" s="6"/>
      <c r="N646" s="6">
        <f t="shared" si="59"/>
        <v>243</v>
      </c>
      <c r="O646" s="6">
        <f t="shared" si="60"/>
        <v>51868.35</v>
      </c>
      <c r="P646" s="6">
        <v>46</v>
      </c>
      <c r="Q646" s="6">
        <v>12128</v>
      </c>
      <c r="R646" s="60">
        <f t="shared" si="61"/>
        <v>115.18258876340107</v>
      </c>
      <c r="S646" s="60">
        <f t="shared" si="62"/>
        <v>24585.723571547958</v>
      </c>
    </row>
    <row r="647" spans="1:19" s="1" customFormat="1" hidden="1" outlineLevel="1" x14ac:dyDescent="0.25">
      <c r="A647" s="7" t="s">
        <v>911</v>
      </c>
      <c r="B647" s="7" t="s">
        <v>912</v>
      </c>
      <c r="C647" s="14">
        <v>169</v>
      </c>
      <c r="D647" s="6">
        <v>1704.5</v>
      </c>
      <c r="E647" s="6">
        <v>100</v>
      </c>
      <c r="F647" s="6"/>
      <c r="G647" s="6"/>
      <c r="H647" s="6">
        <v>86</v>
      </c>
      <c r="I647" s="6">
        <v>14534</v>
      </c>
      <c r="J647" s="6">
        <v>112</v>
      </c>
      <c r="K647" s="6">
        <v>18928</v>
      </c>
      <c r="L647" s="6"/>
      <c r="M647" s="6"/>
      <c r="N647" s="6">
        <f t="shared" si="59"/>
        <v>198</v>
      </c>
      <c r="O647" s="6">
        <f t="shared" si="60"/>
        <v>33462</v>
      </c>
      <c r="P647" s="6">
        <v>5</v>
      </c>
      <c r="Q647" s="6">
        <v>962</v>
      </c>
      <c r="R647" s="60">
        <f t="shared" si="61"/>
        <v>100.17248459958932</v>
      </c>
      <c r="S647" s="60">
        <f t="shared" si="62"/>
        <v>16929.149897330597</v>
      </c>
    </row>
    <row r="648" spans="1:19" s="1" customFormat="1" hidden="1" outlineLevel="1" x14ac:dyDescent="0.25">
      <c r="A648" s="7" t="s">
        <v>806</v>
      </c>
      <c r="B648" s="7" t="s">
        <v>807</v>
      </c>
      <c r="C648" s="14">
        <v>177.89</v>
      </c>
      <c r="D648" s="6">
        <v>62.79</v>
      </c>
      <c r="E648" s="6">
        <v>100</v>
      </c>
      <c r="F648" s="6"/>
      <c r="G648" s="6"/>
      <c r="H648" s="6">
        <v>59</v>
      </c>
      <c r="I648" s="6">
        <v>10495.51</v>
      </c>
      <c r="J648" s="6">
        <v>112</v>
      </c>
      <c r="K648" s="6">
        <v>19923.68</v>
      </c>
      <c r="L648" s="6"/>
      <c r="M648" s="6"/>
      <c r="N648" s="6">
        <f t="shared" si="59"/>
        <v>171</v>
      </c>
      <c r="O648" s="6">
        <f t="shared" si="60"/>
        <v>30419.19</v>
      </c>
      <c r="P648" s="6">
        <v>46</v>
      </c>
      <c r="Q648" s="6">
        <v>8982</v>
      </c>
      <c r="R648" s="60"/>
      <c r="S648" s="60"/>
    </row>
    <row r="649" spans="1:19" s="1" customFormat="1" hidden="1" outlineLevel="1" x14ac:dyDescent="0.25">
      <c r="A649" s="7" t="s">
        <v>915</v>
      </c>
      <c r="B649" s="7" t="s">
        <v>916</v>
      </c>
      <c r="C649" s="14">
        <v>255</v>
      </c>
      <c r="D649" s="6">
        <v>237.48</v>
      </c>
      <c r="E649" s="6">
        <v>100</v>
      </c>
      <c r="F649" s="6"/>
      <c r="G649" s="6"/>
      <c r="H649" s="6"/>
      <c r="I649" s="6"/>
      <c r="J649" s="6">
        <v>228</v>
      </c>
      <c r="K649" s="6">
        <v>58140</v>
      </c>
      <c r="L649" s="6"/>
      <c r="M649" s="6"/>
      <c r="N649" s="6">
        <f t="shared" si="59"/>
        <v>228</v>
      </c>
      <c r="O649" s="6">
        <f t="shared" si="60"/>
        <v>58140</v>
      </c>
      <c r="P649" s="6">
        <v>61</v>
      </c>
      <c r="Q649" s="6">
        <v>19478</v>
      </c>
      <c r="R649" s="60">
        <f t="shared" si="61"/>
        <v>55.185447195553301</v>
      </c>
      <c r="S649" s="60">
        <f t="shared" si="62"/>
        <v>14072.289034866091</v>
      </c>
    </row>
    <row r="650" spans="1:19" s="1" customFormat="1" hidden="1" outlineLevel="1" x14ac:dyDescent="0.25">
      <c r="A650" s="7" t="s">
        <v>510</v>
      </c>
      <c r="B650" s="7" t="s">
        <v>511</v>
      </c>
      <c r="C650" s="14">
        <v>190</v>
      </c>
      <c r="D650" s="6">
        <v>9.36</v>
      </c>
      <c r="E650" s="6">
        <v>75.27</v>
      </c>
      <c r="F650" s="6"/>
      <c r="G650" s="6"/>
      <c r="H650" s="6">
        <v>7</v>
      </c>
      <c r="I650" s="6">
        <v>1330</v>
      </c>
      <c r="J650" s="6">
        <v>10</v>
      </c>
      <c r="K650" s="6">
        <v>1900</v>
      </c>
      <c r="L650" s="6"/>
      <c r="M650" s="6"/>
      <c r="N650" s="6">
        <f t="shared" si="59"/>
        <v>17</v>
      </c>
      <c r="O650" s="6">
        <f t="shared" si="60"/>
        <v>3230</v>
      </c>
      <c r="P650" s="6">
        <v>60</v>
      </c>
      <c r="Q650" s="6">
        <v>13540</v>
      </c>
      <c r="R650" s="60"/>
      <c r="S650" s="60"/>
    </row>
    <row r="651" spans="1:19" s="1" customFormat="1" hidden="1" outlineLevel="1" x14ac:dyDescent="0.25">
      <c r="A651" s="7" t="s">
        <v>175</v>
      </c>
      <c r="B651" s="7" t="s">
        <v>176</v>
      </c>
      <c r="C651" s="14">
        <v>569.9</v>
      </c>
      <c r="D651" s="6">
        <v>68.150000000000006</v>
      </c>
      <c r="E651" s="6">
        <v>100</v>
      </c>
      <c r="F651" s="6"/>
      <c r="G651" s="6"/>
      <c r="H651" s="6">
        <v>7</v>
      </c>
      <c r="I651" s="6">
        <v>3989.3</v>
      </c>
      <c r="J651" s="6">
        <v>238</v>
      </c>
      <c r="K651" s="6">
        <v>135636.20000000001</v>
      </c>
      <c r="L651" s="6"/>
      <c r="M651" s="6"/>
      <c r="N651" s="6">
        <f t="shared" si="59"/>
        <v>245</v>
      </c>
      <c r="O651" s="6">
        <f t="shared" si="60"/>
        <v>139625.5</v>
      </c>
      <c r="P651" s="6">
        <v>47</v>
      </c>
      <c r="Q651" s="6">
        <v>25949</v>
      </c>
      <c r="R651" s="60"/>
      <c r="S651" s="60"/>
    </row>
    <row r="652" spans="1:19" s="1" customFormat="1" hidden="1" outlineLevel="1" x14ac:dyDescent="0.25">
      <c r="A652" s="7" t="s">
        <v>518</v>
      </c>
      <c r="B652" s="7" t="s">
        <v>519</v>
      </c>
      <c r="C652" s="14">
        <v>235</v>
      </c>
      <c r="D652" s="6">
        <v>59.19</v>
      </c>
      <c r="E652" s="6">
        <v>100</v>
      </c>
      <c r="F652" s="6"/>
      <c r="G652" s="6"/>
      <c r="H652" s="6"/>
      <c r="I652" s="6"/>
      <c r="J652" s="6">
        <v>178</v>
      </c>
      <c r="K652" s="6">
        <v>41830</v>
      </c>
      <c r="L652" s="6"/>
      <c r="M652" s="6"/>
      <c r="N652" s="6">
        <f t="shared" si="59"/>
        <v>178</v>
      </c>
      <c r="O652" s="6">
        <f t="shared" si="60"/>
        <v>41830</v>
      </c>
      <c r="P652" s="6">
        <v>44</v>
      </c>
      <c r="Q652" s="6">
        <v>11985</v>
      </c>
      <c r="R652" s="60"/>
      <c r="S652" s="60"/>
    </row>
    <row r="653" spans="1:19" s="1" customFormat="1" hidden="1" outlineLevel="1" x14ac:dyDescent="0.25">
      <c r="A653" s="7" t="s">
        <v>1293</v>
      </c>
      <c r="B653" s="7" t="s">
        <v>1294</v>
      </c>
      <c r="C653" s="14">
        <v>88.04</v>
      </c>
      <c r="D653" s="6">
        <v>156.56</v>
      </c>
      <c r="E653" s="6">
        <v>100</v>
      </c>
      <c r="F653" s="6"/>
      <c r="G653" s="6"/>
      <c r="H653" s="6">
        <v>89</v>
      </c>
      <c r="I653" s="6">
        <v>7835.56</v>
      </c>
      <c r="J653" s="6">
        <v>291</v>
      </c>
      <c r="K653" s="6">
        <v>25619.64</v>
      </c>
      <c r="L653" s="6"/>
      <c r="M653" s="6"/>
      <c r="N653" s="6">
        <f t="shared" si="59"/>
        <v>380</v>
      </c>
      <c r="O653" s="6">
        <f t="shared" si="60"/>
        <v>33455.200000000004</v>
      </c>
      <c r="P653" s="6">
        <v>83</v>
      </c>
      <c r="Q653" s="6">
        <v>8827</v>
      </c>
      <c r="R653" s="60"/>
      <c r="S653" s="60"/>
    </row>
    <row r="654" spans="1:19" s="1" customFormat="1" hidden="1" outlineLevel="1" x14ac:dyDescent="0.25">
      <c r="A654" s="7" t="s">
        <v>1057</v>
      </c>
      <c r="B654" s="7" t="s">
        <v>1058</v>
      </c>
      <c r="C654" s="14">
        <v>40.369999999999997</v>
      </c>
      <c r="D654" s="6">
        <v>21.85</v>
      </c>
      <c r="E654" s="6">
        <v>100</v>
      </c>
      <c r="F654" s="6">
        <v>122</v>
      </c>
      <c r="G654" s="6">
        <v>4925.1400000000003</v>
      </c>
      <c r="H654" s="6"/>
      <c r="I654" s="6"/>
      <c r="J654" s="6">
        <v>1220</v>
      </c>
      <c r="K654" s="6">
        <v>49251.4</v>
      </c>
      <c r="L654" s="6"/>
      <c r="M654" s="6"/>
      <c r="N654" s="6">
        <f t="shared" si="59"/>
        <v>1342</v>
      </c>
      <c r="O654" s="6">
        <f t="shared" si="60"/>
        <v>54176.539999999994</v>
      </c>
      <c r="P654" s="6">
        <v>303</v>
      </c>
      <c r="Q654" s="6">
        <v>13020</v>
      </c>
      <c r="R654" s="60"/>
      <c r="S654" s="60"/>
    </row>
    <row r="655" spans="1:19" s="1" customFormat="1" hidden="1" outlineLevel="1" x14ac:dyDescent="0.25">
      <c r="A655" s="7" t="s">
        <v>243</v>
      </c>
      <c r="B655" s="7" t="s">
        <v>244</v>
      </c>
      <c r="C655" s="14">
        <v>1472.29</v>
      </c>
      <c r="D655" s="6">
        <v>507.82</v>
      </c>
      <c r="E655" s="6">
        <v>100</v>
      </c>
      <c r="F655" s="6"/>
      <c r="G655" s="6"/>
      <c r="H655" s="6"/>
      <c r="I655" s="6"/>
      <c r="J655" s="6">
        <v>703</v>
      </c>
      <c r="K655" s="6">
        <v>1035019.87</v>
      </c>
      <c r="L655" s="6"/>
      <c r="M655" s="6"/>
      <c r="N655" s="6">
        <f t="shared" si="59"/>
        <v>703</v>
      </c>
      <c r="O655" s="6">
        <f t="shared" si="60"/>
        <v>1035019.87</v>
      </c>
      <c r="P655" s="6">
        <v>19</v>
      </c>
      <c r="Q655" s="6">
        <v>32273</v>
      </c>
      <c r="R655" s="60">
        <f t="shared" si="61"/>
        <v>453.81721869953918</v>
      </c>
      <c r="S655" s="60">
        <f t="shared" si="62"/>
        <v>668150.55291914451</v>
      </c>
    </row>
    <row r="656" spans="1:19" s="1" customFormat="1" hidden="1" outlineLevel="1" x14ac:dyDescent="0.25">
      <c r="A656" s="7" t="s">
        <v>412</v>
      </c>
      <c r="B656" s="7" t="s">
        <v>413</v>
      </c>
      <c r="C656" s="14">
        <v>79.8</v>
      </c>
      <c r="D656" s="6">
        <v>70.680000000000007</v>
      </c>
      <c r="E656" s="6">
        <v>100</v>
      </c>
      <c r="F656" s="6"/>
      <c r="G656" s="6"/>
      <c r="H656" s="6"/>
      <c r="I656" s="6"/>
      <c r="J656" s="6">
        <v>444</v>
      </c>
      <c r="K656" s="6">
        <v>35431.199999999997</v>
      </c>
      <c r="L656" s="6"/>
      <c r="M656" s="6"/>
      <c r="N656" s="6">
        <f t="shared" si="59"/>
        <v>444</v>
      </c>
      <c r="O656" s="6">
        <f t="shared" si="60"/>
        <v>35431.199999999997</v>
      </c>
      <c r="P656" s="6">
        <v>111</v>
      </c>
      <c r="Q656" s="6">
        <v>8799</v>
      </c>
      <c r="R656" s="60"/>
      <c r="S656" s="60"/>
    </row>
    <row r="657" spans="1:19" s="1" customFormat="1" hidden="1" outlineLevel="1" x14ac:dyDescent="0.25">
      <c r="A657" s="7" t="s">
        <v>416</v>
      </c>
      <c r="B657" s="7" t="s">
        <v>417</v>
      </c>
      <c r="C657" s="14">
        <v>77</v>
      </c>
      <c r="D657" s="6">
        <v>381.67</v>
      </c>
      <c r="E657" s="6">
        <v>100</v>
      </c>
      <c r="F657" s="6"/>
      <c r="G657" s="6"/>
      <c r="H657" s="6"/>
      <c r="I657" s="6"/>
      <c r="J657" s="6">
        <v>765</v>
      </c>
      <c r="K657" s="6">
        <v>58905</v>
      </c>
      <c r="L657" s="6"/>
      <c r="M657" s="6"/>
      <c r="N657" s="6">
        <f t="shared" si="59"/>
        <v>765</v>
      </c>
      <c r="O657" s="6">
        <f t="shared" si="60"/>
        <v>58905</v>
      </c>
      <c r="P657" s="6">
        <v>17</v>
      </c>
      <c r="Q657" s="6">
        <v>1016</v>
      </c>
      <c r="R657" s="60">
        <f t="shared" si="61"/>
        <v>404.21712474126866</v>
      </c>
      <c r="S657" s="60">
        <f t="shared" si="62"/>
        <v>31124.718605077687</v>
      </c>
    </row>
    <row r="658" spans="1:19" s="1" customFormat="1" hidden="1" outlineLevel="1" x14ac:dyDescent="0.25">
      <c r="A658" s="7" t="s">
        <v>1063</v>
      </c>
      <c r="B658" s="7" t="s">
        <v>1064</v>
      </c>
      <c r="C658" s="14">
        <v>46.16</v>
      </c>
      <c r="D658" s="6">
        <v>27.35</v>
      </c>
      <c r="E658" s="6">
        <v>100</v>
      </c>
      <c r="F658" s="6">
        <v>54</v>
      </c>
      <c r="G658" s="6">
        <v>2492.64</v>
      </c>
      <c r="H658" s="6">
        <v>50</v>
      </c>
      <c r="I658" s="6">
        <v>2308</v>
      </c>
      <c r="J658" s="6">
        <v>2203</v>
      </c>
      <c r="K658" s="6">
        <v>101690.48</v>
      </c>
      <c r="L658" s="6"/>
      <c r="M658" s="6"/>
      <c r="N658" s="6">
        <f t="shared" si="59"/>
        <v>2307</v>
      </c>
      <c r="O658" s="6">
        <f t="shared" si="60"/>
        <v>106491.12</v>
      </c>
      <c r="P658" s="6">
        <v>463</v>
      </c>
      <c r="Q658" s="6">
        <v>23858</v>
      </c>
      <c r="R658" s="60"/>
      <c r="S658" s="60"/>
    </row>
    <row r="659" spans="1:19" s="1" customFormat="1" hidden="1" outlineLevel="1" x14ac:dyDescent="0.25">
      <c r="A659" s="7" t="s">
        <v>668</v>
      </c>
      <c r="B659" s="7" t="s">
        <v>669</v>
      </c>
      <c r="C659" s="14">
        <v>130.69999999999999</v>
      </c>
      <c r="D659" s="6">
        <v>20.170000000000002</v>
      </c>
      <c r="E659" s="6">
        <v>100</v>
      </c>
      <c r="F659" s="6">
        <v>50</v>
      </c>
      <c r="G659" s="6">
        <v>6535</v>
      </c>
      <c r="H659" s="6"/>
      <c r="I659" s="6"/>
      <c r="J659" s="6">
        <v>429</v>
      </c>
      <c r="K659" s="6">
        <v>56070.3</v>
      </c>
      <c r="L659" s="6"/>
      <c r="M659" s="6"/>
      <c r="N659" s="6">
        <f t="shared" si="59"/>
        <v>479</v>
      </c>
      <c r="O659" s="6">
        <f t="shared" si="60"/>
        <v>62605.299999999996</v>
      </c>
      <c r="P659" s="6">
        <v>175</v>
      </c>
      <c r="Q659" s="6">
        <v>24379</v>
      </c>
      <c r="R659" s="60"/>
      <c r="S659" s="60"/>
    </row>
    <row r="660" spans="1:19" s="1" customFormat="1" hidden="1" outlineLevel="1" x14ac:dyDescent="0.25">
      <c r="A660" s="7" t="s">
        <v>1265</v>
      </c>
      <c r="B660" s="7" t="s">
        <v>1266</v>
      </c>
      <c r="C660" s="14">
        <v>56.75</v>
      </c>
      <c r="D660" s="6">
        <v>98.09</v>
      </c>
      <c r="E660" s="6">
        <v>100</v>
      </c>
      <c r="F660" s="6"/>
      <c r="G660" s="6"/>
      <c r="H660" s="6">
        <v>10</v>
      </c>
      <c r="I660" s="6">
        <v>567.5</v>
      </c>
      <c r="J660" s="6">
        <v>222</v>
      </c>
      <c r="K660" s="6">
        <v>12598.5</v>
      </c>
      <c r="L660" s="6"/>
      <c r="M660" s="6"/>
      <c r="N660" s="6">
        <f t="shared" si="59"/>
        <v>232</v>
      </c>
      <c r="O660" s="6">
        <f t="shared" si="60"/>
        <v>13166</v>
      </c>
      <c r="P660" s="6">
        <v>31</v>
      </c>
      <c r="Q660" s="6">
        <v>1679</v>
      </c>
      <c r="R660" s="60"/>
      <c r="S660" s="60"/>
    </row>
    <row r="661" spans="1:19" s="1" customFormat="1" hidden="1" outlineLevel="1" x14ac:dyDescent="0.25">
      <c r="A661" s="7" t="s">
        <v>183</v>
      </c>
      <c r="B661" s="7" t="s">
        <v>184</v>
      </c>
      <c r="C661" s="14">
        <v>718.86</v>
      </c>
      <c r="D661" s="6">
        <v>119.09</v>
      </c>
      <c r="E661" s="6">
        <v>100</v>
      </c>
      <c r="F661" s="6"/>
      <c r="G661" s="6"/>
      <c r="H661" s="6"/>
      <c r="I661" s="6"/>
      <c r="J661" s="6">
        <v>319</v>
      </c>
      <c r="K661" s="6">
        <v>229316.34</v>
      </c>
      <c r="L661" s="6"/>
      <c r="M661" s="6"/>
      <c r="N661" s="6">
        <f t="shared" si="59"/>
        <v>319</v>
      </c>
      <c r="O661" s="6">
        <f t="shared" si="60"/>
        <v>229316.34</v>
      </c>
      <c r="P661" s="6">
        <v>22</v>
      </c>
      <c r="Q661" s="6">
        <v>14048</v>
      </c>
      <c r="R661" s="60"/>
      <c r="S661" s="60"/>
    </row>
    <row r="662" spans="1:19" s="1" customFormat="1" hidden="1" outlineLevel="1" x14ac:dyDescent="0.25">
      <c r="A662" s="7" t="s">
        <v>760</v>
      </c>
      <c r="B662" s="7" t="s">
        <v>761</v>
      </c>
      <c r="C662" s="14">
        <v>47.6</v>
      </c>
      <c r="D662" s="6">
        <v>100.45</v>
      </c>
      <c r="E662" s="6">
        <v>100</v>
      </c>
      <c r="F662" s="6"/>
      <c r="G662" s="6"/>
      <c r="H662" s="6">
        <v>14</v>
      </c>
      <c r="I662" s="6">
        <v>666.4</v>
      </c>
      <c r="J662" s="6">
        <v>1366</v>
      </c>
      <c r="K662" s="6">
        <v>65021.599999999999</v>
      </c>
      <c r="L662" s="6"/>
      <c r="M662" s="6"/>
      <c r="N662" s="6">
        <f t="shared" si="59"/>
        <v>1380</v>
      </c>
      <c r="O662" s="6">
        <f t="shared" si="60"/>
        <v>65688</v>
      </c>
      <c r="P662" s="6">
        <v>231</v>
      </c>
      <c r="Q662" s="6">
        <v>11698</v>
      </c>
      <c r="R662" s="60"/>
      <c r="S662" s="60"/>
    </row>
    <row r="663" spans="1:19" s="1" customFormat="1" hidden="1" outlineLevel="1" x14ac:dyDescent="0.25">
      <c r="A663" s="7" t="s">
        <v>512</v>
      </c>
      <c r="B663" s="7" t="s">
        <v>513</v>
      </c>
      <c r="C663" s="14">
        <v>270</v>
      </c>
      <c r="D663" s="6">
        <v>163.01</v>
      </c>
      <c r="E663" s="6">
        <v>100</v>
      </c>
      <c r="F663" s="6"/>
      <c r="G663" s="6"/>
      <c r="H663" s="6">
        <v>275</v>
      </c>
      <c r="I663" s="6">
        <v>74250</v>
      </c>
      <c r="J663" s="6">
        <v>1250</v>
      </c>
      <c r="K663" s="6">
        <v>337500</v>
      </c>
      <c r="L663" s="6"/>
      <c r="M663" s="6"/>
      <c r="N663" s="6">
        <f t="shared" si="59"/>
        <v>1525</v>
      </c>
      <c r="O663" s="6">
        <f t="shared" si="60"/>
        <v>411750</v>
      </c>
      <c r="P663" s="6">
        <v>62</v>
      </c>
      <c r="Q663" s="6">
        <v>19165</v>
      </c>
      <c r="R663" s="60"/>
      <c r="S663" s="60"/>
    </row>
    <row r="664" spans="1:19" s="1" customFormat="1" hidden="1" outlineLevel="1" x14ac:dyDescent="0.25">
      <c r="A664" s="7" t="s">
        <v>1251</v>
      </c>
      <c r="B664" s="7" t="s">
        <v>1252</v>
      </c>
      <c r="C664" s="14">
        <v>56.72</v>
      </c>
      <c r="D664" s="6">
        <v>122.77</v>
      </c>
      <c r="E664" s="6">
        <v>100</v>
      </c>
      <c r="F664" s="6">
        <v>27</v>
      </c>
      <c r="G664" s="6">
        <v>1531.44</v>
      </c>
      <c r="H664" s="6"/>
      <c r="I664" s="6"/>
      <c r="J664" s="6">
        <v>166</v>
      </c>
      <c r="K664" s="6">
        <v>9415.52</v>
      </c>
      <c r="L664" s="6"/>
      <c r="M664" s="6"/>
      <c r="N664" s="6">
        <f t="shared" si="59"/>
        <v>193</v>
      </c>
      <c r="O664" s="6">
        <f t="shared" si="60"/>
        <v>10946.96</v>
      </c>
      <c r="P664" s="6">
        <v>17</v>
      </c>
      <c r="Q664" s="6">
        <v>876</v>
      </c>
      <c r="R664" s="60"/>
      <c r="S664" s="60"/>
    </row>
    <row r="665" spans="1:19" s="1" customFormat="1" hidden="1" outlineLevel="1" x14ac:dyDescent="0.25">
      <c r="A665" s="7" t="s">
        <v>1253</v>
      </c>
      <c r="B665" s="7" t="s">
        <v>1254</v>
      </c>
      <c r="C665" s="14">
        <v>56.72</v>
      </c>
      <c r="D665" s="6">
        <v>94.25</v>
      </c>
      <c r="E665" s="6">
        <v>100</v>
      </c>
      <c r="F665" s="6"/>
      <c r="G665" s="6"/>
      <c r="H665" s="6">
        <v>10</v>
      </c>
      <c r="I665" s="6">
        <v>567.20000000000005</v>
      </c>
      <c r="J665" s="6">
        <v>328</v>
      </c>
      <c r="K665" s="6">
        <v>18604.16</v>
      </c>
      <c r="L665" s="6"/>
      <c r="M665" s="6"/>
      <c r="N665" s="6">
        <f t="shared" si="59"/>
        <v>338</v>
      </c>
      <c r="O665" s="6">
        <f t="shared" si="60"/>
        <v>19171.36</v>
      </c>
      <c r="P665" s="6">
        <v>37</v>
      </c>
      <c r="Q665" s="6">
        <v>1946</v>
      </c>
      <c r="R665" s="60"/>
      <c r="S665" s="60"/>
    </row>
    <row r="666" spans="1:19" s="1" customFormat="1" hidden="1" outlineLevel="1" x14ac:dyDescent="0.25">
      <c r="A666" s="7" t="s">
        <v>754</v>
      </c>
      <c r="B666" s="7" t="s">
        <v>755</v>
      </c>
      <c r="C666" s="14">
        <v>55.58</v>
      </c>
      <c r="D666" s="6">
        <v>37.36</v>
      </c>
      <c r="E666" s="6">
        <v>100</v>
      </c>
      <c r="F666" s="6"/>
      <c r="G666" s="6"/>
      <c r="H666" s="6">
        <v>11</v>
      </c>
      <c r="I666" s="6">
        <v>611.38</v>
      </c>
      <c r="J666" s="6">
        <v>62</v>
      </c>
      <c r="K666" s="6">
        <v>3445.96</v>
      </c>
      <c r="L666" s="6"/>
      <c r="M666" s="6"/>
      <c r="N666" s="6">
        <f t="shared" ref="N666:N673" si="63">IF(J666+L666+H666+F666&lt;=0,"",J666+L666+H666+F666)</f>
        <v>73</v>
      </c>
      <c r="O666" s="6">
        <f t="shared" ref="O666:O673" si="64">IFERROR(C666*N666,"")</f>
        <v>4057.3399999999997</v>
      </c>
      <c r="P666" s="6">
        <v>34</v>
      </c>
      <c r="Q666" s="6">
        <v>1637</v>
      </c>
      <c r="R666" s="60"/>
      <c r="S666" s="60"/>
    </row>
    <row r="667" spans="1:19" s="1" customFormat="1" hidden="1" outlineLevel="1" x14ac:dyDescent="0.25">
      <c r="A667" s="7" t="s">
        <v>756</v>
      </c>
      <c r="B667" s="7" t="s">
        <v>757</v>
      </c>
      <c r="C667" s="14">
        <v>56.75</v>
      </c>
      <c r="D667" s="6">
        <v>66.58</v>
      </c>
      <c r="E667" s="6">
        <v>100</v>
      </c>
      <c r="F667" s="6">
        <v>30</v>
      </c>
      <c r="G667" s="6">
        <v>1702.5</v>
      </c>
      <c r="H667" s="6">
        <v>10</v>
      </c>
      <c r="I667" s="6">
        <v>567.5</v>
      </c>
      <c r="J667" s="6">
        <v>172</v>
      </c>
      <c r="K667" s="6">
        <v>9761</v>
      </c>
      <c r="L667" s="6"/>
      <c r="M667" s="6"/>
      <c r="N667" s="6">
        <f t="shared" si="63"/>
        <v>212</v>
      </c>
      <c r="O667" s="6">
        <f t="shared" si="64"/>
        <v>12031</v>
      </c>
      <c r="P667" s="6">
        <v>33</v>
      </c>
      <c r="Q667" s="6">
        <v>1717</v>
      </c>
      <c r="R667" s="60"/>
      <c r="S667" s="60"/>
    </row>
    <row r="668" spans="1:19" s="1" customFormat="1" hidden="1" outlineLevel="1" x14ac:dyDescent="0.25">
      <c r="A668" s="7" t="s">
        <v>1259</v>
      </c>
      <c r="B668" s="7" t="s">
        <v>1260</v>
      </c>
      <c r="C668" s="14">
        <v>56.75</v>
      </c>
      <c r="D668" s="6">
        <v>60.43</v>
      </c>
      <c r="E668" s="6">
        <v>100</v>
      </c>
      <c r="F668" s="6"/>
      <c r="G668" s="6"/>
      <c r="H668" s="6">
        <v>26</v>
      </c>
      <c r="I668" s="6">
        <v>1475.5</v>
      </c>
      <c r="J668" s="6">
        <v>271</v>
      </c>
      <c r="K668" s="6">
        <v>15379.25</v>
      </c>
      <c r="L668" s="6"/>
      <c r="M668" s="6"/>
      <c r="N668" s="6">
        <f t="shared" si="63"/>
        <v>297</v>
      </c>
      <c r="O668" s="6">
        <f t="shared" si="64"/>
        <v>16854.75</v>
      </c>
      <c r="P668" s="6">
        <v>38</v>
      </c>
      <c r="Q668" s="6">
        <v>2048</v>
      </c>
      <c r="R668" s="60"/>
      <c r="S668" s="60"/>
    </row>
    <row r="669" spans="1:19" s="1" customFormat="1" hidden="1" outlineLevel="1" x14ac:dyDescent="0.25">
      <c r="A669" s="7" t="s">
        <v>1261</v>
      </c>
      <c r="B669" s="7" t="s">
        <v>1262</v>
      </c>
      <c r="C669" s="14">
        <v>56.75</v>
      </c>
      <c r="D669" s="6">
        <v>785.9</v>
      </c>
      <c r="E669" s="6">
        <v>100</v>
      </c>
      <c r="F669" s="6"/>
      <c r="G669" s="6"/>
      <c r="H669" s="6"/>
      <c r="I669" s="6"/>
      <c r="J669" s="6">
        <v>531</v>
      </c>
      <c r="K669" s="6">
        <v>30134.25</v>
      </c>
      <c r="L669" s="6"/>
      <c r="M669" s="6"/>
      <c r="N669" s="6">
        <f t="shared" si="63"/>
        <v>531</v>
      </c>
      <c r="O669" s="6">
        <f t="shared" si="64"/>
        <v>30134.25</v>
      </c>
      <c r="P669" s="6">
        <v>7</v>
      </c>
      <c r="Q669" s="6">
        <v>299</v>
      </c>
      <c r="R669" s="60">
        <f t="shared" si="61"/>
        <v>409.38147346990712</v>
      </c>
      <c r="S669" s="60">
        <f t="shared" si="62"/>
        <v>23232.398619417228</v>
      </c>
    </row>
    <row r="670" spans="1:19" s="1" customFormat="1" hidden="1" outlineLevel="1" x14ac:dyDescent="0.25">
      <c r="A670" s="7" t="s">
        <v>1263</v>
      </c>
      <c r="B670" s="7" t="s">
        <v>1264</v>
      </c>
      <c r="C670" s="14">
        <v>56.75</v>
      </c>
      <c r="D670" s="6">
        <v>50.08</v>
      </c>
      <c r="E670" s="6">
        <v>100</v>
      </c>
      <c r="F670" s="6"/>
      <c r="G670" s="6"/>
      <c r="H670" s="6">
        <v>40</v>
      </c>
      <c r="I670" s="6">
        <v>2270</v>
      </c>
      <c r="J670" s="6">
        <v>252</v>
      </c>
      <c r="K670" s="6">
        <v>14301</v>
      </c>
      <c r="L670" s="6"/>
      <c r="M670" s="6"/>
      <c r="N670" s="6">
        <f t="shared" si="63"/>
        <v>292</v>
      </c>
      <c r="O670" s="6">
        <f t="shared" si="64"/>
        <v>16571</v>
      </c>
      <c r="P670" s="6">
        <v>68</v>
      </c>
      <c r="Q670" s="6">
        <v>3867</v>
      </c>
      <c r="R670" s="60"/>
      <c r="S670" s="60"/>
    </row>
    <row r="671" spans="1:19" s="1" customFormat="1" hidden="1" outlineLevel="1" x14ac:dyDescent="0.25">
      <c r="A671" s="7" t="s">
        <v>764</v>
      </c>
      <c r="B671" s="7" t="s">
        <v>765</v>
      </c>
      <c r="C671" s="14">
        <v>58.71</v>
      </c>
      <c r="D671" s="6">
        <v>139.55000000000001</v>
      </c>
      <c r="E671" s="6">
        <v>100</v>
      </c>
      <c r="F671" s="6">
        <v>2</v>
      </c>
      <c r="G671" s="6">
        <v>117.42</v>
      </c>
      <c r="H671" s="6">
        <v>26</v>
      </c>
      <c r="I671" s="6">
        <v>1526.46</v>
      </c>
      <c r="J671" s="6">
        <v>1277</v>
      </c>
      <c r="K671" s="6">
        <v>74972.67</v>
      </c>
      <c r="L671" s="6"/>
      <c r="M671" s="6"/>
      <c r="N671" s="6">
        <f t="shared" si="63"/>
        <v>1305</v>
      </c>
      <c r="O671" s="6">
        <f t="shared" si="64"/>
        <v>76616.55</v>
      </c>
      <c r="P671" s="6">
        <v>126</v>
      </c>
      <c r="Q671" s="6">
        <v>8020</v>
      </c>
      <c r="R671" s="60"/>
      <c r="S671" s="60"/>
    </row>
    <row r="672" spans="1:19" s="1" customFormat="1" hidden="1" outlineLevel="1" x14ac:dyDescent="0.25">
      <c r="A672" s="7" t="s">
        <v>1301</v>
      </c>
      <c r="B672" s="7" t="s">
        <v>1302</v>
      </c>
      <c r="C672" s="14">
        <v>136.94</v>
      </c>
      <c r="D672" s="6">
        <v>562.47</v>
      </c>
      <c r="E672" s="6">
        <v>100</v>
      </c>
      <c r="F672" s="6">
        <v>1</v>
      </c>
      <c r="G672" s="6">
        <v>136.94</v>
      </c>
      <c r="H672" s="6">
        <v>203</v>
      </c>
      <c r="I672" s="6">
        <v>27798.82</v>
      </c>
      <c r="J672" s="6">
        <v>593</v>
      </c>
      <c r="K672" s="6">
        <v>81205.42</v>
      </c>
      <c r="L672" s="6"/>
      <c r="M672" s="6"/>
      <c r="N672" s="6">
        <f t="shared" si="63"/>
        <v>797</v>
      </c>
      <c r="O672" s="6">
        <f t="shared" si="64"/>
        <v>109141.18</v>
      </c>
      <c r="P672" s="6">
        <v>70</v>
      </c>
      <c r="Q672" s="6">
        <v>11294</v>
      </c>
      <c r="R672" s="60">
        <f t="shared" ref="R672" si="65">J672/D672*(D672-180)</f>
        <v>403.22987892687615</v>
      </c>
      <c r="S672" s="60">
        <f t="shared" ref="S672" si="66">R672*C672</f>
        <v>55218.29962024642</v>
      </c>
    </row>
    <row r="673" spans="1:21" s="1" customFormat="1" hidden="1" outlineLevel="1" x14ac:dyDescent="0.25">
      <c r="A673" s="7" t="s">
        <v>1313</v>
      </c>
      <c r="B673" s="7" t="s">
        <v>1314</v>
      </c>
      <c r="C673" s="14">
        <v>590</v>
      </c>
      <c r="D673" s="6"/>
      <c r="E673" s="6">
        <v>100</v>
      </c>
      <c r="F673" s="6"/>
      <c r="G673" s="6"/>
      <c r="H673" s="6"/>
      <c r="I673" s="6"/>
      <c r="J673" s="6">
        <v>588</v>
      </c>
      <c r="K673" s="6">
        <v>346920</v>
      </c>
      <c r="L673" s="6"/>
      <c r="M673" s="6"/>
      <c r="N673" s="6">
        <f t="shared" si="63"/>
        <v>588</v>
      </c>
      <c r="O673" s="6">
        <f t="shared" si="64"/>
        <v>346920</v>
      </c>
      <c r="P673" s="6"/>
      <c r="Q673" s="6"/>
      <c r="R673" s="60"/>
      <c r="S673" s="60"/>
    </row>
    <row r="674" spans="1:21" s="17" customFormat="1" ht="14.1" customHeight="1" collapsed="1" x14ac:dyDescent="0.2">
      <c r="A674" s="18" t="s">
        <v>1343</v>
      </c>
      <c r="B674" s="19"/>
      <c r="C674" s="19"/>
      <c r="D674" s="18">
        <v>53.15</v>
      </c>
      <c r="E674" s="18">
        <v>81.31</v>
      </c>
      <c r="F674" s="18">
        <f t="shared" ref="F674:R674" si="67">F4+F221+F409</f>
        <v>17849</v>
      </c>
      <c r="G674" s="18">
        <f t="shared" si="67"/>
        <v>2536219.9500000007</v>
      </c>
      <c r="H674" s="18">
        <f t="shared" si="67"/>
        <v>46993</v>
      </c>
      <c r="I674" s="18">
        <f t="shared" si="67"/>
        <v>9390629.9199999981</v>
      </c>
      <c r="J674" s="18">
        <f t="shared" si="67"/>
        <v>703085.3</v>
      </c>
      <c r="K674" s="18">
        <f t="shared" si="67"/>
        <v>136841411.32000002</v>
      </c>
      <c r="L674" s="18">
        <f t="shared" si="67"/>
        <v>48953</v>
      </c>
      <c r="M674" s="18">
        <f t="shared" si="67"/>
        <v>12195465.449999999</v>
      </c>
      <c r="N674" s="18">
        <f t="shared" si="67"/>
        <v>816880.3</v>
      </c>
      <c r="O674" s="18">
        <f t="shared" si="67"/>
        <v>160963726.63399994</v>
      </c>
      <c r="P674" s="18">
        <f t="shared" si="67"/>
        <v>90050</v>
      </c>
      <c r="Q674" s="18">
        <f t="shared" si="67"/>
        <v>16676534</v>
      </c>
      <c r="R674" s="18">
        <f t="shared" si="67"/>
        <v>126704.97877259462</v>
      </c>
      <c r="S674" s="18">
        <f t="shared" ref="S674" si="68">S4+S221+S409</f>
        <v>30232656.499619283</v>
      </c>
    </row>
    <row r="676" spans="1:21" x14ac:dyDescent="0.25">
      <c r="K676" s="20" t="s">
        <v>1608</v>
      </c>
      <c r="L676" s="80" t="s">
        <v>1609</v>
      </c>
      <c r="M676" s="80"/>
      <c r="N676" s="81" t="s">
        <v>1610</v>
      </c>
      <c r="O676" s="81"/>
      <c r="P676" s="82" t="s">
        <v>1611</v>
      </c>
      <c r="Q676" s="82"/>
      <c r="R676" s="83" t="s">
        <v>1343</v>
      </c>
      <c r="S676" s="83"/>
    </row>
    <row r="677" spans="1:21" x14ac:dyDescent="0.25">
      <c r="K677" s="21">
        <v>46259</v>
      </c>
      <c r="L677" s="22">
        <v>12733594.061694698</v>
      </c>
      <c r="M677" s="23">
        <f t="shared" ref="M677:M693" si="69">L677/L678-1</f>
        <v>0.74285982702636577</v>
      </c>
      <c r="N677" s="24">
        <v>9964621.2127015498</v>
      </c>
      <c r="O677" s="25">
        <f t="shared" ref="O677:O694" si="70">N677/N678-1</f>
        <v>0.12265759438300061</v>
      </c>
      <c r="P677" s="26">
        <v>7534441.2252230346</v>
      </c>
      <c r="Q677" s="27">
        <f t="shared" ref="Q677:Q694" si="71">P677/P678-1</f>
        <v>3.8549480421672166E-2</v>
      </c>
      <c r="R677" s="28">
        <v>30232656.499619283</v>
      </c>
      <c r="S677" s="29">
        <f t="shared" ref="S677:S691" si="72">R677/R678-1</f>
        <v>0.28996274247886422</v>
      </c>
      <c r="T677" s="57">
        <f>N677+P677</f>
        <v>17499062.437924586</v>
      </c>
    </row>
    <row r="678" spans="1:21" x14ac:dyDescent="0.25">
      <c r="K678" s="21">
        <v>46224</v>
      </c>
      <c r="L678" s="22">
        <v>7306149.2750226008</v>
      </c>
      <c r="M678" s="23">
        <f t="shared" si="69"/>
        <v>0.29141011290559526</v>
      </c>
      <c r="N678" s="24">
        <v>8875921.975282222</v>
      </c>
      <c r="O678" s="25">
        <f t="shared" si="70"/>
        <v>0.28781992645696697</v>
      </c>
      <c r="P678" s="26">
        <v>7254773.4771037567</v>
      </c>
      <c r="Q678" s="27">
        <f t="shared" si="71"/>
        <v>0.18290123420199444</v>
      </c>
      <c r="R678" s="28">
        <v>23436844.72740858</v>
      </c>
      <c r="S678" s="29">
        <f t="shared" si="72"/>
        <v>0.25446515732986108</v>
      </c>
      <c r="T678" s="57">
        <f>N678+P678</f>
        <v>16130695.452385979</v>
      </c>
    </row>
    <row r="679" spans="1:21" x14ac:dyDescent="0.25">
      <c r="K679" s="21">
        <v>46202</v>
      </c>
      <c r="L679" s="22">
        <v>5657497.3372201677</v>
      </c>
      <c r="M679" s="23">
        <f t="shared" si="69"/>
        <v>1.1650679275148033</v>
      </c>
      <c r="N679" s="24">
        <v>6892207.3598453626</v>
      </c>
      <c r="O679" s="25">
        <f t="shared" si="70"/>
        <v>0.5637296862604777</v>
      </c>
      <c r="P679" s="26">
        <v>6133033.9907861808</v>
      </c>
      <c r="Q679" s="27">
        <f t="shared" si="71"/>
        <v>0.98113954090324196</v>
      </c>
      <c r="R679" s="28">
        <v>18682738.687851712</v>
      </c>
      <c r="S679" s="29">
        <f t="shared" si="72"/>
        <v>0.84678924854200721</v>
      </c>
      <c r="T679" s="57">
        <f>N679+P679</f>
        <v>13025241.350631543</v>
      </c>
    </row>
    <row r="680" spans="1:21" hidden="1" outlineLevel="1" x14ac:dyDescent="0.25">
      <c r="K680" s="21">
        <v>46170</v>
      </c>
      <c r="L680" s="22">
        <v>2613080.7561840275</v>
      </c>
      <c r="M680" s="23">
        <f t="shared" si="69"/>
        <v>-0.43619004091250402</v>
      </c>
      <c r="N680" s="24">
        <v>4407543.9766878579</v>
      </c>
      <c r="O680" s="25">
        <f t="shared" si="70"/>
        <v>-7.1277449891275935E-2</v>
      </c>
      <c r="P680" s="26">
        <v>3095710.2537007593</v>
      </c>
      <c r="Q680" s="27">
        <f t="shared" si="71"/>
        <v>0.39218602611986841</v>
      </c>
      <c r="R680" s="28">
        <v>10116334.986572646</v>
      </c>
      <c r="S680" s="29">
        <f t="shared" si="72"/>
        <v>-0.12821251616244533</v>
      </c>
      <c r="U680" s="57"/>
    </row>
    <row r="681" spans="1:21" hidden="1" outlineLevel="1" x14ac:dyDescent="0.25">
      <c r="K681" s="21">
        <v>46135</v>
      </c>
      <c r="L681" s="22">
        <v>4634683.5738999629</v>
      </c>
      <c r="M681" s="23">
        <f t="shared" si="69"/>
        <v>1.1410610898282547E-2</v>
      </c>
      <c r="N681" s="24">
        <v>4745813.4576056907</v>
      </c>
      <c r="O681" s="25">
        <f t="shared" si="70"/>
        <v>-0.20421676461737392</v>
      </c>
      <c r="P681" s="26">
        <v>2223632.6149090482</v>
      </c>
      <c r="Q681" s="27">
        <f t="shared" si="71"/>
        <v>-0.40451525904288244</v>
      </c>
      <c r="R681" s="28">
        <v>11604129.646414701</v>
      </c>
      <c r="S681" s="29">
        <f t="shared" si="72"/>
        <v>-0.18740023947620055</v>
      </c>
      <c r="U681" s="57"/>
    </row>
    <row r="682" spans="1:21" hidden="1" outlineLevel="1" x14ac:dyDescent="0.25">
      <c r="K682" s="21">
        <v>46104</v>
      </c>
      <c r="L682" s="22">
        <v>4582395.6402668916</v>
      </c>
      <c r="M682" s="23">
        <f t="shared" si="69"/>
        <v>0.29161249808340384</v>
      </c>
      <c r="N682" s="24">
        <v>5963701.2274125414</v>
      </c>
      <c r="O682" s="25">
        <f t="shared" si="70"/>
        <v>-1.9309244281456084E-2</v>
      </c>
      <c r="P682" s="26">
        <v>3734155.4904245278</v>
      </c>
      <c r="Q682" s="27">
        <f t="shared" si="71"/>
        <v>-0.20005434229320629</v>
      </c>
      <c r="R682" s="28">
        <v>14280252.358103961</v>
      </c>
      <c r="S682" s="29">
        <f t="shared" si="72"/>
        <v>-1.1675318079247266E-3</v>
      </c>
      <c r="U682" s="57"/>
    </row>
    <row r="683" spans="1:21" hidden="1" outlineLevel="1" x14ac:dyDescent="0.25">
      <c r="K683" s="21">
        <v>46079</v>
      </c>
      <c r="L683" s="22">
        <v>3547809.925241983</v>
      </c>
      <c r="M683" s="23">
        <f t="shared" si="69"/>
        <v>-0.22838620000891818</v>
      </c>
      <c r="N683" s="24">
        <v>6081123.1192273116</v>
      </c>
      <c r="O683" s="25">
        <f t="shared" si="70"/>
        <v>-3.1524076139253454E-2</v>
      </c>
      <c r="P683" s="26">
        <v>4668011.4510893663</v>
      </c>
      <c r="Q683" s="27">
        <f t="shared" si="71"/>
        <v>-5.7579093464447784E-2</v>
      </c>
      <c r="R683" s="28">
        <v>14296944.49555866</v>
      </c>
      <c r="S683" s="29">
        <f t="shared" si="72"/>
        <v>-9.6855595906601089E-2</v>
      </c>
    </row>
    <row r="684" spans="1:21" hidden="1" outlineLevel="1" x14ac:dyDescent="0.25">
      <c r="K684" s="21">
        <v>46048</v>
      </c>
      <c r="L684" s="22">
        <v>4597908.8571031103</v>
      </c>
      <c r="M684" s="23">
        <f t="shared" si="69"/>
        <v>0.1593283937575658</v>
      </c>
      <c r="N684" s="24">
        <v>6279064.8372397674</v>
      </c>
      <c r="O684" s="25">
        <f t="shared" si="70"/>
        <v>-5.0525910165769905E-2</v>
      </c>
      <c r="P684" s="26">
        <v>4953212.9632496312</v>
      </c>
      <c r="Q684" s="27">
        <f t="shared" si="71"/>
        <v>0.18182925325544796</v>
      </c>
      <c r="R684" s="28">
        <v>15830186.657592509</v>
      </c>
      <c r="S684" s="29">
        <f t="shared" si="72"/>
        <v>7.1754001704006587E-2</v>
      </c>
    </row>
    <row r="685" spans="1:21" hidden="1" outlineLevel="1" x14ac:dyDescent="0.25">
      <c r="K685" s="21">
        <v>46013</v>
      </c>
      <c r="L685" s="22">
        <v>3966010.7367857727</v>
      </c>
      <c r="M685" s="23">
        <f t="shared" si="69"/>
        <v>6.1310717387265123E-2</v>
      </c>
      <c r="N685" s="24">
        <v>6613202.9346225103</v>
      </c>
      <c r="O685" s="25">
        <f t="shared" si="70"/>
        <v>-8.8545844644987159E-3</v>
      </c>
      <c r="P685" s="26">
        <v>4191140.9364809594</v>
      </c>
      <c r="Q685" s="27">
        <f t="shared" si="71"/>
        <v>-6.9100825715442959E-2</v>
      </c>
      <c r="R685" s="28">
        <v>14770354.607889242</v>
      </c>
      <c r="S685" s="29">
        <f t="shared" si="72"/>
        <v>-9.4610330108613194E-3</v>
      </c>
    </row>
    <row r="686" spans="1:21" hidden="1" outlineLevel="1" x14ac:dyDescent="0.25">
      <c r="K686" s="21">
        <v>45987</v>
      </c>
      <c r="L686" s="22">
        <v>3736898.7910998375</v>
      </c>
      <c r="M686" s="23">
        <f t="shared" si="69"/>
        <v>0.12689281854558532</v>
      </c>
      <c r="N686" s="24">
        <v>6672283.2300540823</v>
      </c>
      <c r="O686" s="25">
        <f t="shared" si="70"/>
        <v>8.8228589279517822E-2</v>
      </c>
      <c r="P686" s="26">
        <v>4502250.1386383362</v>
      </c>
      <c r="Q686" s="27">
        <f t="shared" si="71"/>
        <v>-1.1246687485868878E-2</v>
      </c>
      <c r="R686" s="28">
        <v>14911432.159792256</v>
      </c>
      <c r="S686" s="29">
        <f t="shared" si="72"/>
        <v>6.5034210257279845E-2</v>
      </c>
    </row>
    <row r="687" spans="1:21" hidden="1" outlineLevel="1" x14ac:dyDescent="0.25">
      <c r="K687" s="21">
        <v>45957</v>
      </c>
      <c r="L687" s="22">
        <v>3316108.4440335985</v>
      </c>
      <c r="M687" s="23">
        <f t="shared" si="69"/>
        <v>-5.3459984200566746E-3</v>
      </c>
      <c r="N687" s="24">
        <v>6131325.0688181175</v>
      </c>
      <c r="O687" s="25">
        <f t="shared" si="70"/>
        <v>-0.24136091389073489</v>
      </c>
      <c r="P687" s="26">
        <v>4553461.4970748741</v>
      </c>
      <c r="Q687" s="27">
        <f t="shared" si="71"/>
        <v>-0.49208139518129368</v>
      </c>
      <c r="R687" s="28">
        <v>14000895.009926589</v>
      </c>
      <c r="S687" s="29">
        <f t="shared" si="72"/>
        <v>-0.31303776464719291</v>
      </c>
    </row>
    <row r="688" spans="1:21" hidden="1" outlineLevel="1" x14ac:dyDescent="0.25">
      <c r="K688" s="21">
        <v>45924</v>
      </c>
      <c r="L688" s="22">
        <v>3333931.6372991768</v>
      </c>
      <c r="M688" s="23">
        <f t="shared" si="69"/>
        <v>0.65959192495915997</v>
      </c>
      <c r="N688" s="24">
        <v>8082005.2394914916</v>
      </c>
      <c r="O688" s="25">
        <f t="shared" si="70"/>
        <v>-0.1591769834212563</v>
      </c>
      <c r="P688" s="26">
        <v>8964943.3075997718</v>
      </c>
      <c r="Q688" s="27">
        <f t="shared" si="71"/>
        <v>-0.13620152190818036</v>
      </c>
      <c r="R688" s="28">
        <v>20380880.184390441</v>
      </c>
      <c r="S688" s="29">
        <f t="shared" si="72"/>
        <v>-7.3571764095861636E-2</v>
      </c>
    </row>
    <row r="689" spans="1:19" hidden="1" outlineLevel="1" x14ac:dyDescent="0.25">
      <c r="K689" s="21">
        <v>45894</v>
      </c>
      <c r="L689" s="22">
        <v>2008886.393792992</v>
      </c>
      <c r="M689" s="23">
        <f t="shared" si="69"/>
        <v>0.39625039389936356</v>
      </c>
      <c r="N689" s="24">
        <v>9612017.1309970394</v>
      </c>
      <c r="O689" s="25">
        <f t="shared" si="70"/>
        <v>-0.11625859996531951</v>
      </c>
      <c r="P689" s="26">
        <v>10378512.506069524</v>
      </c>
      <c r="Q689" s="27">
        <f t="shared" si="71"/>
        <v>6.9101155256316993E-2</v>
      </c>
      <c r="R689" s="28">
        <v>21999416.030859556</v>
      </c>
      <c r="S689" s="29">
        <f t="shared" si="72"/>
        <v>-1.0697843769836846E-3</v>
      </c>
    </row>
    <row r="690" spans="1:19" hidden="1" outlineLevel="1" x14ac:dyDescent="0.25">
      <c r="K690" s="21">
        <v>45866</v>
      </c>
      <c r="L690" s="22">
        <v>1438772.302282183</v>
      </c>
      <c r="M690" s="23">
        <f t="shared" si="69"/>
        <v>-1.0384056458038415E-2</v>
      </c>
      <c r="N690" s="24">
        <v>10876504.292567754</v>
      </c>
      <c r="O690" s="25">
        <f t="shared" si="70"/>
        <v>0.24354544184174931</v>
      </c>
      <c r="P690" s="26">
        <v>9707699.2715261597</v>
      </c>
      <c r="Q690" s="27">
        <f t="shared" si="71"/>
        <v>-0.43615508928809932</v>
      </c>
      <c r="R690" s="28">
        <v>22022975.866376095</v>
      </c>
      <c r="S690" s="29">
        <f t="shared" si="72"/>
        <v>-0.19674607801099986</v>
      </c>
    </row>
    <row r="691" spans="1:19" hidden="1" outlineLevel="1" x14ac:dyDescent="0.25">
      <c r="K691" s="21">
        <v>45833</v>
      </c>
      <c r="L691" s="22">
        <v>1453869.3638388985</v>
      </c>
      <c r="M691" s="23">
        <f t="shared" si="69"/>
        <v>-0.8588718298223863</v>
      </c>
      <c r="N691" s="24">
        <v>8746366.5794626214</v>
      </c>
      <c r="O691" s="25">
        <f t="shared" si="70"/>
        <v>1.5473059984240312E-2</v>
      </c>
      <c r="P691" s="26">
        <v>17216967.089885388</v>
      </c>
      <c r="Q691" s="27">
        <f t="shared" si="71"/>
        <v>0.22428148378240964</v>
      </c>
      <c r="R691" s="28">
        <v>27417203.033186909</v>
      </c>
      <c r="S691" s="29">
        <f t="shared" si="72"/>
        <v>-0.16861579167376362</v>
      </c>
    </row>
    <row r="692" spans="1:19" hidden="1" outlineLevel="1" x14ac:dyDescent="0.25">
      <c r="K692" s="21">
        <v>45798</v>
      </c>
      <c r="L692" s="22">
        <v>10301765.848796619</v>
      </c>
      <c r="M692" s="23">
        <f t="shared" si="69"/>
        <v>0.20815387715809686</v>
      </c>
      <c r="N692" s="24">
        <v>8613095.6340667084</v>
      </c>
      <c r="O692" s="25">
        <f t="shared" si="70"/>
        <v>-0.44103967823161794</v>
      </c>
      <c r="P692" s="26">
        <v>14062915.5287832</v>
      </c>
      <c r="Q692" s="27">
        <f t="shared" si="71"/>
        <v>-0.32571802266009986</v>
      </c>
      <c r="R692" s="28">
        <v>32977777.011646532</v>
      </c>
      <c r="S692" s="29">
        <f t="shared" ref="S692:S694" si="73">R692/R693-1</f>
        <v>-0.26375967123637667</v>
      </c>
    </row>
    <row r="693" spans="1:19" hidden="1" outlineLevel="1" x14ac:dyDescent="0.25">
      <c r="K693" s="21">
        <v>45768</v>
      </c>
      <c r="L693" s="22">
        <v>8526865.6944835093</v>
      </c>
      <c r="M693" s="23">
        <f t="shared" si="69"/>
        <v>0.14906745319606629</v>
      </c>
      <c r="N693" s="24">
        <v>15409136.031011054</v>
      </c>
      <c r="O693" s="25">
        <f t="shared" si="70"/>
        <v>0.16989408183984245</v>
      </c>
      <c r="P693" s="26">
        <v>20856134.379065864</v>
      </c>
      <c r="Q693" s="27">
        <f t="shared" si="71"/>
        <v>0.16617629639590747</v>
      </c>
      <c r="R693" s="28">
        <v>44792136.104560427</v>
      </c>
      <c r="S693" s="29">
        <f t="shared" si="73"/>
        <v>0.16414931021246515</v>
      </c>
    </row>
    <row r="694" spans="1:19" hidden="1" outlineLevel="1" x14ac:dyDescent="0.25">
      <c r="K694" s="21">
        <v>45733</v>
      </c>
      <c r="L694" s="22">
        <v>7420683.3295700038</v>
      </c>
      <c r="M694" s="23">
        <f>L694/L695-1</f>
        <v>0.21133003416242291</v>
      </c>
      <c r="N694" s="24">
        <v>13171394.120378628</v>
      </c>
      <c r="O694" s="25">
        <f t="shared" si="70"/>
        <v>7.121973475176957E-2</v>
      </c>
      <c r="P694" s="26">
        <v>17884203.652159788</v>
      </c>
      <c r="Q694" s="27">
        <f t="shared" si="71"/>
        <v>-0.22217892845641063</v>
      </c>
      <c r="R694" s="28">
        <v>38476281.102108419</v>
      </c>
      <c r="S694" s="29">
        <f t="shared" si="73"/>
        <v>-7.0945644857802637E-2</v>
      </c>
    </row>
    <row r="695" spans="1:19" hidden="1" outlineLevel="1" x14ac:dyDescent="0.25">
      <c r="K695" s="21">
        <v>45712</v>
      </c>
      <c r="L695" s="22">
        <v>6126062.3614447517</v>
      </c>
      <c r="M695" s="34"/>
      <c r="N695" s="24">
        <v>12295697.785506906</v>
      </c>
      <c r="O695" s="35"/>
      <c r="P695" s="26">
        <v>22992696.272252571</v>
      </c>
      <c r="Q695" s="32"/>
      <c r="R695" s="28">
        <v>41414456.419204228</v>
      </c>
      <c r="S695" s="33"/>
    </row>
    <row r="696" spans="1:19" collapsed="1" x14ac:dyDescent="0.25"/>
    <row r="697" spans="1:19" ht="11.25" customHeight="1" x14ac:dyDescent="0.25">
      <c r="A697" s="38"/>
      <c r="B697" s="38"/>
      <c r="C697" s="38"/>
      <c r="D697" s="39"/>
      <c r="E697" s="39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</row>
    <row r="698" spans="1:19" x14ac:dyDescent="0.25">
      <c r="A698" s="40"/>
      <c r="B698" s="41" t="s">
        <v>1612</v>
      </c>
      <c r="C698" s="40"/>
      <c r="D698" s="42"/>
      <c r="E698" s="42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</row>
    <row r="699" spans="1:19" ht="36.75" customHeight="1" x14ac:dyDescent="0.25">
      <c r="A699" s="62" t="s">
        <v>0</v>
      </c>
      <c r="B699" s="62" t="s">
        <v>1</v>
      </c>
      <c r="C699" s="63" t="s">
        <v>1606</v>
      </c>
      <c r="D699" s="84" t="s">
        <v>1598</v>
      </c>
      <c r="E699" s="85"/>
      <c r="F699" s="61" t="s">
        <v>1604</v>
      </c>
      <c r="G699" s="61" t="s">
        <v>1605</v>
      </c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</row>
    <row r="700" spans="1:19" x14ac:dyDescent="0.25">
      <c r="A700" s="7" t="s">
        <v>839</v>
      </c>
      <c r="B700" s="7" t="s">
        <v>840</v>
      </c>
      <c r="C700" s="14">
        <v>289.54000000000002</v>
      </c>
      <c r="D700" s="6">
        <v>4670</v>
      </c>
      <c r="E700" s="6">
        <v>1352151.8</v>
      </c>
      <c r="F700" s="60">
        <v>4540.544480121971</v>
      </c>
      <c r="G700" s="60">
        <v>1314669.2487745155</v>
      </c>
    </row>
    <row r="701" spans="1:19" x14ac:dyDescent="0.25">
      <c r="A701" s="7" t="s">
        <v>470</v>
      </c>
      <c r="B701" s="7" t="s">
        <v>471</v>
      </c>
      <c r="C701" s="14">
        <v>1133.32</v>
      </c>
      <c r="D701" s="6">
        <v>929</v>
      </c>
      <c r="E701" s="6">
        <v>1052854.28</v>
      </c>
      <c r="F701" s="60">
        <v>911.47577607726498</v>
      </c>
      <c r="G701" s="60">
        <v>1032993.7265438859</v>
      </c>
    </row>
    <row r="702" spans="1:19" x14ac:dyDescent="0.25">
      <c r="A702" s="7" t="s">
        <v>15</v>
      </c>
      <c r="B702" s="7" t="s">
        <v>16</v>
      </c>
      <c r="C702" s="14">
        <v>501.75</v>
      </c>
      <c r="D702" s="6">
        <v>2759</v>
      </c>
      <c r="E702" s="6">
        <v>1384328.25</v>
      </c>
      <c r="F702" s="60">
        <v>1946.4140977812683</v>
      </c>
      <c r="G702" s="60">
        <v>976613.27356175135</v>
      </c>
    </row>
    <row r="703" spans="1:19" x14ac:dyDescent="0.25">
      <c r="A703" s="7" t="s">
        <v>281</v>
      </c>
      <c r="B703" s="7" t="s">
        <v>282</v>
      </c>
      <c r="C703" s="14">
        <v>390.67</v>
      </c>
      <c r="D703" s="6">
        <v>14059</v>
      </c>
      <c r="E703" s="6">
        <v>5492429.5300000003</v>
      </c>
      <c r="F703" s="60">
        <v>2403.6020633750923</v>
      </c>
      <c r="G703" s="60">
        <v>939015.21809874731</v>
      </c>
    </row>
    <row r="704" spans="1:19" x14ac:dyDescent="0.25">
      <c r="A704" s="7" t="s">
        <v>29</v>
      </c>
      <c r="B704" s="7" t="s">
        <v>30</v>
      </c>
      <c r="C704" s="14">
        <v>222.78</v>
      </c>
      <c r="D704" s="6">
        <v>5096</v>
      </c>
      <c r="E704" s="6">
        <v>1135286.8799999999</v>
      </c>
      <c r="F704" s="60">
        <v>3546.043088153292</v>
      </c>
      <c r="G704" s="60">
        <v>789987.47917879035</v>
      </c>
    </row>
    <row r="705" spans="1:7" x14ac:dyDescent="0.25">
      <c r="A705" s="7" t="s">
        <v>241</v>
      </c>
      <c r="B705" s="7" t="s">
        <v>242</v>
      </c>
      <c r="C705" s="14">
        <v>1472.29</v>
      </c>
      <c r="D705" s="6">
        <v>581</v>
      </c>
      <c r="E705" s="6">
        <v>855400.49</v>
      </c>
      <c r="F705" s="60">
        <v>488.5993320433642</v>
      </c>
      <c r="G705" s="60">
        <v>719359.91057412466</v>
      </c>
    </row>
    <row r="706" spans="1:7" x14ac:dyDescent="0.25">
      <c r="A706" s="7" t="s">
        <v>1229</v>
      </c>
      <c r="B706" s="7" t="s">
        <v>1230</v>
      </c>
      <c r="C706" s="14">
        <v>195.3</v>
      </c>
      <c r="D706" s="6">
        <v>3936</v>
      </c>
      <c r="E706" s="6">
        <v>768700.8</v>
      </c>
      <c r="F706" s="60">
        <v>3637.5720038415525</v>
      </c>
      <c r="G706" s="60">
        <v>710417.8123502552</v>
      </c>
    </row>
    <row r="707" spans="1:7" x14ac:dyDescent="0.25">
      <c r="A707" s="7" t="s">
        <v>243</v>
      </c>
      <c r="B707" s="7" t="s">
        <v>244</v>
      </c>
      <c r="C707" s="14">
        <v>1472.29</v>
      </c>
      <c r="D707" s="6">
        <v>703</v>
      </c>
      <c r="E707" s="6">
        <v>1035019.87</v>
      </c>
      <c r="F707" s="60">
        <v>453.81721869953918</v>
      </c>
      <c r="G707" s="60">
        <v>668150.55291914451</v>
      </c>
    </row>
    <row r="708" spans="1:7" x14ac:dyDescent="0.25">
      <c r="A708" s="7" t="s">
        <v>263</v>
      </c>
      <c r="B708" s="7" t="s">
        <v>264</v>
      </c>
      <c r="C708" s="14">
        <v>1423.27</v>
      </c>
      <c r="D708" s="6">
        <v>510</v>
      </c>
      <c r="E708" s="6">
        <v>725867.7</v>
      </c>
      <c r="F708" s="60">
        <v>455.78025054485533</v>
      </c>
      <c r="G708" s="60">
        <v>648698.35719297628</v>
      </c>
    </row>
    <row r="709" spans="1:7" x14ac:dyDescent="0.25">
      <c r="A709" s="7" t="s">
        <v>1225</v>
      </c>
      <c r="B709" s="7" t="s">
        <v>1226</v>
      </c>
      <c r="C709" s="14">
        <v>164.32</v>
      </c>
      <c r="D709" s="6">
        <v>3964</v>
      </c>
      <c r="E709" s="6">
        <v>651364.48</v>
      </c>
      <c r="F709" s="60">
        <v>3567.0818012405084</v>
      </c>
      <c r="G709" s="60">
        <v>586142.88157984032</v>
      </c>
    </row>
    <row r="710" spans="1:7" x14ac:dyDescent="0.25">
      <c r="G710" s="64">
        <f>SUM(G700:G709)</f>
        <v>8386048.4607740324</v>
      </c>
    </row>
    <row r="711" spans="1:7" x14ac:dyDescent="0.25">
      <c r="A711" s="40"/>
      <c r="B711" s="41" t="s">
        <v>1613</v>
      </c>
      <c r="C711" s="40"/>
      <c r="D711" s="42"/>
      <c r="E711" s="42"/>
      <c r="F711" s="40"/>
      <c r="G711" s="40"/>
    </row>
    <row r="712" spans="1:7" x14ac:dyDescent="0.25">
      <c r="A712" s="7" t="s">
        <v>1221</v>
      </c>
      <c r="B712" s="7" t="s">
        <v>1222</v>
      </c>
      <c r="C712" s="14">
        <v>114.56</v>
      </c>
      <c r="D712" s="6">
        <v>578</v>
      </c>
      <c r="E712" s="6">
        <v>66215.679999999993</v>
      </c>
    </row>
    <row r="713" spans="1:7" x14ac:dyDescent="0.25">
      <c r="A713" s="7" t="s">
        <v>1311</v>
      </c>
      <c r="B713" s="7" t="s">
        <v>1312</v>
      </c>
      <c r="C713" s="14">
        <v>237.31</v>
      </c>
      <c r="D713" s="6">
        <v>422</v>
      </c>
      <c r="E713" s="6">
        <v>100144.82</v>
      </c>
    </row>
    <row r="714" spans="1:7" x14ac:dyDescent="0.25">
      <c r="A714" s="7" t="s">
        <v>462</v>
      </c>
      <c r="B714" s="7" t="s">
        <v>463</v>
      </c>
      <c r="C714" s="14">
        <v>575.76</v>
      </c>
      <c r="D714" s="6">
        <v>10</v>
      </c>
      <c r="E714" s="6">
        <v>5757.6</v>
      </c>
    </row>
    <row r="715" spans="1:7" x14ac:dyDescent="0.25">
      <c r="A715" s="7" t="s">
        <v>482</v>
      </c>
      <c r="B715" s="7" t="s">
        <v>483</v>
      </c>
      <c r="C715" s="14">
        <v>81.42</v>
      </c>
      <c r="D715" s="6">
        <v>1821</v>
      </c>
      <c r="E715" s="6">
        <v>148265.82</v>
      </c>
    </row>
    <row r="716" spans="1:7" x14ac:dyDescent="0.25">
      <c r="A716" s="7" t="s">
        <v>987</v>
      </c>
      <c r="B716" s="7" t="s">
        <v>988</v>
      </c>
      <c r="C716" s="14">
        <v>1263.8</v>
      </c>
      <c r="D716" s="6">
        <v>162</v>
      </c>
      <c r="E716" s="6">
        <v>204735.6</v>
      </c>
    </row>
    <row r="717" spans="1:7" x14ac:dyDescent="0.25">
      <c r="A717" s="7" t="s">
        <v>1167</v>
      </c>
      <c r="B717" s="7" t="s">
        <v>1168</v>
      </c>
      <c r="C717" s="14">
        <v>964.31</v>
      </c>
      <c r="D717" s="6">
        <v>118</v>
      </c>
      <c r="E717" s="6">
        <v>113788.58</v>
      </c>
    </row>
    <row r="718" spans="1:7" x14ac:dyDescent="0.25">
      <c r="A718" s="7" t="s">
        <v>702</v>
      </c>
      <c r="B718" s="7" t="s">
        <v>703</v>
      </c>
      <c r="C718" s="14">
        <v>271.20999999999998</v>
      </c>
      <c r="D718" s="6">
        <v>1111</v>
      </c>
      <c r="E718" s="6">
        <v>301314.31</v>
      </c>
    </row>
    <row r="719" spans="1:7" x14ac:dyDescent="0.25">
      <c r="A719" s="7" t="s">
        <v>237</v>
      </c>
      <c r="B719" s="7" t="s">
        <v>238</v>
      </c>
      <c r="C719" s="14">
        <v>2005.83</v>
      </c>
      <c r="D719" s="6">
        <v>2076</v>
      </c>
      <c r="E719" s="6">
        <v>4164103.08</v>
      </c>
    </row>
    <row r="720" spans="1:7" x14ac:dyDescent="0.25">
      <c r="A720" s="7" t="s">
        <v>1169</v>
      </c>
      <c r="B720" s="7" t="s">
        <v>1170</v>
      </c>
      <c r="C720" s="14">
        <v>976.52</v>
      </c>
      <c r="D720" s="6">
        <v>117</v>
      </c>
      <c r="E720" s="6">
        <v>114252.84</v>
      </c>
    </row>
    <row r="721" spans="1:5" x14ac:dyDescent="0.25">
      <c r="A721" s="7" t="s">
        <v>1165</v>
      </c>
      <c r="B721" s="7" t="s">
        <v>1166</v>
      </c>
      <c r="C721" s="14">
        <v>997.08</v>
      </c>
      <c r="D721" s="6">
        <v>119</v>
      </c>
      <c r="E721" s="6">
        <v>118652.52</v>
      </c>
    </row>
    <row r="722" spans="1:5" x14ac:dyDescent="0.25">
      <c r="A722" s="7" t="s">
        <v>1173</v>
      </c>
      <c r="B722" s="7" t="s">
        <v>1174</v>
      </c>
      <c r="C722" s="14">
        <v>958.21</v>
      </c>
      <c r="D722" s="6">
        <v>181</v>
      </c>
      <c r="E722" s="6">
        <v>173436.01</v>
      </c>
    </row>
    <row r="723" spans="1:5" x14ac:dyDescent="0.25">
      <c r="A723" s="7" t="s">
        <v>1171</v>
      </c>
      <c r="B723" s="7" t="s">
        <v>1172</v>
      </c>
      <c r="C723" s="14">
        <v>976.52</v>
      </c>
      <c r="D723" s="6">
        <v>71</v>
      </c>
      <c r="E723" s="6">
        <v>69332.92</v>
      </c>
    </row>
    <row r="724" spans="1:5" x14ac:dyDescent="0.25">
      <c r="A724" s="7" t="s">
        <v>1053</v>
      </c>
      <c r="B724" s="7" t="s">
        <v>1054</v>
      </c>
      <c r="C724" s="14">
        <v>573.26</v>
      </c>
      <c r="D724" s="6">
        <v>39</v>
      </c>
      <c r="E724" s="6">
        <v>22357.14</v>
      </c>
    </row>
    <row r="725" spans="1:5" x14ac:dyDescent="0.25">
      <c r="A725" s="7" t="s">
        <v>660</v>
      </c>
      <c r="B725" s="7" t="s">
        <v>661</v>
      </c>
      <c r="C725" s="14">
        <v>556.05999999999995</v>
      </c>
      <c r="D725" s="6">
        <v>33</v>
      </c>
      <c r="E725" s="6">
        <v>18349.98</v>
      </c>
    </row>
    <row r="726" spans="1:5" x14ac:dyDescent="0.25">
      <c r="A726" s="7" t="s">
        <v>662</v>
      </c>
      <c r="B726" s="7" t="s">
        <v>663</v>
      </c>
      <c r="C726" s="14">
        <v>556.05999999999995</v>
      </c>
      <c r="D726" s="6">
        <v>55</v>
      </c>
      <c r="E726" s="6">
        <v>30583.3</v>
      </c>
    </row>
    <row r="727" spans="1:5" x14ac:dyDescent="0.25">
      <c r="A727" s="7" t="s">
        <v>664</v>
      </c>
      <c r="B727" s="7" t="s">
        <v>665</v>
      </c>
      <c r="C727" s="14">
        <v>544.6</v>
      </c>
      <c r="D727" s="6">
        <v>52</v>
      </c>
      <c r="E727" s="6">
        <v>28319.200000000001</v>
      </c>
    </row>
    <row r="728" spans="1:5" x14ac:dyDescent="0.25">
      <c r="A728" s="7" t="s">
        <v>646</v>
      </c>
      <c r="B728" s="7" t="s">
        <v>647</v>
      </c>
      <c r="C728" s="14">
        <v>573.26</v>
      </c>
      <c r="D728" s="6">
        <v>79</v>
      </c>
      <c r="E728" s="6">
        <v>45287.54</v>
      </c>
    </row>
    <row r="729" spans="1:5" x14ac:dyDescent="0.25">
      <c r="A729" s="7" t="s">
        <v>1197</v>
      </c>
      <c r="B729" s="7" t="s">
        <v>1198</v>
      </c>
      <c r="C729" s="14">
        <v>153.4</v>
      </c>
      <c r="D729" s="6">
        <v>574</v>
      </c>
      <c r="E729" s="6">
        <v>88051.6</v>
      </c>
    </row>
    <row r="730" spans="1:5" x14ac:dyDescent="0.25">
      <c r="A730" s="7" t="s">
        <v>1313</v>
      </c>
      <c r="B730" s="7" t="s">
        <v>1314</v>
      </c>
      <c r="C730" s="14">
        <v>590</v>
      </c>
      <c r="D730" s="6">
        <v>588</v>
      </c>
      <c r="E730" s="6">
        <v>346920</v>
      </c>
    </row>
    <row r="731" spans="1:5" x14ac:dyDescent="0.25">
      <c r="E731" s="4">
        <f>SUBTOTAL(9,E712:E730)</f>
        <v>6159868.5399999991</v>
      </c>
    </row>
  </sheetData>
  <autoFilter ref="A3:S674" xr:uid="{00000000-0009-0000-0000-000001000000}"/>
  <mergeCells count="18">
    <mergeCell ref="R1:R2"/>
    <mergeCell ref="S1:S2"/>
    <mergeCell ref="L676:M676"/>
    <mergeCell ref="N676:O676"/>
    <mergeCell ref="P676:Q676"/>
    <mergeCell ref="R676:S676"/>
    <mergeCell ref="D699:E699"/>
    <mergeCell ref="P1:Q2"/>
    <mergeCell ref="F1:G2"/>
    <mergeCell ref="H1:I2"/>
    <mergeCell ref="J1:K2"/>
    <mergeCell ref="L1:M2"/>
    <mergeCell ref="N1:O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  <ignoredErrors>
    <ignoredError sqref="O222:O408 N222:N408 N221:O221 N409:O40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2"/>
  <sheetViews>
    <sheetView zoomScaleNormal="100" workbookViewId="0">
      <pane xSplit="5" ySplit="3" topLeftCell="F4" activePane="bottomRight" state="frozen"/>
      <selection pane="topRight" activeCell="F1" sqref="F1"/>
      <selection pane="bottomLeft" activeCell="A10" sqref="A10"/>
      <selection pane="bottomRight" sqref="A1:A2"/>
    </sheetView>
  </sheetViews>
  <sheetFormatPr defaultColWidth="9" defaultRowHeight="15" outlineLevelRow="1" x14ac:dyDescent="0.25"/>
  <cols>
    <col min="1" max="1" width="19.7109375" style="1" bestFit="1" customWidth="1"/>
    <col min="2" max="2" width="89.85546875" style="1" bestFit="1" customWidth="1"/>
    <col min="3" max="3" width="8.42578125" style="12" bestFit="1" customWidth="1"/>
    <col min="4" max="4" width="10.42578125" style="4" bestFit="1" customWidth="1"/>
    <col min="5" max="5" width="12.7109375" style="4" customWidth="1"/>
    <col min="6" max="6" width="18.7109375" style="4" customWidth="1"/>
    <col min="7" max="7" width="18.140625" style="4" customWidth="1"/>
    <col min="8" max="8" width="9" style="4" customWidth="1"/>
    <col min="9" max="9" width="11.5703125" style="4" customWidth="1"/>
    <col min="10" max="10" width="10" style="4" bestFit="1" customWidth="1"/>
    <col min="11" max="11" width="13.140625" style="4" customWidth="1"/>
    <col min="12" max="12" width="10.42578125" style="4" customWidth="1"/>
    <col min="13" max="13" width="13.7109375" style="4" customWidth="1"/>
    <col min="14" max="14" width="12.85546875" style="4" customWidth="1"/>
    <col min="15" max="15" width="13.7109375" style="4" customWidth="1"/>
    <col min="16" max="16" width="10.28515625" style="4" customWidth="1"/>
    <col min="17" max="17" width="12.42578125" style="4" bestFit="1" customWidth="1"/>
    <col min="18" max="18" width="17.85546875" style="4" customWidth="1"/>
    <col min="19" max="19" width="18.5703125" style="4" customWidth="1"/>
    <col min="20" max="21" width="12.85546875" bestFit="1" customWidth="1"/>
  </cols>
  <sheetData>
    <row r="1" spans="1:19" ht="15" customHeight="1" x14ac:dyDescent="0.25">
      <c r="A1" s="68" t="s">
        <v>0</v>
      </c>
      <c r="B1" s="68" t="s">
        <v>1</v>
      </c>
      <c r="C1" s="70" t="s">
        <v>1606</v>
      </c>
      <c r="D1" s="72" t="s">
        <v>1594</v>
      </c>
      <c r="E1" s="72" t="s">
        <v>1595</v>
      </c>
      <c r="F1" s="76" t="s">
        <v>1596</v>
      </c>
      <c r="G1" s="77"/>
      <c r="H1" s="76" t="s">
        <v>1597</v>
      </c>
      <c r="I1" s="77"/>
      <c r="J1" s="76" t="s">
        <v>1598</v>
      </c>
      <c r="K1" s="77"/>
      <c r="L1" s="76" t="s">
        <v>1599</v>
      </c>
      <c r="M1" s="77"/>
      <c r="N1" s="76" t="s">
        <v>1600</v>
      </c>
      <c r="O1" s="77"/>
      <c r="P1" s="76" t="s">
        <v>1601</v>
      </c>
      <c r="Q1" s="77"/>
      <c r="R1" s="74" t="s">
        <v>1604</v>
      </c>
      <c r="S1" s="74" t="s">
        <v>1605</v>
      </c>
    </row>
    <row r="2" spans="1:19" ht="21" customHeight="1" x14ac:dyDescent="0.25">
      <c r="A2" s="69"/>
      <c r="B2" s="69"/>
      <c r="C2" s="71"/>
      <c r="D2" s="73"/>
      <c r="E2" s="73"/>
      <c r="F2" s="78"/>
      <c r="G2" s="79"/>
      <c r="H2" s="78"/>
      <c r="I2" s="79"/>
      <c r="J2" s="78"/>
      <c r="K2" s="79"/>
      <c r="L2" s="78"/>
      <c r="M2" s="79"/>
      <c r="N2" s="78"/>
      <c r="O2" s="79"/>
      <c r="P2" s="78"/>
      <c r="Q2" s="79"/>
      <c r="R2" s="75"/>
      <c r="S2" s="75"/>
    </row>
    <row r="3" spans="1:19" ht="12" customHeight="1" x14ac:dyDescent="0.25">
      <c r="A3" s="3"/>
      <c r="B3" s="3"/>
      <c r="C3" s="8"/>
      <c r="D3" s="9"/>
      <c r="E3" s="9"/>
      <c r="F3" s="10"/>
      <c r="G3" s="11"/>
      <c r="H3" s="10"/>
      <c r="I3" s="11"/>
      <c r="J3" s="10"/>
      <c r="K3" s="11"/>
      <c r="L3" s="10"/>
      <c r="M3" s="11"/>
      <c r="N3" s="10"/>
      <c r="O3" s="11"/>
      <c r="P3" s="10"/>
      <c r="Q3" s="11"/>
      <c r="R3" s="5"/>
      <c r="S3" s="5"/>
    </row>
    <row r="4" spans="1:19" s="17" customFormat="1" ht="14.1" customHeight="1" collapsed="1" x14ac:dyDescent="0.2">
      <c r="A4" s="15" t="s">
        <v>2</v>
      </c>
      <c r="B4" s="16"/>
      <c r="C4" s="16"/>
      <c r="D4" s="15">
        <v>165.73</v>
      </c>
      <c r="E4" s="15">
        <v>98.6</v>
      </c>
      <c r="F4" s="15">
        <f t="shared" ref="F4:S4" si="0">SUM(F5:F220)</f>
        <v>4349</v>
      </c>
      <c r="G4" s="15">
        <f t="shared" si="0"/>
        <v>1235254.97</v>
      </c>
      <c r="H4" s="15">
        <f t="shared" si="0"/>
        <v>8417</v>
      </c>
      <c r="I4" s="15">
        <f t="shared" si="0"/>
        <v>1591044.5800000005</v>
      </c>
      <c r="J4" s="15">
        <f t="shared" si="0"/>
        <v>321276</v>
      </c>
      <c r="K4" s="15">
        <f t="shared" si="0"/>
        <v>73854804.710000068</v>
      </c>
      <c r="L4" s="15">
        <f t="shared" si="0"/>
        <v>228012</v>
      </c>
      <c r="M4" s="15">
        <f t="shared" si="0"/>
        <v>39742937.360000014</v>
      </c>
      <c r="N4" s="15">
        <f t="shared" si="0"/>
        <v>562054</v>
      </c>
      <c r="O4" s="15">
        <f t="shared" si="0"/>
        <v>116424041.61999996</v>
      </c>
      <c r="P4" s="15">
        <f t="shared" si="0"/>
        <v>20286</v>
      </c>
      <c r="Q4" s="15">
        <f t="shared" si="0"/>
        <v>3757929</v>
      </c>
      <c r="R4" s="15">
        <f t="shared" si="0"/>
        <v>96263.413855776496</v>
      </c>
      <c r="S4" s="15">
        <f t="shared" si="0"/>
        <v>26166450.285474893</v>
      </c>
    </row>
    <row r="5" spans="1:19" s="1" customFormat="1" ht="15" hidden="1" customHeight="1" outlineLevel="1" x14ac:dyDescent="0.25">
      <c r="A5" s="2" t="s">
        <v>353</v>
      </c>
      <c r="B5" s="2" t="s">
        <v>354</v>
      </c>
      <c r="C5" s="13">
        <v>362.73</v>
      </c>
      <c r="D5" s="6">
        <v>284.27</v>
      </c>
      <c r="E5" s="6">
        <v>100</v>
      </c>
      <c r="F5" s="6">
        <v>70</v>
      </c>
      <c r="G5" s="6">
        <v>25391.1</v>
      </c>
      <c r="H5" s="6">
        <v>98</v>
      </c>
      <c r="I5" s="6">
        <v>35547.54</v>
      </c>
      <c r="J5" s="6">
        <v>2790</v>
      </c>
      <c r="K5" s="6">
        <v>1012016.7</v>
      </c>
      <c r="L5" s="6"/>
      <c r="M5" s="6"/>
      <c r="N5" s="6">
        <f t="shared" ref="N5:N68" si="1">IF(J5+L5+H5+F5&lt;=0,"",J5+L5+H5+F5)</f>
        <v>2958</v>
      </c>
      <c r="O5" s="6">
        <f t="shared" ref="O5:O68" si="2">IFERROR(C5*N5,"")</f>
        <v>1072955.3400000001</v>
      </c>
      <c r="P5" s="6">
        <v>325</v>
      </c>
      <c r="Q5" s="6">
        <v>121501</v>
      </c>
      <c r="R5" s="6">
        <f t="shared" ref="R5" si="3">J5/D5*(D5-180)</f>
        <v>1023.3696837513631</v>
      </c>
      <c r="S5" s="6">
        <f t="shared" ref="S5" si="4">R5*C5</f>
        <v>371206.88538713194</v>
      </c>
    </row>
    <row r="6" spans="1:19" s="1" customFormat="1" ht="15" hidden="1" customHeight="1" outlineLevel="1" x14ac:dyDescent="0.25">
      <c r="A6" s="2" t="s">
        <v>249</v>
      </c>
      <c r="B6" s="2" t="s">
        <v>250</v>
      </c>
      <c r="C6" s="13">
        <v>366.69</v>
      </c>
      <c r="D6" s="6">
        <v>69.83</v>
      </c>
      <c r="E6" s="6">
        <v>61.29</v>
      </c>
      <c r="F6" s="6"/>
      <c r="G6" s="6"/>
      <c r="H6" s="6"/>
      <c r="I6" s="6"/>
      <c r="J6" s="6">
        <v>7000</v>
      </c>
      <c r="K6" s="6">
        <v>2566830</v>
      </c>
      <c r="L6" s="6">
        <v>17000</v>
      </c>
      <c r="M6" s="6">
        <v>6233730</v>
      </c>
      <c r="N6" s="6">
        <f t="shared" si="1"/>
        <v>24000</v>
      </c>
      <c r="O6" s="6">
        <f t="shared" si="2"/>
        <v>8800560</v>
      </c>
      <c r="P6" s="6">
        <v>281</v>
      </c>
      <c r="Q6" s="6">
        <v>106535</v>
      </c>
      <c r="R6" s="6"/>
      <c r="S6" s="6"/>
    </row>
    <row r="7" spans="1:19" s="1" customFormat="1" ht="15" hidden="1" customHeight="1" outlineLevel="1" x14ac:dyDescent="0.25">
      <c r="A7" s="2" t="s">
        <v>855</v>
      </c>
      <c r="B7" s="2" t="s">
        <v>856</v>
      </c>
      <c r="C7" s="13">
        <v>475.31</v>
      </c>
      <c r="D7" s="6">
        <v>120146.33</v>
      </c>
      <c r="E7" s="6">
        <v>100</v>
      </c>
      <c r="F7" s="6"/>
      <c r="G7" s="6"/>
      <c r="H7" s="6"/>
      <c r="I7" s="6"/>
      <c r="J7" s="6">
        <v>3875</v>
      </c>
      <c r="K7" s="6">
        <v>1841826.25</v>
      </c>
      <c r="L7" s="6">
        <v>1440</v>
      </c>
      <c r="M7" s="6">
        <v>684446.4</v>
      </c>
      <c r="N7" s="6">
        <f t="shared" si="1"/>
        <v>5315</v>
      </c>
      <c r="O7" s="6">
        <f t="shared" si="2"/>
        <v>2526272.65</v>
      </c>
      <c r="P7" s="6">
        <v>0</v>
      </c>
      <c r="Q7" s="6">
        <v>168</v>
      </c>
      <c r="R7" s="6">
        <f t="shared" ref="R7:R64" si="5">J7/D7*(D7-180)</f>
        <v>3869.1945792268475</v>
      </c>
      <c r="S7" s="6">
        <f t="shared" ref="S7:S64" si="6">R7*C7</f>
        <v>1839066.8754523129</v>
      </c>
    </row>
    <row r="8" spans="1:19" s="1" customFormat="1" ht="15" hidden="1" customHeight="1" outlineLevel="1" x14ac:dyDescent="0.25">
      <c r="A8" s="2" t="s">
        <v>71</v>
      </c>
      <c r="B8" s="2" t="s">
        <v>72</v>
      </c>
      <c r="C8" s="13">
        <v>487.07</v>
      </c>
      <c r="D8" s="6">
        <v>280.14999999999998</v>
      </c>
      <c r="E8" s="6">
        <v>100</v>
      </c>
      <c r="F8" s="6">
        <v>5</v>
      </c>
      <c r="G8" s="6">
        <v>2435.35</v>
      </c>
      <c r="H8" s="6">
        <v>9</v>
      </c>
      <c r="I8" s="6">
        <v>4383.63</v>
      </c>
      <c r="J8" s="6">
        <v>1024</v>
      </c>
      <c r="K8" s="6">
        <v>498759.67999999999</v>
      </c>
      <c r="L8" s="6">
        <v>3400</v>
      </c>
      <c r="M8" s="6">
        <v>1656038</v>
      </c>
      <c r="N8" s="6">
        <f t="shared" si="1"/>
        <v>4438</v>
      </c>
      <c r="O8" s="6">
        <f t="shared" si="2"/>
        <v>2161616.66</v>
      </c>
      <c r="P8" s="6">
        <v>133</v>
      </c>
      <c r="Q8" s="6">
        <v>62485</v>
      </c>
      <c r="R8" s="6">
        <f t="shared" si="5"/>
        <v>366.066749955381</v>
      </c>
      <c r="S8" s="6">
        <f t="shared" si="6"/>
        <v>178300.13190076742</v>
      </c>
    </row>
    <row r="9" spans="1:19" s="1" customFormat="1" ht="15" hidden="1" customHeight="1" outlineLevel="1" x14ac:dyDescent="0.25">
      <c r="A9" s="2" t="s">
        <v>476</v>
      </c>
      <c r="B9" s="2" t="s">
        <v>477</v>
      </c>
      <c r="C9" s="13">
        <v>329.72</v>
      </c>
      <c r="D9" s="6">
        <v>39980.629999999997</v>
      </c>
      <c r="E9" s="6">
        <v>100</v>
      </c>
      <c r="F9" s="6"/>
      <c r="G9" s="6"/>
      <c r="H9" s="6"/>
      <c r="I9" s="6"/>
      <c r="J9" s="6">
        <v>3437</v>
      </c>
      <c r="K9" s="6">
        <v>1133247.6399999999</v>
      </c>
      <c r="L9" s="6">
        <v>1850</v>
      </c>
      <c r="M9" s="6">
        <v>609982</v>
      </c>
      <c r="N9" s="6">
        <f t="shared" si="1"/>
        <v>5287</v>
      </c>
      <c r="O9" s="6">
        <f t="shared" si="2"/>
        <v>1743229.6400000001</v>
      </c>
      <c r="P9" s="6">
        <v>2</v>
      </c>
      <c r="Q9" s="6">
        <v>679</v>
      </c>
      <c r="R9" s="6">
        <f t="shared" si="5"/>
        <v>3421.5260067187533</v>
      </c>
      <c r="S9" s="6">
        <f t="shared" si="6"/>
        <v>1128145.5549353075</v>
      </c>
    </row>
    <row r="10" spans="1:19" s="1" customFormat="1" ht="15" hidden="1" customHeight="1" outlineLevel="1" x14ac:dyDescent="0.25">
      <c r="A10" s="2" t="s">
        <v>261</v>
      </c>
      <c r="B10" s="2" t="s">
        <v>262</v>
      </c>
      <c r="C10" s="13">
        <v>341</v>
      </c>
      <c r="D10" s="6">
        <v>95.64</v>
      </c>
      <c r="E10" s="6">
        <v>100</v>
      </c>
      <c r="F10" s="6">
        <v>10</v>
      </c>
      <c r="G10" s="6">
        <v>3410</v>
      </c>
      <c r="H10" s="6">
        <v>207</v>
      </c>
      <c r="I10" s="6">
        <v>70587</v>
      </c>
      <c r="J10" s="6">
        <v>99</v>
      </c>
      <c r="K10" s="6">
        <v>33759</v>
      </c>
      <c r="L10" s="6">
        <v>5150</v>
      </c>
      <c r="M10" s="6">
        <v>1756150</v>
      </c>
      <c r="N10" s="6">
        <f t="shared" si="1"/>
        <v>5466</v>
      </c>
      <c r="O10" s="6">
        <f t="shared" si="2"/>
        <v>1863906</v>
      </c>
      <c r="P10" s="6">
        <v>247</v>
      </c>
      <c r="Q10" s="6">
        <v>87050</v>
      </c>
      <c r="R10" s="6"/>
      <c r="S10" s="6"/>
    </row>
    <row r="11" spans="1:19" s="1" customFormat="1" ht="15" hidden="1" customHeight="1" outlineLevel="1" x14ac:dyDescent="0.25">
      <c r="A11" s="2" t="s">
        <v>297</v>
      </c>
      <c r="B11" s="2" t="s">
        <v>298</v>
      </c>
      <c r="C11" s="13">
        <v>1141.03</v>
      </c>
      <c r="D11" s="6">
        <v>144.35</v>
      </c>
      <c r="E11" s="6">
        <v>100</v>
      </c>
      <c r="F11" s="6">
        <v>10</v>
      </c>
      <c r="G11" s="6">
        <v>11410.3</v>
      </c>
      <c r="H11" s="6">
        <v>15</v>
      </c>
      <c r="I11" s="6">
        <v>17115.45</v>
      </c>
      <c r="J11" s="6">
        <v>397</v>
      </c>
      <c r="K11" s="6">
        <v>452988.91</v>
      </c>
      <c r="L11" s="6"/>
      <c r="M11" s="6"/>
      <c r="N11" s="6">
        <f t="shared" si="1"/>
        <v>422</v>
      </c>
      <c r="O11" s="6">
        <f t="shared" si="2"/>
        <v>481514.66</v>
      </c>
      <c r="P11" s="6">
        <v>121</v>
      </c>
      <c r="Q11" s="6">
        <v>145782</v>
      </c>
      <c r="R11" s="6"/>
      <c r="S11" s="6"/>
    </row>
    <row r="12" spans="1:19" s="1" customFormat="1" ht="15" hidden="1" customHeight="1" outlineLevel="1" x14ac:dyDescent="0.25">
      <c r="A12" s="2" t="s">
        <v>257</v>
      </c>
      <c r="B12" s="2" t="s">
        <v>258</v>
      </c>
      <c r="C12" s="13">
        <v>352.57</v>
      </c>
      <c r="D12" s="6">
        <v>73.709999999999994</v>
      </c>
      <c r="E12" s="6">
        <v>78.489999999999995</v>
      </c>
      <c r="F12" s="6">
        <v>10</v>
      </c>
      <c r="G12" s="6">
        <v>3525.7</v>
      </c>
      <c r="H12" s="6">
        <v>41</v>
      </c>
      <c r="I12" s="6">
        <v>14455.37</v>
      </c>
      <c r="J12" s="6">
        <v>0</v>
      </c>
      <c r="K12" s="6">
        <v>0</v>
      </c>
      <c r="L12" s="6">
        <v>10000</v>
      </c>
      <c r="M12" s="6">
        <v>3525700</v>
      </c>
      <c r="N12" s="6">
        <f t="shared" si="1"/>
        <v>10051</v>
      </c>
      <c r="O12" s="6">
        <f t="shared" si="2"/>
        <v>3543681.07</v>
      </c>
      <c r="P12" s="6">
        <v>318</v>
      </c>
      <c r="Q12" s="6">
        <v>116211</v>
      </c>
      <c r="R12" s="6"/>
      <c r="S12" s="6"/>
    </row>
    <row r="13" spans="1:19" s="1" customFormat="1" ht="15" hidden="1" customHeight="1" outlineLevel="1" x14ac:dyDescent="0.25">
      <c r="A13" s="2" t="s">
        <v>814</v>
      </c>
      <c r="B13" s="2" t="s">
        <v>815</v>
      </c>
      <c r="C13" s="13">
        <v>107.12</v>
      </c>
      <c r="D13" s="6">
        <v>376.49</v>
      </c>
      <c r="E13" s="6">
        <v>100</v>
      </c>
      <c r="F13" s="6"/>
      <c r="G13" s="6"/>
      <c r="H13" s="6">
        <v>324</v>
      </c>
      <c r="I13" s="6">
        <v>34706.879999999997</v>
      </c>
      <c r="J13" s="6">
        <v>2740</v>
      </c>
      <c r="K13" s="6">
        <v>293508.8</v>
      </c>
      <c r="L13" s="6">
        <v>2000</v>
      </c>
      <c r="M13" s="6">
        <v>214240</v>
      </c>
      <c r="N13" s="6">
        <f t="shared" si="1"/>
        <v>5064</v>
      </c>
      <c r="O13" s="6">
        <f t="shared" si="2"/>
        <v>542455.68000000005</v>
      </c>
      <c r="P13" s="6">
        <v>224</v>
      </c>
      <c r="Q13" s="6">
        <v>25005</v>
      </c>
      <c r="R13" s="6">
        <f t="shared" si="5"/>
        <v>1430.0050466147839</v>
      </c>
      <c r="S13" s="6">
        <f t="shared" si="6"/>
        <v>153182.14059337566</v>
      </c>
    </row>
    <row r="14" spans="1:19" s="1" customFormat="1" ht="15" hidden="1" customHeight="1" outlineLevel="1" x14ac:dyDescent="0.25">
      <c r="A14" s="2" t="s">
        <v>27</v>
      </c>
      <c r="B14" s="2" t="s">
        <v>28</v>
      </c>
      <c r="C14" s="13">
        <v>351.32</v>
      </c>
      <c r="D14" s="6">
        <v>254.9</v>
      </c>
      <c r="E14" s="6">
        <v>100</v>
      </c>
      <c r="F14" s="6">
        <v>10</v>
      </c>
      <c r="G14" s="6">
        <v>3513.2</v>
      </c>
      <c r="H14" s="6">
        <v>218</v>
      </c>
      <c r="I14" s="6">
        <v>76587.759999999995</v>
      </c>
      <c r="J14" s="6">
        <v>1181</v>
      </c>
      <c r="K14" s="6">
        <v>414908.92</v>
      </c>
      <c r="L14" s="6"/>
      <c r="M14" s="6"/>
      <c r="N14" s="6">
        <f t="shared" si="1"/>
        <v>1409</v>
      </c>
      <c r="O14" s="6">
        <f t="shared" si="2"/>
        <v>495009.88</v>
      </c>
      <c r="P14" s="6">
        <v>191</v>
      </c>
      <c r="Q14" s="6">
        <v>68683</v>
      </c>
      <c r="R14" s="6">
        <f t="shared" si="5"/>
        <v>347.02589250686549</v>
      </c>
      <c r="S14" s="6">
        <f t="shared" si="6"/>
        <v>121917.13655551198</v>
      </c>
    </row>
    <row r="15" spans="1:19" s="1" customFormat="1" ht="15" hidden="1" customHeight="1" outlineLevel="1" x14ac:dyDescent="0.25">
      <c r="A15" s="2" t="s">
        <v>351</v>
      </c>
      <c r="B15" s="2" t="s">
        <v>352</v>
      </c>
      <c r="C15" s="13">
        <v>306.39999999999998</v>
      </c>
      <c r="D15" s="6">
        <v>333.05</v>
      </c>
      <c r="E15" s="6">
        <v>38.71</v>
      </c>
      <c r="F15" s="6">
        <v>1700</v>
      </c>
      <c r="G15" s="6">
        <v>520880</v>
      </c>
      <c r="H15" s="6">
        <v>20</v>
      </c>
      <c r="I15" s="6">
        <v>6128</v>
      </c>
      <c r="J15" s="6">
        <v>2100</v>
      </c>
      <c r="K15" s="6">
        <v>643440</v>
      </c>
      <c r="L15" s="6">
        <v>3000</v>
      </c>
      <c r="M15" s="6">
        <v>919200</v>
      </c>
      <c r="N15" s="6">
        <f t="shared" si="1"/>
        <v>6820</v>
      </c>
      <c r="O15" s="6">
        <f t="shared" si="2"/>
        <v>2089647.9999999998</v>
      </c>
      <c r="P15" s="6">
        <v>107</v>
      </c>
      <c r="Q15" s="6">
        <v>33990</v>
      </c>
      <c r="R15" s="6">
        <f t="shared" si="5"/>
        <v>965.03527998798984</v>
      </c>
      <c r="S15" s="6">
        <f t="shared" si="6"/>
        <v>295686.80978832004</v>
      </c>
    </row>
    <row r="16" spans="1:19" s="1" customFormat="1" ht="15" hidden="1" customHeight="1" outlineLevel="1" x14ac:dyDescent="0.25">
      <c r="A16" s="2" t="s">
        <v>139</v>
      </c>
      <c r="B16" s="2" t="s">
        <v>140</v>
      </c>
      <c r="C16" s="13">
        <v>448.53</v>
      </c>
      <c r="D16" s="6"/>
      <c r="E16" s="6">
        <v>5.38</v>
      </c>
      <c r="F16" s="6">
        <v>30</v>
      </c>
      <c r="G16" s="6">
        <v>13455.9</v>
      </c>
      <c r="H16" s="6">
        <v>45</v>
      </c>
      <c r="I16" s="6">
        <v>20183.849999999999</v>
      </c>
      <c r="J16" s="6">
        <v>175</v>
      </c>
      <c r="K16" s="6">
        <v>78492.75</v>
      </c>
      <c r="L16" s="6"/>
      <c r="M16" s="6"/>
      <c r="N16" s="6">
        <f t="shared" si="1"/>
        <v>250</v>
      </c>
      <c r="O16" s="6">
        <f t="shared" si="2"/>
        <v>112132.5</v>
      </c>
      <c r="P16" s="6"/>
      <c r="Q16" s="6"/>
      <c r="R16" s="6"/>
      <c r="S16" s="6"/>
    </row>
    <row r="17" spans="1:19" s="1" customFormat="1" ht="15" hidden="1" customHeight="1" outlineLevel="1" x14ac:dyDescent="0.25">
      <c r="A17" s="2" t="s">
        <v>281</v>
      </c>
      <c r="B17" s="2" t="s">
        <v>282</v>
      </c>
      <c r="C17" s="13">
        <v>390.67</v>
      </c>
      <c r="D17" s="6">
        <v>1043.55</v>
      </c>
      <c r="E17" s="6">
        <v>100</v>
      </c>
      <c r="F17" s="6">
        <v>3</v>
      </c>
      <c r="G17" s="6">
        <v>1172.01</v>
      </c>
      <c r="H17" s="6">
        <v>36</v>
      </c>
      <c r="I17" s="6">
        <v>14064.12</v>
      </c>
      <c r="J17" s="6">
        <v>12207</v>
      </c>
      <c r="K17" s="6">
        <v>4768908.6900000004</v>
      </c>
      <c r="L17" s="6"/>
      <c r="M17" s="6"/>
      <c r="N17" s="6">
        <f t="shared" si="1"/>
        <v>12246</v>
      </c>
      <c r="O17" s="6">
        <f t="shared" si="2"/>
        <v>4784144.82</v>
      </c>
      <c r="P17" s="6">
        <v>367</v>
      </c>
      <c r="Q17" s="6">
        <v>149335</v>
      </c>
      <c r="R17" s="6">
        <f t="shared" si="5"/>
        <v>10101.437257438551</v>
      </c>
      <c r="S17" s="6">
        <f t="shared" si="6"/>
        <v>3946328.4933635187</v>
      </c>
    </row>
    <row r="18" spans="1:19" s="1" customFormat="1" ht="15" hidden="1" customHeight="1" outlineLevel="1" x14ac:dyDescent="0.25">
      <c r="A18" s="2" t="s">
        <v>600</v>
      </c>
      <c r="B18" s="2" t="s">
        <v>601</v>
      </c>
      <c r="C18" s="13">
        <v>292.02999999999997</v>
      </c>
      <c r="D18" s="6">
        <v>2791.63</v>
      </c>
      <c r="E18" s="6">
        <v>100</v>
      </c>
      <c r="F18" s="6"/>
      <c r="G18" s="6"/>
      <c r="H18" s="6">
        <v>26</v>
      </c>
      <c r="I18" s="6">
        <v>7592.78</v>
      </c>
      <c r="J18" s="6">
        <v>3480</v>
      </c>
      <c r="K18" s="6">
        <v>1016264.4</v>
      </c>
      <c r="L18" s="6"/>
      <c r="M18" s="6"/>
      <c r="N18" s="6">
        <f t="shared" si="1"/>
        <v>3506</v>
      </c>
      <c r="O18" s="6">
        <f t="shared" si="2"/>
        <v>1023857.1799999999</v>
      </c>
      <c r="P18" s="6">
        <v>38</v>
      </c>
      <c r="Q18" s="6">
        <v>11683</v>
      </c>
      <c r="R18" s="6">
        <f t="shared" si="5"/>
        <v>3255.6149633010104</v>
      </c>
      <c r="S18" s="6">
        <f t="shared" si="6"/>
        <v>950737.23773279402</v>
      </c>
    </row>
    <row r="19" spans="1:19" s="1" customFormat="1" ht="15" hidden="1" customHeight="1" outlineLevel="1" x14ac:dyDescent="0.25">
      <c r="A19" s="2" t="s">
        <v>355</v>
      </c>
      <c r="B19" s="2" t="s">
        <v>356</v>
      </c>
      <c r="C19" s="13">
        <v>688.37</v>
      </c>
      <c r="D19" s="6">
        <v>439.79</v>
      </c>
      <c r="E19" s="6">
        <v>100</v>
      </c>
      <c r="F19" s="6"/>
      <c r="G19" s="6"/>
      <c r="H19" s="6"/>
      <c r="I19" s="6"/>
      <c r="J19" s="6">
        <v>733</v>
      </c>
      <c r="K19" s="6">
        <v>504575.21</v>
      </c>
      <c r="L19" s="6"/>
      <c r="M19" s="6"/>
      <c r="N19" s="6">
        <f t="shared" si="1"/>
        <v>733</v>
      </c>
      <c r="O19" s="6">
        <f t="shared" si="2"/>
        <v>504575.21</v>
      </c>
      <c r="P19" s="6">
        <v>40</v>
      </c>
      <c r="Q19" s="6">
        <v>28517</v>
      </c>
      <c r="R19" s="6">
        <f t="shared" si="5"/>
        <v>432.9931785624957</v>
      </c>
      <c r="S19" s="6">
        <f t="shared" si="6"/>
        <v>298059.51432706515</v>
      </c>
    </row>
    <row r="20" spans="1:19" s="1" customFormat="1" ht="15" hidden="1" customHeight="1" outlineLevel="1" x14ac:dyDescent="0.25">
      <c r="A20" s="2" t="s">
        <v>113</v>
      </c>
      <c r="B20" s="2" t="s">
        <v>114</v>
      </c>
      <c r="C20" s="13">
        <v>395.76</v>
      </c>
      <c r="D20" s="6">
        <v>69.78</v>
      </c>
      <c r="E20" s="6">
        <v>52.69</v>
      </c>
      <c r="F20" s="6"/>
      <c r="G20" s="6"/>
      <c r="H20" s="6"/>
      <c r="I20" s="6"/>
      <c r="J20" s="6">
        <v>3400</v>
      </c>
      <c r="K20" s="6">
        <v>1345584</v>
      </c>
      <c r="L20" s="6"/>
      <c r="M20" s="6"/>
      <c r="N20" s="6">
        <f t="shared" si="1"/>
        <v>3400</v>
      </c>
      <c r="O20" s="6">
        <f t="shared" si="2"/>
        <v>1345584</v>
      </c>
      <c r="P20" s="6">
        <v>99</v>
      </c>
      <c r="Q20" s="6">
        <v>40896</v>
      </c>
      <c r="R20" s="6"/>
      <c r="S20" s="6"/>
    </row>
    <row r="21" spans="1:19" s="1" customFormat="1" ht="15" hidden="1" customHeight="1" outlineLevel="1" x14ac:dyDescent="0.25">
      <c r="A21" s="2" t="s">
        <v>29</v>
      </c>
      <c r="B21" s="2" t="s">
        <v>30</v>
      </c>
      <c r="C21" s="13">
        <v>222.78</v>
      </c>
      <c r="D21" s="6">
        <v>1275.8</v>
      </c>
      <c r="E21" s="6">
        <v>100</v>
      </c>
      <c r="F21" s="6"/>
      <c r="G21" s="6"/>
      <c r="H21" s="6">
        <v>5</v>
      </c>
      <c r="I21" s="6">
        <v>1113.9000000000001</v>
      </c>
      <c r="J21" s="6">
        <v>834</v>
      </c>
      <c r="K21" s="6">
        <v>185798.52</v>
      </c>
      <c r="L21" s="6"/>
      <c r="M21" s="6"/>
      <c r="N21" s="6">
        <f t="shared" si="1"/>
        <v>839</v>
      </c>
      <c r="O21" s="6">
        <f t="shared" si="2"/>
        <v>186912.42</v>
      </c>
      <c r="P21" s="6">
        <v>21</v>
      </c>
      <c r="Q21" s="6">
        <v>4762</v>
      </c>
      <c r="R21" s="6">
        <f t="shared" si="5"/>
        <v>716.33265402100642</v>
      </c>
      <c r="S21" s="6">
        <f t="shared" si="6"/>
        <v>159584.5886627998</v>
      </c>
    </row>
    <row r="22" spans="1:19" s="1" customFormat="1" ht="15" hidden="1" customHeight="1" outlineLevel="1" x14ac:dyDescent="0.25">
      <c r="A22" s="2" t="s">
        <v>115</v>
      </c>
      <c r="B22" s="2" t="s">
        <v>116</v>
      </c>
      <c r="C22" s="13">
        <v>664.05</v>
      </c>
      <c r="D22" s="6">
        <v>55.39</v>
      </c>
      <c r="E22" s="6">
        <v>66.67</v>
      </c>
      <c r="F22" s="6">
        <v>31</v>
      </c>
      <c r="G22" s="6">
        <v>20585.55</v>
      </c>
      <c r="H22" s="6">
        <v>2</v>
      </c>
      <c r="I22" s="6">
        <v>1328.1</v>
      </c>
      <c r="J22" s="6">
        <v>1100</v>
      </c>
      <c r="K22" s="6">
        <v>730455</v>
      </c>
      <c r="L22" s="6"/>
      <c r="M22" s="6"/>
      <c r="N22" s="6">
        <f t="shared" si="1"/>
        <v>1133</v>
      </c>
      <c r="O22" s="6">
        <f t="shared" si="2"/>
        <v>752368.64999999991</v>
      </c>
      <c r="P22" s="6">
        <v>111</v>
      </c>
      <c r="Q22" s="6">
        <v>75934</v>
      </c>
      <c r="R22" s="6"/>
      <c r="S22" s="6"/>
    </row>
    <row r="23" spans="1:19" s="1" customFormat="1" ht="15" hidden="1" customHeight="1" outlineLevel="1" x14ac:dyDescent="0.25">
      <c r="A23" s="2" t="s">
        <v>205</v>
      </c>
      <c r="B23" s="2" t="s">
        <v>206</v>
      </c>
      <c r="C23" s="13">
        <v>249.9</v>
      </c>
      <c r="D23" s="6">
        <v>195.47</v>
      </c>
      <c r="E23" s="6">
        <v>100</v>
      </c>
      <c r="F23" s="6">
        <v>32</v>
      </c>
      <c r="G23" s="6">
        <v>7996.8</v>
      </c>
      <c r="H23" s="6">
        <v>95</v>
      </c>
      <c r="I23" s="6">
        <v>23740.5</v>
      </c>
      <c r="J23" s="6">
        <v>823</v>
      </c>
      <c r="K23" s="6">
        <v>205667.7</v>
      </c>
      <c r="L23" s="6">
        <v>1008</v>
      </c>
      <c r="M23" s="6">
        <v>251899.2</v>
      </c>
      <c r="N23" s="6">
        <f t="shared" si="1"/>
        <v>1958</v>
      </c>
      <c r="O23" s="6">
        <f t="shared" si="2"/>
        <v>489304.2</v>
      </c>
      <c r="P23" s="6">
        <v>185</v>
      </c>
      <c r="Q23" s="6">
        <v>48016</v>
      </c>
      <c r="R23" s="6">
        <f t="shared" si="5"/>
        <v>65.134342865912913</v>
      </c>
      <c r="S23" s="6">
        <f t="shared" si="6"/>
        <v>16277.072282191637</v>
      </c>
    </row>
    <row r="24" spans="1:19" s="1" customFormat="1" ht="15" hidden="1" customHeight="1" outlineLevel="1" x14ac:dyDescent="0.25">
      <c r="A24" s="2" t="s">
        <v>157</v>
      </c>
      <c r="B24" s="2" t="s">
        <v>158</v>
      </c>
      <c r="C24" s="13">
        <v>851.07</v>
      </c>
      <c r="D24" s="6">
        <v>155.16</v>
      </c>
      <c r="E24" s="6">
        <v>100</v>
      </c>
      <c r="F24" s="6"/>
      <c r="G24" s="6"/>
      <c r="H24" s="6">
        <v>7</v>
      </c>
      <c r="I24" s="6">
        <v>5957.49</v>
      </c>
      <c r="J24" s="6">
        <v>215</v>
      </c>
      <c r="K24" s="6">
        <v>182980.05</v>
      </c>
      <c r="L24" s="6"/>
      <c r="M24" s="6"/>
      <c r="N24" s="6">
        <f t="shared" si="1"/>
        <v>222</v>
      </c>
      <c r="O24" s="6">
        <f t="shared" si="2"/>
        <v>188937.54</v>
      </c>
      <c r="P24" s="6">
        <v>47</v>
      </c>
      <c r="Q24" s="6">
        <v>41336</v>
      </c>
      <c r="R24" s="6"/>
      <c r="S24" s="6"/>
    </row>
    <row r="25" spans="1:19" s="1" customFormat="1" ht="15" hidden="1" customHeight="1" outlineLevel="1" x14ac:dyDescent="0.25">
      <c r="A25" s="2" t="s">
        <v>325</v>
      </c>
      <c r="B25" s="2" t="s">
        <v>326</v>
      </c>
      <c r="C25" s="13">
        <v>93.9</v>
      </c>
      <c r="D25" s="6">
        <v>5.51</v>
      </c>
      <c r="E25" s="6">
        <v>18.28</v>
      </c>
      <c r="F25" s="6"/>
      <c r="G25" s="6"/>
      <c r="H25" s="6"/>
      <c r="I25" s="6"/>
      <c r="J25" s="6">
        <v>15200</v>
      </c>
      <c r="K25" s="6">
        <v>1427280</v>
      </c>
      <c r="L25" s="6"/>
      <c r="M25" s="6"/>
      <c r="N25" s="6">
        <f t="shared" si="1"/>
        <v>15200</v>
      </c>
      <c r="O25" s="6">
        <f t="shared" si="2"/>
        <v>1427280</v>
      </c>
      <c r="P25" s="6">
        <v>30</v>
      </c>
      <c r="Q25" s="6">
        <v>2887</v>
      </c>
      <c r="R25" s="6"/>
      <c r="S25" s="6"/>
    </row>
    <row r="26" spans="1:19" s="1" customFormat="1" ht="15" hidden="1" customHeight="1" outlineLevel="1" x14ac:dyDescent="0.25">
      <c r="A26" s="2" t="s">
        <v>361</v>
      </c>
      <c r="B26" s="2" t="s">
        <v>362</v>
      </c>
      <c r="C26" s="13">
        <v>494.19</v>
      </c>
      <c r="D26" s="6">
        <v>65.36</v>
      </c>
      <c r="E26" s="6">
        <v>38.71</v>
      </c>
      <c r="F26" s="6">
        <v>384</v>
      </c>
      <c r="G26" s="6">
        <v>189768.95999999999</v>
      </c>
      <c r="H26" s="6">
        <v>86</v>
      </c>
      <c r="I26" s="6">
        <v>42500.34</v>
      </c>
      <c r="J26" s="6">
        <v>265</v>
      </c>
      <c r="K26" s="6">
        <v>130960.35</v>
      </c>
      <c r="L26" s="6">
        <v>3000</v>
      </c>
      <c r="M26" s="6">
        <v>1482570</v>
      </c>
      <c r="N26" s="6">
        <f t="shared" si="1"/>
        <v>3735</v>
      </c>
      <c r="O26" s="6">
        <f t="shared" si="2"/>
        <v>1845799.65</v>
      </c>
      <c r="P26" s="6">
        <v>131</v>
      </c>
      <c r="Q26" s="6">
        <v>68028</v>
      </c>
      <c r="R26" s="6"/>
      <c r="S26" s="6"/>
    </row>
    <row r="27" spans="1:19" s="1" customFormat="1" ht="15" hidden="1" customHeight="1" outlineLevel="1" x14ac:dyDescent="0.25">
      <c r="A27" s="2" t="s">
        <v>357</v>
      </c>
      <c r="B27" s="2" t="s">
        <v>358</v>
      </c>
      <c r="C27" s="13">
        <v>157.65</v>
      </c>
      <c r="D27" s="6">
        <v>34.86</v>
      </c>
      <c r="E27" s="6">
        <v>10.75</v>
      </c>
      <c r="F27" s="6">
        <v>48</v>
      </c>
      <c r="G27" s="6">
        <v>7567.2</v>
      </c>
      <c r="H27" s="6">
        <v>182</v>
      </c>
      <c r="I27" s="6">
        <v>28692.3</v>
      </c>
      <c r="J27" s="6">
        <v>1210</v>
      </c>
      <c r="K27" s="6">
        <v>190756.5</v>
      </c>
      <c r="L27" s="6">
        <v>3024</v>
      </c>
      <c r="M27" s="6">
        <v>476733.6</v>
      </c>
      <c r="N27" s="6">
        <f t="shared" si="1"/>
        <v>4464</v>
      </c>
      <c r="O27" s="6">
        <f t="shared" si="2"/>
        <v>703749.6</v>
      </c>
      <c r="P27" s="6"/>
      <c r="Q27" s="6"/>
      <c r="R27" s="6"/>
      <c r="S27" s="6"/>
    </row>
    <row r="28" spans="1:19" s="1" customFormat="1" ht="15" hidden="1" customHeight="1" outlineLevel="1" x14ac:dyDescent="0.25">
      <c r="A28" s="2" t="s">
        <v>337</v>
      </c>
      <c r="B28" s="2" t="s">
        <v>338</v>
      </c>
      <c r="C28" s="13">
        <v>562.51</v>
      </c>
      <c r="D28" s="6">
        <v>182.09</v>
      </c>
      <c r="E28" s="6">
        <v>61.29</v>
      </c>
      <c r="F28" s="6">
        <v>20</v>
      </c>
      <c r="G28" s="6">
        <v>11250.2</v>
      </c>
      <c r="H28" s="6">
        <v>140</v>
      </c>
      <c r="I28" s="6">
        <v>78751.399999999994</v>
      </c>
      <c r="J28" s="6">
        <v>1465</v>
      </c>
      <c r="K28" s="6">
        <v>824077.14999999991</v>
      </c>
      <c r="L28" s="6"/>
      <c r="M28" s="6"/>
      <c r="N28" s="6">
        <f t="shared" si="1"/>
        <v>1625</v>
      </c>
      <c r="O28" s="6">
        <f t="shared" si="2"/>
        <v>914078.75</v>
      </c>
      <c r="P28" s="6">
        <v>62</v>
      </c>
      <c r="Q28" s="6">
        <v>36401</v>
      </c>
      <c r="R28" s="6">
        <f t="shared" si="5"/>
        <v>16.815036520402028</v>
      </c>
      <c r="S28" s="6">
        <f t="shared" si="6"/>
        <v>9458.6261930913442</v>
      </c>
    </row>
    <row r="29" spans="1:19" s="1" customFormat="1" ht="15" hidden="1" customHeight="1" outlineLevel="1" x14ac:dyDescent="0.25">
      <c r="A29" s="2" t="s">
        <v>143</v>
      </c>
      <c r="B29" s="2" t="s">
        <v>144</v>
      </c>
      <c r="C29" s="13">
        <v>664.89</v>
      </c>
      <c r="D29" s="6">
        <v>43.58</v>
      </c>
      <c r="E29" s="6">
        <v>100</v>
      </c>
      <c r="F29" s="6">
        <v>25</v>
      </c>
      <c r="G29" s="6">
        <v>16622.25</v>
      </c>
      <c r="H29" s="6">
        <v>7</v>
      </c>
      <c r="I29" s="6">
        <v>4654.2299999999996</v>
      </c>
      <c r="J29" s="6">
        <v>68</v>
      </c>
      <c r="K29" s="6">
        <v>45212.52</v>
      </c>
      <c r="L29" s="6"/>
      <c r="M29" s="6"/>
      <c r="N29" s="6">
        <f t="shared" si="1"/>
        <v>100</v>
      </c>
      <c r="O29" s="6">
        <f t="shared" si="2"/>
        <v>66489</v>
      </c>
      <c r="P29" s="6">
        <v>50</v>
      </c>
      <c r="Q29" s="6">
        <v>30297</v>
      </c>
      <c r="R29" s="6"/>
      <c r="S29" s="6"/>
    </row>
    <row r="30" spans="1:19" s="1" customFormat="1" ht="15" hidden="1" customHeight="1" outlineLevel="1" x14ac:dyDescent="0.25">
      <c r="A30" s="2" t="s">
        <v>211</v>
      </c>
      <c r="B30" s="2" t="s">
        <v>212</v>
      </c>
      <c r="C30" s="13">
        <v>154.97999999999999</v>
      </c>
      <c r="D30" s="6">
        <v>217.73</v>
      </c>
      <c r="E30" s="6">
        <v>100</v>
      </c>
      <c r="F30" s="6"/>
      <c r="G30" s="6"/>
      <c r="H30" s="6">
        <v>65</v>
      </c>
      <c r="I30" s="6">
        <v>10073.700000000001</v>
      </c>
      <c r="J30" s="6">
        <v>6407</v>
      </c>
      <c r="K30" s="6">
        <v>992956.86</v>
      </c>
      <c r="L30" s="6"/>
      <c r="M30" s="6"/>
      <c r="N30" s="6">
        <f t="shared" si="1"/>
        <v>6472</v>
      </c>
      <c r="O30" s="6">
        <f t="shared" si="2"/>
        <v>1003030.5599999999</v>
      </c>
      <c r="P30" s="6">
        <v>116</v>
      </c>
      <c r="Q30" s="6">
        <v>18780</v>
      </c>
      <c r="R30" s="6">
        <f t="shared" si="5"/>
        <v>1110.2563266430898</v>
      </c>
      <c r="S30" s="6">
        <f t="shared" si="6"/>
        <v>172067.52550314605</v>
      </c>
    </row>
    <row r="31" spans="1:19" s="1" customFormat="1" ht="15" hidden="1" customHeight="1" outlineLevel="1" x14ac:dyDescent="0.25">
      <c r="A31" s="2" t="s">
        <v>163</v>
      </c>
      <c r="B31" s="2" t="s">
        <v>164</v>
      </c>
      <c r="C31" s="13">
        <v>1399.01</v>
      </c>
      <c r="D31" s="6">
        <v>89.67</v>
      </c>
      <c r="E31" s="6">
        <v>39.78</v>
      </c>
      <c r="F31" s="6"/>
      <c r="G31" s="6"/>
      <c r="H31" s="6">
        <v>8</v>
      </c>
      <c r="I31" s="6">
        <v>11192.08</v>
      </c>
      <c r="J31" s="6">
        <v>142</v>
      </c>
      <c r="K31" s="6">
        <v>198659.42</v>
      </c>
      <c r="L31" s="6"/>
      <c r="M31" s="6"/>
      <c r="N31" s="6">
        <f t="shared" si="1"/>
        <v>150</v>
      </c>
      <c r="O31" s="6">
        <f t="shared" si="2"/>
        <v>209851.5</v>
      </c>
      <c r="P31" s="6">
        <v>2</v>
      </c>
      <c r="Q31" s="6">
        <v>3085</v>
      </c>
      <c r="R31" s="6"/>
      <c r="S31" s="6"/>
    </row>
    <row r="32" spans="1:19" s="1" customFormat="1" ht="15" hidden="1" customHeight="1" outlineLevel="1" x14ac:dyDescent="0.25">
      <c r="A32" s="2" t="s">
        <v>151</v>
      </c>
      <c r="B32" s="2" t="s">
        <v>152</v>
      </c>
      <c r="C32" s="13">
        <v>1112.43</v>
      </c>
      <c r="D32" s="6"/>
      <c r="E32" s="6">
        <v>5.38</v>
      </c>
      <c r="F32" s="6">
        <v>30</v>
      </c>
      <c r="G32" s="6">
        <v>33372.9</v>
      </c>
      <c r="H32" s="6">
        <v>25</v>
      </c>
      <c r="I32" s="6">
        <v>27810.75</v>
      </c>
      <c r="J32" s="6">
        <v>95</v>
      </c>
      <c r="K32" s="6">
        <v>105680.85</v>
      </c>
      <c r="L32" s="6"/>
      <c r="M32" s="6"/>
      <c r="N32" s="6">
        <f t="shared" si="1"/>
        <v>150</v>
      </c>
      <c r="O32" s="6">
        <f t="shared" si="2"/>
        <v>166864.5</v>
      </c>
      <c r="P32" s="6"/>
      <c r="Q32" s="6"/>
      <c r="R32" s="6"/>
      <c r="S32" s="6"/>
    </row>
    <row r="33" spans="1:19" s="1" customFormat="1" ht="15" hidden="1" customHeight="1" outlineLevel="1" x14ac:dyDescent="0.25">
      <c r="A33" s="2" t="s">
        <v>101</v>
      </c>
      <c r="B33" s="2" t="s">
        <v>102</v>
      </c>
      <c r="C33" s="13">
        <v>128.13999999999999</v>
      </c>
      <c r="D33" s="6">
        <v>1550.74</v>
      </c>
      <c r="E33" s="6">
        <v>100</v>
      </c>
      <c r="F33" s="6"/>
      <c r="G33" s="6"/>
      <c r="H33" s="6">
        <v>30</v>
      </c>
      <c r="I33" s="6">
        <v>3844.2</v>
      </c>
      <c r="J33" s="6">
        <v>2744</v>
      </c>
      <c r="K33" s="6">
        <v>351616.16</v>
      </c>
      <c r="L33" s="6">
        <v>4000</v>
      </c>
      <c r="M33" s="6">
        <v>512560</v>
      </c>
      <c r="N33" s="6">
        <f t="shared" si="1"/>
        <v>6774</v>
      </c>
      <c r="O33" s="6">
        <f t="shared" si="2"/>
        <v>868020.35999999987</v>
      </c>
      <c r="P33" s="6">
        <v>47</v>
      </c>
      <c r="Q33" s="6">
        <v>6303</v>
      </c>
      <c r="R33" s="6">
        <f t="shared" si="5"/>
        <v>2425.4939964146151</v>
      </c>
      <c r="S33" s="6">
        <f t="shared" si="6"/>
        <v>310802.80070056877</v>
      </c>
    </row>
    <row r="34" spans="1:19" s="1" customFormat="1" ht="15" hidden="1" customHeight="1" outlineLevel="1" x14ac:dyDescent="0.25">
      <c r="A34" s="2" t="s">
        <v>335</v>
      </c>
      <c r="B34" s="2" t="s">
        <v>336</v>
      </c>
      <c r="C34" s="13">
        <v>562.51</v>
      </c>
      <c r="D34" s="6">
        <v>100.5</v>
      </c>
      <c r="E34" s="6">
        <v>100</v>
      </c>
      <c r="F34" s="6">
        <v>16</v>
      </c>
      <c r="G34" s="6">
        <v>9000.16</v>
      </c>
      <c r="H34" s="6">
        <v>138</v>
      </c>
      <c r="I34" s="6">
        <v>77626.38</v>
      </c>
      <c r="J34" s="6">
        <v>1359</v>
      </c>
      <c r="K34" s="6">
        <v>764451.09</v>
      </c>
      <c r="L34" s="6"/>
      <c r="M34" s="6"/>
      <c r="N34" s="6">
        <f t="shared" si="1"/>
        <v>1513</v>
      </c>
      <c r="O34" s="6">
        <f t="shared" si="2"/>
        <v>851077.63</v>
      </c>
      <c r="P34" s="6">
        <v>95</v>
      </c>
      <c r="Q34" s="6">
        <v>54801</v>
      </c>
      <c r="R34" s="6"/>
      <c r="S34" s="6"/>
    </row>
    <row r="35" spans="1:19" s="1" customFormat="1" ht="15" hidden="1" customHeight="1" outlineLevel="1" x14ac:dyDescent="0.25">
      <c r="A35" s="2" t="s">
        <v>245</v>
      </c>
      <c r="B35" s="2" t="s">
        <v>246</v>
      </c>
      <c r="C35" s="13">
        <v>116.58</v>
      </c>
      <c r="D35" s="6">
        <v>98.04</v>
      </c>
      <c r="E35" s="6">
        <v>100</v>
      </c>
      <c r="F35" s="6"/>
      <c r="G35" s="6"/>
      <c r="H35" s="6">
        <v>7</v>
      </c>
      <c r="I35" s="6">
        <v>816.06</v>
      </c>
      <c r="J35" s="6">
        <v>22200</v>
      </c>
      <c r="K35" s="6">
        <v>2588076</v>
      </c>
      <c r="L35" s="6"/>
      <c r="M35" s="6"/>
      <c r="N35" s="6">
        <f t="shared" si="1"/>
        <v>22207</v>
      </c>
      <c r="O35" s="6">
        <f t="shared" si="2"/>
        <v>2588892.06</v>
      </c>
      <c r="P35" s="6">
        <v>269</v>
      </c>
      <c r="Q35" s="6">
        <v>32494</v>
      </c>
      <c r="R35" s="6"/>
      <c r="S35" s="6"/>
    </row>
    <row r="36" spans="1:19" s="1" customFormat="1" ht="15" hidden="1" customHeight="1" outlineLevel="1" x14ac:dyDescent="0.25">
      <c r="A36" s="2" t="s">
        <v>133</v>
      </c>
      <c r="B36" s="2" t="s">
        <v>134</v>
      </c>
      <c r="C36" s="13">
        <v>381.9</v>
      </c>
      <c r="D36" s="6">
        <v>85.7</v>
      </c>
      <c r="E36" s="6">
        <v>100</v>
      </c>
      <c r="F36" s="6"/>
      <c r="G36" s="6"/>
      <c r="H36" s="6">
        <v>38</v>
      </c>
      <c r="I36" s="6">
        <v>14512.2</v>
      </c>
      <c r="J36" s="6">
        <v>413</v>
      </c>
      <c r="K36" s="6">
        <v>157724.70000000001</v>
      </c>
      <c r="L36" s="6"/>
      <c r="M36" s="6"/>
      <c r="N36" s="6">
        <f t="shared" si="1"/>
        <v>451</v>
      </c>
      <c r="O36" s="6">
        <f t="shared" si="2"/>
        <v>172236.9</v>
      </c>
      <c r="P36" s="6">
        <v>109</v>
      </c>
      <c r="Q36" s="6">
        <v>39485</v>
      </c>
      <c r="R36" s="6"/>
      <c r="S36" s="6"/>
    </row>
    <row r="37" spans="1:19" s="1" customFormat="1" ht="15" hidden="1" customHeight="1" outlineLevel="1" x14ac:dyDescent="0.25">
      <c r="A37" s="2" t="s">
        <v>67</v>
      </c>
      <c r="B37" s="2" t="s">
        <v>68</v>
      </c>
      <c r="C37" s="13">
        <v>810.47</v>
      </c>
      <c r="D37" s="6">
        <v>14005.56</v>
      </c>
      <c r="E37" s="6">
        <v>100</v>
      </c>
      <c r="F37" s="6"/>
      <c r="G37" s="6"/>
      <c r="H37" s="6">
        <v>1</v>
      </c>
      <c r="I37" s="6">
        <v>810.47</v>
      </c>
      <c r="J37" s="6">
        <v>1352</v>
      </c>
      <c r="K37" s="6">
        <v>1095755.44</v>
      </c>
      <c r="L37" s="6">
        <v>330</v>
      </c>
      <c r="M37" s="6">
        <v>267455.09999999998</v>
      </c>
      <c r="N37" s="6">
        <f t="shared" si="1"/>
        <v>1683</v>
      </c>
      <c r="O37" s="6">
        <f t="shared" si="2"/>
        <v>1364021.01</v>
      </c>
      <c r="P37" s="6">
        <v>2</v>
      </c>
      <c r="Q37" s="6">
        <v>1711</v>
      </c>
      <c r="R37" s="6">
        <f t="shared" si="5"/>
        <v>1334.6240435941154</v>
      </c>
      <c r="S37" s="6">
        <f t="shared" si="6"/>
        <v>1081672.7486117228</v>
      </c>
    </row>
    <row r="38" spans="1:19" s="1" customFormat="1" ht="15" hidden="1" customHeight="1" outlineLevel="1" x14ac:dyDescent="0.25">
      <c r="A38" s="2" t="s">
        <v>540</v>
      </c>
      <c r="B38" s="2" t="s">
        <v>541</v>
      </c>
      <c r="C38" s="13">
        <v>988.38</v>
      </c>
      <c r="D38" s="6">
        <v>725.69</v>
      </c>
      <c r="E38" s="6">
        <v>100</v>
      </c>
      <c r="F38" s="6"/>
      <c r="G38" s="6"/>
      <c r="H38" s="6"/>
      <c r="I38" s="6"/>
      <c r="J38" s="6">
        <v>85</v>
      </c>
      <c r="K38" s="6">
        <v>84012.3</v>
      </c>
      <c r="L38" s="6">
        <v>490</v>
      </c>
      <c r="M38" s="6">
        <v>484306.2</v>
      </c>
      <c r="N38" s="6">
        <f t="shared" si="1"/>
        <v>575</v>
      </c>
      <c r="O38" s="6">
        <f t="shared" si="2"/>
        <v>568318.5</v>
      </c>
      <c r="P38" s="6">
        <v>5</v>
      </c>
      <c r="Q38" s="6">
        <v>5424</v>
      </c>
      <c r="R38" s="6">
        <f t="shared" si="5"/>
        <v>63.916617288373821</v>
      </c>
      <c r="S38" s="6">
        <f t="shared" si="6"/>
        <v>63173.906195482916</v>
      </c>
    </row>
    <row r="39" spans="1:19" s="1" customFormat="1" ht="15" hidden="1" customHeight="1" outlineLevel="1" x14ac:dyDescent="0.25">
      <c r="A39" s="2" t="s">
        <v>59</v>
      </c>
      <c r="B39" s="2" t="s">
        <v>60</v>
      </c>
      <c r="C39" s="13">
        <v>91.92</v>
      </c>
      <c r="D39" s="6">
        <v>124.3</v>
      </c>
      <c r="E39" s="6">
        <v>100</v>
      </c>
      <c r="F39" s="6">
        <v>20</v>
      </c>
      <c r="G39" s="6">
        <v>1838.4</v>
      </c>
      <c r="H39" s="6">
        <v>14</v>
      </c>
      <c r="I39" s="6">
        <v>1286.8800000000001</v>
      </c>
      <c r="J39" s="6">
        <v>617</v>
      </c>
      <c r="K39" s="6">
        <v>56714.64</v>
      </c>
      <c r="L39" s="6">
        <v>5700</v>
      </c>
      <c r="M39" s="6">
        <v>523944</v>
      </c>
      <c r="N39" s="6">
        <f t="shared" si="1"/>
        <v>6351</v>
      </c>
      <c r="O39" s="6">
        <f t="shared" si="2"/>
        <v>583783.92000000004</v>
      </c>
      <c r="P39" s="6">
        <v>142</v>
      </c>
      <c r="Q39" s="6">
        <v>13709</v>
      </c>
      <c r="R39" s="6"/>
      <c r="S39" s="6"/>
    </row>
    <row r="40" spans="1:19" s="1" customFormat="1" ht="15" hidden="1" customHeight="1" outlineLevel="1" x14ac:dyDescent="0.25">
      <c r="A40" s="2" t="s">
        <v>221</v>
      </c>
      <c r="B40" s="2" t="s">
        <v>222</v>
      </c>
      <c r="C40" s="13">
        <v>532.74</v>
      </c>
      <c r="D40" s="6">
        <v>97.62</v>
      </c>
      <c r="E40" s="6">
        <v>100</v>
      </c>
      <c r="F40" s="6"/>
      <c r="G40" s="6"/>
      <c r="H40" s="6">
        <v>1</v>
      </c>
      <c r="I40" s="6">
        <v>532.74</v>
      </c>
      <c r="J40" s="6">
        <v>193</v>
      </c>
      <c r="K40" s="6">
        <v>102818.82</v>
      </c>
      <c r="L40" s="6">
        <v>240</v>
      </c>
      <c r="M40" s="6">
        <v>127857.60000000001</v>
      </c>
      <c r="N40" s="6">
        <f t="shared" si="1"/>
        <v>434</v>
      </c>
      <c r="O40" s="6">
        <f t="shared" si="2"/>
        <v>231209.16</v>
      </c>
      <c r="P40" s="6">
        <v>131</v>
      </c>
      <c r="Q40" s="6">
        <v>71206</v>
      </c>
      <c r="R40" s="6"/>
      <c r="S40" s="6"/>
    </row>
    <row r="41" spans="1:19" s="1" customFormat="1" ht="15" hidden="1" customHeight="1" outlineLevel="1" x14ac:dyDescent="0.25">
      <c r="A41" s="2" t="s">
        <v>311</v>
      </c>
      <c r="B41" s="2" t="s">
        <v>312</v>
      </c>
      <c r="C41" s="13">
        <v>137.38999999999999</v>
      </c>
      <c r="D41" s="6"/>
      <c r="E41" s="6">
        <v>100</v>
      </c>
      <c r="F41" s="6"/>
      <c r="G41" s="6"/>
      <c r="H41" s="6">
        <v>1</v>
      </c>
      <c r="I41" s="6">
        <v>137.38999999999999</v>
      </c>
      <c r="J41" s="6">
        <v>11700</v>
      </c>
      <c r="K41" s="6">
        <v>1607463</v>
      </c>
      <c r="L41" s="6"/>
      <c r="M41" s="6"/>
      <c r="N41" s="6">
        <f t="shared" si="1"/>
        <v>11701</v>
      </c>
      <c r="O41" s="6">
        <f t="shared" si="2"/>
        <v>1607600.39</v>
      </c>
      <c r="P41" s="6"/>
      <c r="Q41" s="6"/>
      <c r="R41" s="6"/>
      <c r="S41" s="6"/>
    </row>
    <row r="42" spans="1:19" s="1" customFormat="1" ht="15" hidden="1" customHeight="1" outlineLevel="1" x14ac:dyDescent="0.25">
      <c r="A42" s="2" t="s">
        <v>61</v>
      </c>
      <c r="B42" s="2" t="s">
        <v>62</v>
      </c>
      <c r="C42" s="13">
        <v>133.44</v>
      </c>
      <c r="D42" s="6">
        <v>96.73</v>
      </c>
      <c r="E42" s="6">
        <v>43.01</v>
      </c>
      <c r="F42" s="6"/>
      <c r="G42" s="6"/>
      <c r="H42" s="6">
        <v>45</v>
      </c>
      <c r="I42" s="6">
        <v>6004.8</v>
      </c>
      <c r="J42" s="6">
        <v>379</v>
      </c>
      <c r="K42" s="6">
        <v>50573.760000000002</v>
      </c>
      <c r="L42" s="6">
        <v>6300</v>
      </c>
      <c r="M42" s="6">
        <v>840672</v>
      </c>
      <c r="N42" s="6">
        <f t="shared" si="1"/>
        <v>6724</v>
      </c>
      <c r="O42" s="6">
        <f t="shared" si="2"/>
        <v>897250.55999999994</v>
      </c>
      <c r="P42" s="6">
        <v>125</v>
      </c>
      <c r="Q42" s="6">
        <v>17378</v>
      </c>
      <c r="R42" s="6"/>
      <c r="S42" s="6"/>
    </row>
    <row r="43" spans="1:19" s="1" customFormat="1" ht="15" hidden="1" customHeight="1" outlineLevel="1" x14ac:dyDescent="0.25">
      <c r="A43" s="2" t="s">
        <v>253</v>
      </c>
      <c r="B43" s="2" t="s">
        <v>254</v>
      </c>
      <c r="C43" s="13">
        <v>366.69</v>
      </c>
      <c r="D43" s="6">
        <v>67.709999999999994</v>
      </c>
      <c r="E43" s="6">
        <v>100</v>
      </c>
      <c r="F43" s="6">
        <v>20</v>
      </c>
      <c r="G43" s="6">
        <v>7333.8</v>
      </c>
      <c r="H43" s="6">
        <v>30</v>
      </c>
      <c r="I43" s="6">
        <v>11000.7</v>
      </c>
      <c r="J43" s="6">
        <v>7626</v>
      </c>
      <c r="K43" s="6">
        <v>2796377.94</v>
      </c>
      <c r="L43" s="6"/>
      <c r="M43" s="6"/>
      <c r="N43" s="6">
        <f t="shared" si="1"/>
        <v>7676</v>
      </c>
      <c r="O43" s="6">
        <f t="shared" si="2"/>
        <v>2814712.44</v>
      </c>
      <c r="P43" s="6">
        <v>69</v>
      </c>
      <c r="Q43" s="6">
        <v>25269</v>
      </c>
      <c r="R43" s="6"/>
      <c r="S43" s="6"/>
    </row>
    <row r="44" spans="1:19" s="1" customFormat="1" ht="15" hidden="1" customHeight="1" outlineLevel="1" x14ac:dyDescent="0.25">
      <c r="A44" s="2" t="s">
        <v>131</v>
      </c>
      <c r="B44" s="2" t="s">
        <v>132</v>
      </c>
      <c r="C44" s="13">
        <v>306.41000000000003</v>
      </c>
      <c r="D44" s="6">
        <v>31.52</v>
      </c>
      <c r="E44" s="6">
        <v>40.86</v>
      </c>
      <c r="F44" s="6">
        <v>30</v>
      </c>
      <c r="G44" s="6">
        <v>9192.2999999999993</v>
      </c>
      <c r="H44" s="6">
        <v>54</v>
      </c>
      <c r="I44" s="6">
        <v>16546.14</v>
      </c>
      <c r="J44" s="6">
        <v>416</v>
      </c>
      <c r="K44" s="6">
        <v>127466.56</v>
      </c>
      <c r="L44" s="6"/>
      <c r="M44" s="6"/>
      <c r="N44" s="6">
        <f t="shared" si="1"/>
        <v>500</v>
      </c>
      <c r="O44" s="6">
        <f t="shared" si="2"/>
        <v>153205</v>
      </c>
      <c r="P44" s="6">
        <v>37</v>
      </c>
      <c r="Q44" s="6">
        <v>10739</v>
      </c>
      <c r="R44" s="6"/>
      <c r="S44" s="6"/>
    </row>
    <row r="45" spans="1:19" s="1" customFormat="1" ht="15" hidden="1" customHeight="1" outlineLevel="1" x14ac:dyDescent="0.25">
      <c r="A45" s="2" t="s">
        <v>283</v>
      </c>
      <c r="B45" s="2" t="s">
        <v>284</v>
      </c>
      <c r="C45" s="13">
        <v>513.83000000000004</v>
      </c>
      <c r="D45" s="6">
        <v>18.88</v>
      </c>
      <c r="E45" s="6">
        <v>39.78</v>
      </c>
      <c r="F45" s="6"/>
      <c r="G45" s="6"/>
      <c r="H45" s="6"/>
      <c r="I45" s="6"/>
      <c r="J45" s="6">
        <v>3400</v>
      </c>
      <c r="K45" s="6">
        <v>1747022</v>
      </c>
      <c r="L45" s="6"/>
      <c r="M45" s="6"/>
      <c r="N45" s="6">
        <f t="shared" si="1"/>
        <v>3400</v>
      </c>
      <c r="O45" s="6">
        <f t="shared" si="2"/>
        <v>1747022.0000000002</v>
      </c>
      <c r="P45" s="6">
        <v>22</v>
      </c>
      <c r="Q45" s="6">
        <v>8976</v>
      </c>
      <c r="R45" s="6"/>
      <c r="S45" s="6"/>
    </row>
    <row r="46" spans="1:19" s="1" customFormat="1" ht="15" hidden="1" customHeight="1" outlineLevel="1" x14ac:dyDescent="0.25">
      <c r="A46" s="2" t="s">
        <v>11</v>
      </c>
      <c r="B46" s="2" t="s">
        <v>12</v>
      </c>
      <c r="C46" s="13">
        <v>461.97</v>
      </c>
      <c r="D46" s="6"/>
      <c r="E46" s="6">
        <v>100</v>
      </c>
      <c r="F46" s="6"/>
      <c r="G46" s="6"/>
      <c r="H46" s="6">
        <v>1</v>
      </c>
      <c r="I46" s="6">
        <v>461.97</v>
      </c>
      <c r="J46" s="6">
        <v>2400</v>
      </c>
      <c r="K46" s="6">
        <v>1108728</v>
      </c>
      <c r="L46" s="6"/>
      <c r="M46" s="6"/>
      <c r="N46" s="6">
        <f t="shared" si="1"/>
        <v>2401</v>
      </c>
      <c r="O46" s="6">
        <f t="shared" si="2"/>
        <v>1109189.97</v>
      </c>
      <c r="P46" s="6"/>
      <c r="Q46" s="6"/>
      <c r="R46" s="6"/>
      <c r="S46" s="6"/>
    </row>
    <row r="47" spans="1:19" s="1" customFormat="1" ht="15" hidden="1" customHeight="1" outlineLevel="1" x14ac:dyDescent="0.25">
      <c r="A47" s="2" t="s">
        <v>35</v>
      </c>
      <c r="B47" s="2" t="s">
        <v>36</v>
      </c>
      <c r="C47" s="13">
        <v>69</v>
      </c>
      <c r="D47" s="6">
        <v>103.73</v>
      </c>
      <c r="E47" s="6">
        <v>100</v>
      </c>
      <c r="F47" s="6"/>
      <c r="G47" s="6"/>
      <c r="H47" s="6">
        <v>35</v>
      </c>
      <c r="I47" s="6">
        <v>2415</v>
      </c>
      <c r="J47" s="6">
        <v>409</v>
      </c>
      <c r="K47" s="6">
        <v>28221</v>
      </c>
      <c r="L47" s="6">
        <v>2000</v>
      </c>
      <c r="M47" s="6">
        <v>138000</v>
      </c>
      <c r="N47" s="6">
        <f t="shared" si="1"/>
        <v>2444</v>
      </c>
      <c r="O47" s="6">
        <f t="shared" si="2"/>
        <v>168636</v>
      </c>
      <c r="P47" s="6">
        <v>243</v>
      </c>
      <c r="Q47" s="6">
        <v>17438</v>
      </c>
      <c r="R47" s="6"/>
      <c r="S47" s="6"/>
    </row>
    <row r="48" spans="1:19" s="1" customFormat="1" ht="15" hidden="1" customHeight="1" outlineLevel="1" x14ac:dyDescent="0.25">
      <c r="A48" s="2" t="s">
        <v>1317</v>
      </c>
      <c r="B48" s="2" t="s">
        <v>1318</v>
      </c>
      <c r="C48" s="13">
        <v>701.75</v>
      </c>
      <c r="D48" s="6">
        <v>5262</v>
      </c>
      <c r="E48" s="6">
        <v>100</v>
      </c>
      <c r="F48" s="6"/>
      <c r="G48" s="6"/>
      <c r="H48" s="6"/>
      <c r="I48" s="6"/>
      <c r="J48" s="6">
        <v>560</v>
      </c>
      <c r="K48" s="6">
        <v>392980</v>
      </c>
      <c r="L48" s="6"/>
      <c r="M48" s="6"/>
      <c r="N48" s="6">
        <f t="shared" si="1"/>
        <v>560</v>
      </c>
      <c r="O48" s="6">
        <f t="shared" si="2"/>
        <v>392980</v>
      </c>
      <c r="P48" s="6"/>
      <c r="Q48" s="6"/>
      <c r="R48" s="6">
        <f t="shared" si="5"/>
        <v>540.84378563283917</v>
      </c>
      <c r="S48" s="6">
        <f t="shared" si="6"/>
        <v>379537.12656784488</v>
      </c>
    </row>
    <row r="49" spans="1:19" s="1" customFormat="1" ht="15" hidden="1" customHeight="1" outlineLevel="1" x14ac:dyDescent="0.25">
      <c r="A49" s="2" t="s">
        <v>602</v>
      </c>
      <c r="B49" s="2" t="s">
        <v>603</v>
      </c>
      <c r="C49" s="13">
        <v>328.79</v>
      </c>
      <c r="D49" s="6">
        <v>1986.79</v>
      </c>
      <c r="E49" s="6">
        <v>100</v>
      </c>
      <c r="F49" s="6"/>
      <c r="G49" s="6"/>
      <c r="H49" s="6">
        <v>5</v>
      </c>
      <c r="I49" s="6">
        <v>1643.95</v>
      </c>
      <c r="J49" s="6">
        <v>468</v>
      </c>
      <c r="K49" s="6">
        <v>153873.72</v>
      </c>
      <c r="L49" s="6">
        <v>1100</v>
      </c>
      <c r="M49" s="6">
        <v>361669</v>
      </c>
      <c r="N49" s="6">
        <f t="shared" si="1"/>
        <v>1573</v>
      </c>
      <c r="O49" s="6">
        <f t="shared" si="2"/>
        <v>517186.67000000004</v>
      </c>
      <c r="P49" s="6">
        <v>5</v>
      </c>
      <c r="Q49" s="6">
        <v>1669</v>
      </c>
      <c r="R49" s="6">
        <f t="shared" si="5"/>
        <v>425.59994765425637</v>
      </c>
      <c r="S49" s="6">
        <f t="shared" si="6"/>
        <v>139933.00678924297</v>
      </c>
    </row>
    <row r="50" spans="1:19" s="1" customFormat="1" ht="15" hidden="1" customHeight="1" outlineLevel="1" x14ac:dyDescent="0.25">
      <c r="A50" s="2" t="s">
        <v>117</v>
      </c>
      <c r="B50" s="2" t="s">
        <v>118</v>
      </c>
      <c r="C50" s="13">
        <v>533.70000000000005</v>
      </c>
      <c r="D50" s="6">
        <v>59.63</v>
      </c>
      <c r="E50" s="6">
        <v>66.67</v>
      </c>
      <c r="F50" s="6">
        <v>34</v>
      </c>
      <c r="G50" s="6">
        <v>18145.8</v>
      </c>
      <c r="H50" s="6">
        <v>2</v>
      </c>
      <c r="I50" s="6">
        <v>1067.4000000000001</v>
      </c>
      <c r="J50" s="6">
        <v>500</v>
      </c>
      <c r="K50" s="6">
        <v>266850</v>
      </c>
      <c r="L50" s="6"/>
      <c r="M50" s="6"/>
      <c r="N50" s="6">
        <f t="shared" si="1"/>
        <v>536</v>
      </c>
      <c r="O50" s="6">
        <f t="shared" si="2"/>
        <v>286063.2</v>
      </c>
      <c r="P50" s="6">
        <v>89</v>
      </c>
      <c r="Q50" s="6">
        <v>49070</v>
      </c>
      <c r="R50" s="6"/>
      <c r="S50" s="6"/>
    </row>
    <row r="51" spans="1:19" s="1" customFormat="1" ht="15" hidden="1" customHeight="1" outlineLevel="1" x14ac:dyDescent="0.25">
      <c r="A51" s="2" t="s">
        <v>251</v>
      </c>
      <c r="B51" s="2" t="s">
        <v>252</v>
      </c>
      <c r="C51" s="13">
        <v>114.25</v>
      </c>
      <c r="D51" s="6">
        <v>131.18</v>
      </c>
      <c r="E51" s="6">
        <v>100</v>
      </c>
      <c r="F51" s="6">
        <v>20</v>
      </c>
      <c r="G51" s="6">
        <v>2285</v>
      </c>
      <c r="H51" s="6">
        <v>29</v>
      </c>
      <c r="I51" s="6">
        <v>3313.25</v>
      </c>
      <c r="J51" s="6">
        <v>9458</v>
      </c>
      <c r="K51" s="6">
        <v>1080576.5</v>
      </c>
      <c r="L51" s="6"/>
      <c r="M51" s="6"/>
      <c r="N51" s="6">
        <f t="shared" si="1"/>
        <v>9507</v>
      </c>
      <c r="O51" s="6">
        <f t="shared" si="2"/>
        <v>1086174.75</v>
      </c>
      <c r="P51" s="6">
        <v>206</v>
      </c>
      <c r="Q51" s="6">
        <v>24546</v>
      </c>
      <c r="R51" s="6"/>
      <c r="S51" s="6"/>
    </row>
    <row r="52" spans="1:19" s="1" customFormat="1" ht="15" hidden="1" customHeight="1" outlineLevel="1" x14ac:dyDescent="0.25">
      <c r="A52" s="2" t="s">
        <v>347</v>
      </c>
      <c r="B52" s="2" t="s">
        <v>348</v>
      </c>
      <c r="C52" s="13">
        <v>271.45</v>
      </c>
      <c r="D52" s="6">
        <v>207.37</v>
      </c>
      <c r="E52" s="6">
        <v>38.71</v>
      </c>
      <c r="F52" s="6"/>
      <c r="G52" s="6"/>
      <c r="H52" s="6">
        <v>166</v>
      </c>
      <c r="I52" s="6">
        <v>45060.7</v>
      </c>
      <c r="J52" s="6">
        <v>0</v>
      </c>
      <c r="K52" s="6">
        <v>0</v>
      </c>
      <c r="L52" s="6">
        <v>720</v>
      </c>
      <c r="M52" s="6">
        <v>195444</v>
      </c>
      <c r="N52" s="6">
        <f t="shared" si="1"/>
        <v>886</v>
      </c>
      <c r="O52" s="6">
        <f t="shared" si="2"/>
        <v>240504.69999999998</v>
      </c>
      <c r="P52" s="6">
        <v>18</v>
      </c>
      <c r="Q52" s="6">
        <v>5061</v>
      </c>
      <c r="R52" s="6"/>
      <c r="S52" s="6"/>
    </row>
    <row r="53" spans="1:19" s="1" customFormat="1" ht="15" hidden="1" customHeight="1" outlineLevel="1" x14ac:dyDescent="0.25">
      <c r="A53" s="2" t="s">
        <v>403</v>
      </c>
      <c r="B53" s="2" t="s">
        <v>404</v>
      </c>
      <c r="C53" s="13">
        <v>101.22</v>
      </c>
      <c r="D53" s="6">
        <v>626.86</v>
      </c>
      <c r="E53" s="6">
        <v>100</v>
      </c>
      <c r="F53" s="6"/>
      <c r="G53" s="6"/>
      <c r="H53" s="6">
        <v>11</v>
      </c>
      <c r="I53" s="6">
        <v>1113.42</v>
      </c>
      <c r="J53" s="6">
        <v>3653</v>
      </c>
      <c r="K53" s="6">
        <v>369756.66</v>
      </c>
      <c r="L53" s="6"/>
      <c r="M53" s="6"/>
      <c r="N53" s="6">
        <f t="shared" si="1"/>
        <v>3664</v>
      </c>
      <c r="O53" s="6">
        <f t="shared" si="2"/>
        <v>370870.08</v>
      </c>
      <c r="P53" s="6">
        <v>191</v>
      </c>
      <c r="Q53" s="6">
        <v>20185</v>
      </c>
      <c r="R53" s="6">
        <f t="shared" si="5"/>
        <v>2604.0576524263788</v>
      </c>
      <c r="S53" s="6">
        <f t="shared" si="6"/>
        <v>263582.71557859809</v>
      </c>
    </row>
    <row r="54" spans="1:19" s="1" customFormat="1" ht="15" hidden="1" customHeight="1" outlineLevel="1" x14ac:dyDescent="0.25">
      <c r="A54" s="2" t="s">
        <v>161</v>
      </c>
      <c r="B54" s="2" t="s">
        <v>162</v>
      </c>
      <c r="C54" s="13">
        <v>1101.4000000000001</v>
      </c>
      <c r="D54" s="6">
        <v>627.5</v>
      </c>
      <c r="E54" s="6">
        <v>100</v>
      </c>
      <c r="F54" s="6"/>
      <c r="G54" s="6"/>
      <c r="H54" s="6">
        <v>3</v>
      </c>
      <c r="I54" s="6">
        <v>3304.2</v>
      </c>
      <c r="J54" s="6">
        <v>202</v>
      </c>
      <c r="K54" s="6">
        <v>222482.8</v>
      </c>
      <c r="L54" s="6"/>
      <c r="M54" s="6"/>
      <c r="N54" s="6">
        <f t="shared" si="1"/>
        <v>205</v>
      </c>
      <c r="O54" s="6">
        <f t="shared" si="2"/>
        <v>225787.00000000003</v>
      </c>
      <c r="P54" s="6">
        <v>1</v>
      </c>
      <c r="Q54" s="6">
        <v>1172</v>
      </c>
      <c r="R54" s="6">
        <f t="shared" si="5"/>
        <v>144.05577689243029</v>
      </c>
      <c r="S54" s="6">
        <f t="shared" si="6"/>
        <v>158663.03266932274</v>
      </c>
    </row>
    <row r="55" spans="1:19" s="1" customFormat="1" ht="15" hidden="1" customHeight="1" outlineLevel="1" x14ac:dyDescent="0.25">
      <c r="A55" s="2" t="s">
        <v>201</v>
      </c>
      <c r="B55" s="2" t="s">
        <v>202</v>
      </c>
      <c r="C55" s="13">
        <v>116.63</v>
      </c>
      <c r="D55" s="6">
        <v>61.11</v>
      </c>
      <c r="E55" s="6">
        <v>46.24</v>
      </c>
      <c r="F55" s="6">
        <v>60</v>
      </c>
      <c r="G55" s="6">
        <v>6997.8</v>
      </c>
      <c r="H55" s="6">
        <v>102</v>
      </c>
      <c r="I55" s="6">
        <v>11896.26</v>
      </c>
      <c r="J55" s="6">
        <v>636</v>
      </c>
      <c r="K55" s="6">
        <v>74176.679999999993</v>
      </c>
      <c r="L55" s="6">
        <v>3600</v>
      </c>
      <c r="M55" s="6">
        <v>419868</v>
      </c>
      <c r="N55" s="6">
        <f t="shared" si="1"/>
        <v>4398</v>
      </c>
      <c r="O55" s="6">
        <f t="shared" si="2"/>
        <v>512938.74</v>
      </c>
      <c r="P55" s="6">
        <v>134</v>
      </c>
      <c r="Q55" s="6">
        <v>16210</v>
      </c>
      <c r="R55" s="6"/>
      <c r="S55" s="6"/>
    </row>
    <row r="56" spans="1:19" s="1" customFormat="1" ht="15" hidden="1" customHeight="1" outlineLevel="1" x14ac:dyDescent="0.25">
      <c r="A56" s="2" t="s">
        <v>33</v>
      </c>
      <c r="B56" s="2" t="s">
        <v>34</v>
      </c>
      <c r="C56" s="13">
        <v>59.21</v>
      </c>
      <c r="D56" s="6">
        <v>49.76</v>
      </c>
      <c r="E56" s="6">
        <v>100</v>
      </c>
      <c r="F56" s="6"/>
      <c r="G56" s="6"/>
      <c r="H56" s="6">
        <v>16</v>
      </c>
      <c r="I56" s="6">
        <v>947.36</v>
      </c>
      <c r="J56" s="6">
        <v>50</v>
      </c>
      <c r="K56" s="6">
        <v>2960.5</v>
      </c>
      <c r="L56" s="6">
        <v>7500</v>
      </c>
      <c r="M56" s="6">
        <v>444075</v>
      </c>
      <c r="N56" s="6">
        <f t="shared" si="1"/>
        <v>7566</v>
      </c>
      <c r="O56" s="6">
        <f t="shared" si="2"/>
        <v>447982.86</v>
      </c>
      <c r="P56" s="6">
        <v>344</v>
      </c>
      <c r="Q56" s="6">
        <v>21256</v>
      </c>
      <c r="R56" s="6"/>
      <c r="S56" s="6"/>
    </row>
    <row r="57" spans="1:19" s="1" customFormat="1" ht="15" hidden="1" customHeight="1" outlineLevel="1" x14ac:dyDescent="0.25">
      <c r="A57" s="2" t="s">
        <v>219</v>
      </c>
      <c r="B57" s="2" t="s">
        <v>220</v>
      </c>
      <c r="C57" s="13">
        <v>516.42999999999995</v>
      </c>
      <c r="D57" s="6"/>
      <c r="E57" s="6"/>
      <c r="F57" s="6"/>
      <c r="G57" s="6"/>
      <c r="H57" s="6"/>
      <c r="I57" s="6"/>
      <c r="J57" s="6"/>
      <c r="K57" s="6"/>
      <c r="L57" s="6">
        <v>1520</v>
      </c>
      <c r="M57" s="6">
        <v>784973.6</v>
      </c>
      <c r="N57" s="6">
        <f t="shared" si="1"/>
        <v>1520</v>
      </c>
      <c r="O57" s="6">
        <f t="shared" si="2"/>
        <v>784973.6</v>
      </c>
      <c r="P57" s="6"/>
      <c r="Q57" s="6"/>
      <c r="R57" s="6"/>
      <c r="S57" s="6"/>
    </row>
    <row r="58" spans="1:19" s="1" customFormat="1" ht="15" hidden="1" customHeight="1" outlineLevel="1" x14ac:dyDescent="0.25">
      <c r="A58" s="2" t="s">
        <v>329</v>
      </c>
      <c r="B58" s="2" t="s">
        <v>330</v>
      </c>
      <c r="C58" s="13">
        <v>138.37</v>
      </c>
      <c r="D58" s="6">
        <v>235.06</v>
      </c>
      <c r="E58" s="6">
        <v>29.03</v>
      </c>
      <c r="F58" s="6">
        <v>90</v>
      </c>
      <c r="G58" s="6">
        <v>12453.3</v>
      </c>
      <c r="H58" s="6">
        <v>300</v>
      </c>
      <c r="I58" s="6">
        <v>41511</v>
      </c>
      <c r="J58" s="6">
        <v>6180</v>
      </c>
      <c r="K58" s="6">
        <v>855126.6</v>
      </c>
      <c r="L58" s="6"/>
      <c r="M58" s="6"/>
      <c r="N58" s="6">
        <f t="shared" si="1"/>
        <v>6570</v>
      </c>
      <c r="O58" s="6">
        <f t="shared" si="2"/>
        <v>909090.9</v>
      </c>
      <c r="P58" s="6">
        <v>70</v>
      </c>
      <c r="Q58" s="6">
        <v>10021</v>
      </c>
      <c r="R58" s="6">
        <f t="shared" si="5"/>
        <v>1447.5912532970306</v>
      </c>
      <c r="S58" s="6">
        <f t="shared" si="6"/>
        <v>200303.20171871013</v>
      </c>
    </row>
    <row r="59" spans="1:19" s="1" customFormat="1" ht="15" hidden="1" customHeight="1" outlineLevel="1" x14ac:dyDescent="0.25">
      <c r="A59" s="2" t="s">
        <v>333</v>
      </c>
      <c r="B59" s="2" t="s">
        <v>334</v>
      </c>
      <c r="C59" s="13">
        <v>136.13999999999999</v>
      </c>
      <c r="D59" s="6">
        <v>82.98</v>
      </c>
      <c r="E59" s="6">
        <v>29.03</v>
      </c>
      <c r="F59" s="6"/>
      <c r="G59" s="6"/>
      <c r="H59" s="6">
        <v>267</v>
      </c>
      <c r="I59" s="6">
        <v>36349.379999999997</v>
      </c>
      <c r="J59" s="6">
        <v>6190</v>
      </c>
      <c r="K59" s="6">
        <v>842706.6</v>
      </c>
      <c r="L59" s="6"/>
      <c r="M59" s="6"/>
      <c r="N59" s="6">
        <f t="shared" si="1"/>
        <v>6457</v>
      </c>
      <c r="O59" s="6">
        <f t="shared" si="2"/>
        <v>879055.97999999986</v>
      </c>
      <c r="P59" s="6">
        <v>88</v>
      </c>
      <c r="Q59" s="6">
        <v>12550</v>
      </c>
      <c r="R59" s="6"/>
      <c r="S59" s="6"/>
    </row>
    <row r="60" spans="1:19" s="1" customFormat="1" ht="15" hidden="1" customHeight="1" outlineLevel="1" x14ac:dyDescent="0.25">
      <c r="A60" s="2" t="s">
        <v>209</v>
      </c>
      <c r="B60" s="2" t="s">
        <v>210</v>
      </c>
      <c r="C60" s="13">
        <v>244.47</v>
      </c>
      <c r="D60" s="6"/>
      <c r="E60" s="6"/>
      <c r="F60" s="6"/>
      <c r="G60" s="6"/>
      <c r="H60" s="6"/>
      <c r="I60" s="6"/>
      <c r="J60" s="6">
        <v>2800</v>
      </c>
      <c r="K60" s="6">
        <v>684516</v>
      </c>
      <c r="L60" s="6"/>
      <c r="M60" s="6"/>
      <c r="N60" s="6">
        <f t="shared" si="1"/>
        <v>2800</v>
      </c>
      <c r="O60" s="6">
        <f t="shared" si="2"/>
        <v>684516</v>
      </c>
      <c r="P60" s="6"/>
      <c r="Q60" s="6"/>
      <c r="R60" s="6"/>
      <c r="S60" s="6"/>
    </row>
    <row r="61" spans="1:19" s="1" customFormat="1" ht="15" hidden="1" customHeight="1" outlineLevel="1" x14ac:dyDescent="0.25">
      <c r="A61" s="2" t="s">
        <v>263</v>
      </c>
      <c r="B61" s="2" t="s">
        <v>264</v>
      </c>
      <c r="C61" s="13">
        <v>1423.27</v>
      </c>
      <c r="D61" s="6">
        <v>888.19</v>
      </c>
      <c r="E61" s="6">
        <v>100</v>
      </c>
      <c r="F61" s="6"/>
      <c r="G61" s="6"/>
      <c r="H61" s="6"/>
      <c r="I61" s="6"/>
      <c r="J61" s="6">
        <v>708</v>
      </c>
      <c r="K61" s="6">
        <v>1007675.16</v>
      </c>
      <c r="L61" s="6"/>
      <c r="M61" s="6"/>
      <c r="N61" s="6">
        <f t="shared" si="1"/>
        <v>708</v>
      </c>
      <c r="O61" s="6">
        <f t="shared" si="2"/>
        <v>1007675.16</v>
      </c>
      <c r="P61" s="6">
        <v>11</v>
      </c>
      <c r="Q61" s="6">
        <v>15296</v>
      </c>
      <c r="R61" s="6">
        <f t="shared" si="5"/>
        <v>564.51718663799409</v>
      </c>
      <c r="S61" s="6">
        <f t="shared" si="6"/>
        <v>803460.37622625788</v>
      </c>
    </row>
    <row r="62" spans="1:19" s="1" customFormat="1" ht="15" hidden="1" customHeight="1" outlineLevel="1" x14ac:dyDescent="0.25">
      <c r="A62" s="2" t="s">
        <v>259</v>
      </c>
      <c r="B62" s="2" t="s">
        <v>260</v>
      </c>
      <c r="C62" s="13">
        <v>1433.15</v>
      </c>
      <c r="D62" s="6">
        <v>183.91</v>
      </c>
      <c r="E62" s="6">
        <v>100</v>
      </c>
      <c r="F62" s="6"/>
      <c r="G62" s="6"/>
      <c r="H62" s="6"/>
      <c r="I62" s="6"/>
      <c r="J62" s="6">
        <v>1177</v>
      </c>
      <c r="K62" s="6">
        <v>1686817.55</v>
      </c>
      <c r="L62" s="6">
        <v>500</v>
      </c>
      <c r="M62" s="6">
        <v>716575</v>
      </c>
      <c r="N62" s="6">
        <f t="shared" si="1"/>
        <v>1677</v>
      </c>
      <c r="O62" s="6">
        <f t="shared" si="2"/>
        <v>2403392.5500000003</v>
      </c>
      <c r="P62" s="6">
        <v>41</v>
      </c>
      <c r="Q62" s="6">
        <v>60813</v>
      </c>
      <c r="R62" s="6">
        <f t="shared" si="5"/>
        <v>25.02348975042138</v>
      </c>
      <c r="S62" s="6">
        <f t="shared" si="6"/>
        <v>35862.4143358164</v>
      </c>
    </row>
    <row r="63" spans="1:19" s="1" customFormat="1" ht="15" hidden="1" customHeight="1" outlineLevel="1" x14ac:dyDescent="0.25">
      <c r="A63" s="2" t="s">
        <v>49</v>
      </c>
      <c r="B63" s="2" t="s">
        <v>50</v>
      </c>
      <c r="C63" s="13">
        <v>33.549999999999997</v>
      </c>
      <c r="D63" s="6">
        <v>102.47</v>
      </c>
      <c r="E63" s="6">
        <v>61.29</v>
      </c>
      <c r="F63" s="6"/>
      <c r="G63" s="6"/>
      <c r="H63" s="6">
        <v>105</v>
      </c>
      <c r="I63" s="6">
        <v>3522.75</v>
      </c>
      <c r="J63" s="6">
        <v>1705</v>
      </c>
      <c r="K63" s="6">
        <v>57202.75</v>
      </c>
      <c r="L63" s="6">
        <v>22000</v>
      </c>
      <c r="M63" s="6">
        <v>738100</v>
      </c>
      <c r="N63" s="6">
        <f t="shared" si="1"/>
        <v>23810</v>
      </c>
      <c r="O63" s="6">
        <f t="shared" si="2"/>
        <v>798825.49999999988</v>
      </c>
      <c r="P63" s="6">
        <v>1063</v>
      </c>
      <c r="Q63" s="6">
        <v>31198</v>
      </c>
      <c r="R63" s="6"/>
      <c r="S63" s="6"/>
    </row>
    <row r="64" spans="1:19" s="1" customFormat="1" ht="15" hidden="1" customHeight="1" outlineLevel="1" x14ac:dyDescent="0.25">
      <c r="A64" s="2" t="s">
        <v>233</v>
      </c>
      <c r="B64" s="2" t="s">
        <v>234</v>
      </c>
      <c r="C64" s="13">
        <v>1620.94</v>
      </c>
      <c r="D64" s="6">
        <v>587.55999999999995</v>
      </c>
      <c r="E64" s="6">
        <v>100</v>
      </c>
      <c r="F64" s="6">
        <v>10</v>
      </c>
      <c r="G64" s="6">
        <v>16209.4</v>
      </c>
      <c r="H64" s="6">
        <v>24</v>
      </c>
      <c r="I64" s="6">
        <v>38902.559999999998</v>
      </c>
      <c r="J64" s="6">
        <v>274</v>
      </c>
      <c r="K64" s="6">
        <v>444137.56</v>
      </c>
      <c r="L64" s="6"/>
      <c r="M64" s="6"/>
      <c r="N64" s="6">
        <f t="shared" si="1"/>
        <v>308</v>
      </c>
      <c r="O64" s="6">
        <f t="shared" si="2"/>
        <v>499249.52</v>
      </c>
      <c r="P64" s="6">
        <v>11</v>
      </c>
      <c r="Q64" s="6">
        <v>18273</v>
      </c>
      <c r="R64" s="6">
        <f t="shared" si="5"/>
        <v>190.05963646265914</v>
      </c>
      <c r="S64" s="6">
        <f t="shared" si="6"/>
        <v>308075.26712778275</v>
      </c>
    </row>
    <row r="65" spans="1:19" s="1" customFormat="1" ht="15" hidden="1" customHeight="1" outlineLevel="1" x14ac:dyDescent="0.25">
      <c r="A65" s="2" t="s">
        <v>111</v>
      </c>
      <c r="B65" s="2" t="s">
        <v>112</v>
      </c>
      <c r="C65" s="13">
        <v>252.18</v>
      </c>
      <c r="D65" s="6">
        <v>48.12</v>
      </c>
      <c r="E65" s="6">
        <v>73.12</v>
      </c>
      <c r="F65" s="6"/>
      <c r="G65" s="6"/>
      <c r="H65" s="6"/>
      <c r="I65" s="6"/>
      <c r="J65" s="6">
        <v>896</v>
      </c>
      <c r="K65" s="6">
        <v>225953.28</v>
      </c>
      <c r="L65" s="6"/>
      <c r="M65" s="6"/>
      <c r="N65" s="6">
        <f t="shared" si="1"/>
        <v>896</v>
      </c>
      <c r="O65" s="6">
        <f t="shared" si="2"/>
        <v>225953.28</v>
      </c>
      <c r="P65" s="6">
        <v>133</v>
      </c>
      <c r="Q65" s="6">
        <v>35307</v>
      </c>
      <c r="R65" s="6"/>
      <c r="S65" s="6"/>
    </row>
    <row r="66" spans="1:19" s="1" customFormat="1" ht="15" hidden="1" customHeight="1" outlineLevel="1" x14ac:dyDescent="0.25">
      <c r="A66" s="2" t="s">
        <v>43</v>
      </c>
      <c r="B66" s="2" t="s">
        <v>44</v>
      </c>
      <c r="C66" s="13">
        <v>75.73</v>
      </c>
      <c r="D66" s="6">
        <v>127.14</v>
      </c>
      <c r="E66" s="6">
        <v>70.97</v>
      </c>
      <c r="F66" s="6"/>
      <c r="G66" s="6"/>
      <c r="H66" s="6">
        <v>345</v>
      </c>
      <c r="I66" s="6">
        <v>26126.85</v>
      </c>
      <c r="J66" s="6">
        <v>412</v>
      </c>
      <c r="K66" s="6">
        <v>31200.76</v>
      </c>
      <c r="L66" s="6">
        <v>1500</v>
      </c>
      <c r="M66" s="6">
        <v>113595</v>
      </c>
      <c r="N66" s="6">
        <f t="shared" si="1"/>
        <v>2257</v>
      </c>
      <c r="O66" s="6">
        <f t="shared" si="2"/>
        <v>170922.61000000002</v>
      </c>
      <c r="P66" s="6">
        <v>248</v>
      </c>
      <c r="Q66" s="6">
        <v>17676</v>
      </c>
      <c r="R66" s="6"/>
      <c r="S66" s="6"/>
    </row>
    <row r="67" spans="1:19" s="1" customFormat="1" ht="15" hidden="1" customHeight="1" outlineLevel="1" x14ac:dyDescent="0.25">
      <c r="A67" s="2" t="s">
        <v>285</v>
      </c>
      <c r="B67" s="2" t="s">
        <v>286</v>
      </c>
      <c r="C67" s="13">
        <v>488.34</v>
      </c>
      <c r="D67" s="6"/>
      <c r="E67" s="6">
        <v>5.38</v>
      </c>
      <c r="F67" s="6">
        <v>40</v>
      </c>
      <c r="G67" s="6">
        <v>19533.599999999999</v>
      </c>
      <c r="H67" s="6">
        <v>50</v>
      </c>
      <c r="I67" s="6">
        <v>24417</v>
      </c>
      <c r="J67" s="6">
        <v>3310</v>
      </c>
      <c r="K67" s="6">
        <v>1616405.4</v>
      </c>
      <c r="L67" s="6"/>
      <c r="M67" s="6"/>
      <c r="N67" s="6">
        <f t="shared" si="1"/>
        <v>3400</v>
      </c>
      <c r="O67" s="6">
        <f t="shared" si="2"/>
        <v>1660356</v>
      </c>
      <c r="P67" s="6"/>
      <c r="Q67" s="6"/>
      <c r="R67" s="6"/>
      <c r="S67" s="6"/>
    </row>
    <row r="68" spans="1:19" s="1" customFormat="1" ht="15" hidden="1" customHeight="1" outlineLevel="1" x14ac:dyDescent="0.25">
      <c r="A68" s="2" t="s">
        <v>309</v>
      </c>
      <c r="B68" s="2" t="s">
        <v>310</v>
      </c>
      <c r="C68" s="13">
        <v>118.98</v>
      </c>
      <c r="D68" s="6">
        <v>3.64</v>
      </c>
      <c r="E68" s="6">
        <v>10.75</v>
      </c>
      <c r="F68" s="6"/>
      <c r="G68" s="6"/>
      <c r="H68" s="6"/>
      <c r="I68" s="6"/>
      <c r="J68" s="6">
        <v>8100</v>
      </c>
      <c r="K68" s="6">
        <v>963738</v>
      </c>
      <c r="L68" s="6"/>
      <c r="M68" s="6"/>
      <c r="N68" s="6">
        <f t="shared" si="1"/>
        <v>8100</v>
      </c>
      <c r="O68" s="6">
        <f t="shared" si="2"/>
        <v>963738</v>
      </c>
      <c r="P68" s="6"/>
      <c r="Q68" s="6"/>
      <c r="R68" s="6"/>
      <c r="S68" s="6"/>
    </row>
    <row r="69" spans="1:19" s="1" customFormat="1" ht="15" hidden="1" customHeight="1" outlineLevel="1" x14ac:dyDescent="0.25">
      <c r="A69" s="2" t="s">
        <v>317</v>
      </c>
      <c r="B69" s="2" t="s">
        <v>318</v>
      </c>
      <c r="C69" s="13">
        <v>193.52</v>
      </c>
      <c r="D69" s="6"/>
      <c r="E69" s="6">
        <v>5.38</v>
      </c>
      <c r="F69" s="6"/>
      <c r="G69" s="6"/>
      <c r="H69" s="6">
        <v>566</v>
      </c>
      <c r="I69" s="6">
        <v>109532.32</v>
      </c>
      <c r="J69" s="6">
        <v>34</v>
      </c>
      <c r="K69" s="6">
        <v>6579.68</v>
      </c>
      <c r="L69" s="6">
        <v>2100</v>
      </c>
      <c r="M69" s="6">
        <v>406392</v>
      </c>
      <c r="N69" s="6">
        <f t="shared" ref="N69:N132" si="7">IF(J69+L69+H69+F69&lt;=0,"",J69+L69+H69+F69)</f>
        <v>2700</v>
      </c>
      <c r="O69" s="6">
        <f t="shared" ref="O69:O132" si="8">IFERROR(C69*N69,"")</f>
        <v>522504</v>
      </c>
      <c r="P69" s="6"/>
      <c r="Q69" s="6"/>
      <c r="R69" s="6"/>
      <c r="S69" s="6"/>
    </row>
    <row r="70" spans="1:19" s="1" customFormat="1" ht="15" hidden="1" customHeight="1" outlineLevel="1" x14ac:dyDescent="0.25">
      <c r="A70" s="2" t="s">
        <v>367</v>
      </c>
      <c r="B70" s="2" t="s">
        <v>368</v>
      </c>
      <c r="C70" s="13">
        <v>465.87</v>
      </c>
      <c r="D70" s="6">
        <v>33.08</v>
      </c>
      <c r="E70" s="6">
        <v>97.85</v>
      </c>
      <c r="F70" s="6"/>
      <c r="G70" s="6"/>
      <c r="H70" s="6">
        <v>10</v>
      </c>
      <c r="I70" s="6">
        <v>4658.7</v>
      </c>
      <c r="J70" s="6">
        <v>1435</v>
      </c>
      <c r="K70" s="6">
        <v>668523.44999999995</v>
      </c>
      <c r="L70" s="6"/>
      <c r="M70" s="6"/>
      <c r="N70" s="6">
        <f t="shared" si="7"/>
        <v>1445</v>
      </c>
      <c r="O70" s="6">
        <f t="shared" si="8"/>
        <v>673182.15</v>
      </c>
      <c r="P70" s="6">
        <v>56</v>
      </c>
      <c r="Q70" s="6">
        <v>27320</v>
      </c>
      <c r="R70" s="6"/>
      <c r="S70" s="6"/>
    </row>
    <row r="71" spans="1:19" s="1" customFormat="1" ht="15" hidden="1" customHeight="1" outlineLevel="1" x14ac:dyDescent="0.25">
      <c r="A71" s="2" t="s">
        <v>989</v>
      </c>
      <c r="B71" s="2" t="s">
        <v>990</v>
      </c>
      <c r="C71" s="13">
        <v>1668.07</v>
      </c>
      <c r="D71" s="6">
        <v>80</v>
      </c>
      <c r="E71" s="6">
        <v>100</v>
      </c>
      <c r="F71" s="6"/>
      <c r="G71" s="6"/>
      <c r="H71" s="6"/>
      <c r="I71" s="6"/>
      <c r="J71" s="6">
        <v>134</v>
      </c>
      <c r="K71" s="6">
        <v>223521.38</v>
      </c>
      <c r="L71" s="6"/>
      <c r="M71" s="6"/>
      <c r="N71" s="6">
        <f t="shared" si="7"/>
        <v>134</v>
      </c>
      <c r="O71" s="6">
        <f t="shared" si="8"/>
        <v>223521.38</v>
      </c>
      <c r="P71" s="6">
        <v>6</v>
      </c>
      <c r="Q71" s="6">
        <v>9538</v>
      </c>
      <c r="R71" s="6"/>
      <c r="S71" s="6"/>
    </row>
    <row r="72" spans="1:19" s="1" customFormat="1" ht="15" hidden="1" customHeight="1" outlineLevel="1" x14ac:dyDescent="0.25">
      <c r="A72" s="2" t="s">
        <v>315</v>
      </c>
      <c r="B72" s="2" t="s">
        <v>316</v>
      </c>
      <c r="C72" s="13">
        <v>268.44</v>
      </c>
      <c r="D72" s="6">
        <v>194.84</v>
      </c>
      <c r="E72" s="6">
        <v>100</v>
      </c>
      <c r="F72" s="6"/>
      <c r="G72" s="6"/>
      <c r="H72" s="6">
        <v>18</v>
      </c>
      <c r="I72" s="6">
        <v>4831.92</v>
      </c>
      <c r="J72" s="6">
        <v>2880</v>
      </c>
      <c r="K72" s="6">
        <v>773107.19999999995</v>
      </c>
      <c r="L72" s="6"/>
      <c r="M72" s="6"/>
      <c r="N72" s="6">
        <f t="shared" si="7"/>
        <v>2898</v>
      </c>
      <c r="O72" s="6">
        <f t="shared" si="8"/>
        <v>777939.12</v>
      </c>
      <c r="P72" s="6">
        <v>111</v>
      </c>
      <c r="Q72" s="6">
        <v>31143</v>
      </c>
      <c r="R72" s="6">
        <f t="shared" ref="R72:R133" si="9">J72/D72*(D72-180)</f>
        <v>219.35536850749335</v>
      </c>
      <c r="S72" s="6">
        <f t="shared" ref="S72:S133" si="10">R72*C72</f>
        <v>58883.755122151517</v>
      </c>
    </row>
    <row r="73" spans="1:19" s="1" customFormat="1" ht="15" hidden="1" customHeight="1" outlineLevel="1" x14ac:dyDescent="0.25">
      <c r="A73" s="2" t="s">
        <v>359</v>
      </c>
      <c r="B73" s="2" t="s">
        <v>360</v>
      </c>
      <c r="C73" s="13">
        <v>316.27999999999997</v>
      </c>
      <c r="D73" s="6">
        <v>91.4</v>
      </c>
      <c r="E73" s="6">
        <v>100</v>
      </c>
      <c r="F73" s="6">
        <v>24</v>
      </c>
      <c r="G73" s="6">
        <v>7590.72</v>
      </c>
      <c r="H73" s="6">
        <v>62</v>
      </c>
      <c r="I73" s="6">
        <v>19609.36</v>
      </c>
      <c r="J73" s="6">
        <v>176</v>
      </c>
      <c r="K73" s="6">
        <v>55665.279999999999</v>
      </c>
      <c r="L73" s="6">
        <v>3000</v>
      </c>
      <c r="M73" s="6">
        <v>948840</v>
      </c>
      <c r="N73" s="6">
        <f t="shared" si="7"/>
        <v>3262</v>
      </c>
      <c r="O73" s="6">
        <f t="shared" si="8"/>
        <v>1031705.3599999999</v>
      </c>
      <c r="P73" s="6">
        <v>110</v>
      </c>
      <c r="Q73" s="6">
        <v>36087</v>
      </c>
      <c r="R73" s="6"/>
      <c r="S73" s="6"/>
    </row>
    <row r="74" spans="1:19" s="1" customFormat="1" ht="15" hidden="1" customHeight="1" outlineLevel="1" x14ac:dyDescent="0.25">
      <c r="A74" s="2" t="s">
        <v>51</v>
      </c>
      <c r="B74" s="2" t="s">
        <v>52</v>
      </c>
      <c r="C74" s="13">
        <v>35.590000000000003</v>
      </c>
      <c r="D74" s="6">
        <v>64.5</v>
      </c>
      <c r="E74" s="6">
        <v>100</v>
      </c>
      <c r="F74" s="6"/>
      <c r="G74" s="6"/>
      <c r="H74" s="6">
        <v>47</v>
      </c>
      <c r="I74" s="6">
        <v>1672.73</v>
      </c>
      <c r="J74" s="6">
        <v>0</v>
      </c>
      <c r="K74" s="6">
        <v>0</v>
      </c>
      <c r="L74" s="6">
        <v>23000</v>
      </c>
      <c r="M74" s="6">
        <v>818570</v>
      </c>
      <c r="N74" s="6">
        <f t="shared" si="7"/>
        <v>23047</v>
      </c>
      <c r="O74" s="6">
        <f t="shared" si="8"/>
        <v>820242.7300000001</v>
      </c>
      <c r="P74" s="6">
        <v>835</v>
      </c>
      <c r="Q74" s="6">
        <v>24302</v>
      </c>
      <c r="R74" s="6"/>
      <c r="S74" s="6"/>
    </row>
    <row r="75" spans="1:19" s="1" customFormat="1" ht="15" hidden="1" customHeight="1" outlineLevel="1" x14ac:dyDescent="0.25">
      <c r="A75" s="2" t="s">
        <v>15</v>
      </c>
      <c r="B75" s="2" t="s">
        <v>16</v>
      </c>
      <c r="C75" s="13">
        <v>501.75</v>
      </c>
      <c r="D75" s="6">
        <v>2004.98</v>
      </c>
      <c r="E75" s="6">
        <v>100</v>
      </c>
      <c r="F75" s="6"/>
      <c r="G75" s="6"/>
      <c r="H75" s="6"/>
      <c r="I75" s="6"/>
      <c r="J75" s="6">
        <v>1817</v>
      </c>
      <c r="K75" s="6">
        <v>911679.75</v>
      </c>
      <c r="L75" s="6"/>
      <c r="M75" s="6"/>
      <c r="N75" s="6">
        <f t="shared" si="7"/>
        <v>1817</v>
      </c>
      <c r="O75" s="6">
        <f t="shared" si="8"/>
        <v>911679.75</v>
      </c>
      <c r="P75" s="6">
        <v>23</v>
      </c>
      <c r="Q75" s="6">
        <v>12375</v>
      </c>
      <c r="R75" s="6">
        <f t="shared" si="9"/>
        <v>1653.8761783159932</v>
      </c>
      <c r="S75" s="6">
        <f t="shared" si="10"/>
        <v>829832.37247004965</v>
      </c>
    </row>
    <row r="76" spans="1:19" s="1" customFormat="1" ht="15" hidden="1" customHeight="1" outlineLevel="1" x14ac:dyDescent="0.25">
      <c r="A76" s="2" t="s">
        <v>203</v>
      </c>
      <c r="B76" s="2" t="s">
        <v>204</v>
      </c>
      <c r="C76" s="13">
        <v>181.87</v>
      </c>
      <c r="D76" s="6">
        <v>642.63</v>
      </c>
      <c r="E76" s="6">
        <v>100</v>
      </c>
      <c r="F76" s="6">
        <v>80</v>
      </c>
      <c r="G76" s="6">
        <v>14549.6</v>
      </c>
      <c r="H76" s="6">
        <v>71</v>
      </c>
      <c r="I76" s="6">
        <v>12912.77</v>
      </c>
      <c r="J76" s="6">
        <v>3160</v>
      </c>
      <c r="K76" s="6">
        <v>574709.19999999995</v>
      </c>
      <c r="L76" s="6"/>
      <c r="M76" s="6"/>
      <c r="N76" s="6">
        <f t="shared" si="7"/>
        <v>3311</v>
      </c>
      <c r="O76" s="6">
        <f t="shared" si="8"/>
        <v>602171.57000000007</v>
      </c>
      <c r="P76" s="6">
        <v>112</v>
      </c>
      <c r="Q76" s="6">
        <v>20899</v>
      </c>
      <c r="R76" s="6">
        <f t="shared" si="9"/>
        <v>2274.8872601652583</v>
      </c>
      <c r="S76" s="6">
        <f t="shared" si="10"/>
        <v>413733.74600625556</v>
      </c>
    </row>
    <row r="77" spans="1:19" s="1" customFormat="1" ht="15" hidden="1" customHeight="1" outlineLevel="1" x14ac:dyDescent="0.25">
      <c r="A77" s="2" t="s">
        <v>217</v>
      </c>
      <c r="B77" s="2" t="s">
        <v>218</v>
      </c>
      <c r="C77" s="13">
        <v>500.78</v>
      </c>
      <c r="D77" s="6">
        <v>7.5</v>
      </c>
      <c r="E77" s="6">
        <v>9.68</v>
      </c>
      <c r="F77" s="6">
        <v>12</v>
      </c>
      <c r="G77" s="6">
        <v>6009.36</v>
      </c>
      <c r="H77" s="6"/>
      <c r="I77" s="6"/>
      <c r="J77" s="6">
        <v>0</v>
      </c>
      <c r="K77" s="6">
        <v>0</v>
      </c>
      <c r="L77" s="6">
        <v>640</v>
      </c>
      <c r="M77" s="6">
        <v>320499.20000000001</v>
      </c>
      <c r="N77" s="6">
        <f t="shared" si="7"/>
        <v>652</v>
      </c>
      <c r="O77" s="6">
        <f t="shared" si="8"/>
        <v>326508.56</v>
      </c>
      <c r="P77" s="6">
        <v>5</v>
      </c>
      <c r="Q77" s="6">
        <v>2794</v>
      </c>
      <c r="R77" s="6"/>
      <c r="S77" s="6"/>
    </row>
    <row r="78" spans="1:19" s="1" customFormat="1" ht="15" hidden="1" customHeight="1" outlineLevel="1" x14ac:dyDescent="0.25">
      <c r="A78" s="2" t="s">
        <v>323</v>
      </c>
      <c r="B78" s="2" t="s">
        <v>324</v>
      </c>
      <c r="C78" s="13">
        <v>28.53</v>
      </c>
      <c r="D78" s="6">
        <v>29.61</v>
      </c>
      <c r="E78" s="6">
        <v>29.03</v>
      </c>
      <c r="F78" s="6">
        <v>210</v>
      </c>
      <c r="G78" s="6">
        <v>5991.3</v>
      </c>
      <c r="H78" s="6">
        <v>515</v>
      </c>
      <c r="I78" s="6">
        <v>14692.95</v>
      </c>
      <c r="J78" s="6">
        <v>865</v>
      </c>
      <c r="K78" s="6">
        <v>24678.45</v>
      </c>
      <c r="L78" s="6">
        <v>17600</v>
      </c>
      <c r="M78" s="6">
        <v>502128</v>
      </c>
      <c r="N78" s="6">
        <f t="shared" si="7"/>
        <v>19190</v>
      </c>
      <c r="O78" s="6">
        <f t="shared" si="8"/>
        <v>547490.70000000007</v>
      </c>
      <c r="P78" s="6">
        <v>937</v>
      </c>
      <c r="Q78" s="6">
        <v>27274</v>
      </c>
      <c r="R78" s="6"/>
      <c r="S78" s="6"/>
    </row>
    <row r="79" spans="1:19" s="1" customFormat="1" ht="15" hidden="1" customHeight="1" outlineLevel="1" x14ac:dyDescent="0.25">
      <c r="A79" s="2" t="s">
        <v>199</v>
      </c>
      <c r="B79" s="2" t="s">
        <v>200</v>
      </c>
      <c r="C79" s="13">
        <v>95.87</v>
      </c>
      <c r="D79" s="6">
        <v>813.16</v>
      </c>
      <c r="E79" s="6">
        <v>100</v>
      </c>
      <c r="F79" s="6">
        <v>55</v>
      </c>
      <c r="G79" s="6">
        <v>5272.85</v>
      </c>
      <c r="H79" s="6">
        <v>99</v>
      </c>
      <c r="I79" s="6">
        <v>9491.1299999999992</v>
      </c>
      <c r="J79" s="6">
        <v>6792</v>
      </c>
      <c r="K79" s="6">
        <v>651149.04</v>
      </c>
      <c r="L79" s="6">
        <v>3840</v>
      </c>
      <c r="M79" s="6">
        <v>368140.79999999999</v>
      </c>
      <c r="N79" s="6">
        <f t="shared" si="7"/>
        <v>10786</v>
      </c>
      <c r="O79" s="6">
        <f t="shared" si="8"/>
        <v>1034053.8200000001</v>
      </c>
      <c r="P79" s="6">
        <v>240</v>
      </c>
      <c r="Q79" s="6">
        <v>24441</v>
      </c>
      <c r="R79" s="6">
        <f t="shared" si="9"/>
        <v>5288.532047813469</v>
      </c>
      <c r="S79" s="6">
        <f t="shared" si="10"/>
        <v>507011.56742387731</v>
      </c>
    </row>
    <row r="80" spans="1:19" s="1" customFormat="1" ht="15" hidden="1" customHeight="1" outlineLevel="1" x14ac:dyDescent="0.25">
      <c r="A80" s="2" t="s">
        <v>13</v>
      </c>
      <c r="B80" s="2" t="s">
        <v>14</v>
      </c>
      <c r="C80" s="13">
        <v>498.78</v>
      </c>
      <c r="D80" s="6"/>
      <c r="E80" s="6"/>
      <c r="F80" s="6"/>
      <c r="G80" s="6"/>
      <c r="H80" s="6"/>
      <c r="I80" s="6"/>
      <c r="J80" s="6">
        <v>600</v>
      </c>
      <c r="K80" s="6">
        <v>299268</v>
      </c>
      <c r="L80" s="6">
        <v>900</v>
      </c>
      <c r="M80" s="6">
        <v>448902</v>
      </c>
      <c r="N80" s="6">
        <f t="shared" si="7"/>
        <v>1500</v>
      </c>
      <c r="O80" s="6">
        <f t="shared" si="8"/>
        <v>748170</v>
      </c>
      <c r="P80" s="6"/>
      <c r="Q80" s="6"/>
      <c r="R80" s="6"/>
      <c r="S80" s="6"/>
    </row>
    <row r="81" spans="1:19" s="1" customFormat="1" ht="15" hidden="1" customHeight="1" outlineLevel="1" x14ac:dyDescent="0.25">
      <c r="A81" s="2" t="s">
        <v>405</v>
      </c>
      <c r="B81" s="2" t="s">
        <v>406</v>
      </c>
      <c r="C81" s="13">
        <v>264.99</v>
      </c>
      <c r="D81" s="6"/>
      <c r="E81" s="6">
        <v>5.38</v>
      </c>
      <c r="F81" s="6"/>
      <c r="G81" s="6"/>
      <c r="H81" s="6">
        <v>15</v>
      </c>
      <c r="I81" s="6">
        <v>3974.85</v>
      </c>
      <c r="J81" s="6">
        <v>225</v>
      </c>
      <c r="K81" s="6">
        <v>59622.75</v>
      </c>
      <c r="L81" s="6">
        <v>2320</v>
      </c>
      <c r="M81" s="6">
        <v>614776.80000000005</v>
      </c>
      <c r="N81" s="6">
        <f t="shared" si="7"/>
        <v>2560</v>
      </c>
      <c r="O81" s="6">
        <f t="shared" si="8"/>
        <v>678374.40000000002</v>
      </c>
      <c r="P81" s="6"/>
      <c r="Q81" s="6"/>
      <c r="R81" s="6"/>
      <c r="S81" s="6"/>
    </row>
    <row r="82" spans="1:19" s="1" customFormat="1" ht="15" hidden="1" customHeight="1" outlineLevel="1" x14ac:dyDescent="0.25">
      <c r="A82" s="2" t="s">
        <v>538</v>
      </c>
      <c r="B82" s="2" t="s">
        <v>539</v>
      </c>
      <c r="C82" s="13">
        <v>884.61</v>
      </c>
      <c r="D82" s="6">
        <v>1076.45</v>
      </c>
      <c r="E82" s="6">
        <v>100</v>
      </c>
      <c r="F82" s="6"/>
      <c r="G82" s="6"/>
      <c r="H82" s="6">
        <v>5</v>
      </c>
      <c r="I82" s="6">
        <v>4423.05</v>
      </c>
      <c r="J82" s="6">
        <v>181</v>
      </c>
      <c r="K82" s="6">
        <v>160114.41</v>
      </c>
      <c r="L82" s="6">
        <v>330</v>
      </c>
      <c r="M82" s="6">
        <v>291921.3</v>
      </c>
      <c r="N82" s="6">
        <f t="shared" si="7"/>
        <v>516</v>
      </c>
      <c r="O82" s="6">
        <f t="shared" si="8"/>
        <v>456458.76</v>
      </c>
      <c r="P82" s="6">
        <v>7</v>
      </c>
      <c r="Q82" s="6">
        <v>6604</v>
      </c>
      <c r="R82" s="6">
        <f t="shared" si="9"/>
        <v>150.73384736866552</v>
      </c>
      <c r="S82" s="6">
        <f t="shared" si="10"/>
        <v>133340.66872079522</v>
      </c>
    </row>
    <row r="83" spans="1:19" s="1" customFormat="1" ht="15" hidden="1" customHeight="1" outlineLevel="1" x14ac:dyDescent="0.25">
      <c r="A83" s="2" t="s">
        <v>985</v>
      </c>
      <c r="B83" s="2" t="s">
        <v>986</v>
      </c>
      <c r="C83" s="13">
        <v>289.64</v>
      </c>
      <c r="D83" s="6">
        <v>896.02</v>
      </c>
      <c r="E83" s="6">
        <v>100</v>
      </c>
      <c r="F83" s="6"/>
      <c r="G83" s="6"/>
      <c r="H83" s="6">
        <v>6</v>
      </c>
      <c r="I83" s="6">
        <v>1737.84</v>
      </c>
      <c r="J83" s="6">
        <v>371</v>
      </c>
      <c r="K83" s="6">
        <v>107456.44</v>
      </c>
      <c r="L83" s="6">
        <v>720</v>
      </c>
      <c r="M83" s="6">
        <v>208540.79999999999</v>
      </c>
      <c r="N83" s="6">
        <f t="shared" si="7"/>
        <v>1097</v>
      </c>
      <c r="O83" s="6">
        <f t="shared" si="8"/>
        <v>317735.07999999996</v>
      </c>
      <c r="P83" s="6">
        <v>15</v>
      </c>
      <c r="Q83" s="6">
        <v>4669</v>
      </c>
      <c r="R83" s="6">
        <f t="shared" si="9"/>
        <v>296.47041360683909</v>
      </c>
      <c r="S83" s="6">
        <f t="shared" si="10"/>
        <v>85869.690597084875</v>
      </c>
    </row>
    <row r="84" spans="1:19" s="1" customFormat="1" ht="15" hidden="1" customHeight="1" outlineLevel="1" x14ac:dyDescent="0.25">
      <c r="A84" s="2" t="s">
        <v>79</v>
      </c>
      <c r="B84" s="2" t="s">
        <v>80</v>
      </c>
      <c r="C84" s="13">
        <v>101.71</v>
      </c>
      <c r="D84" s="6">
        <v>143.59</v>
      </c>
      <c r="E84" s="6">
        <v>100</v>
      </c>
      <c r="F84" s="6"/>
      <c r="G84" s="6"/>
      <c r="H84" s="6">
        <v>200</v>
      </c>
      <c r="I84" s="6">
        <v>20342</v>
      </c>
      <c r="J84" s="6">
        <v>96</v>
      </c>
      <c r="K84" s="6">
        <v>9764.16</v>
      </c>
      <c r="L84" s="6">
        <v>1000</v>
      </c>
      <c r="M84" s="6">
        <v>101710</v>
      </c>
      <c r="N84" s="6">
        <f t="shared" si="7"/>
        <v>1296</v>
      </c>
      <c r="O84" s="6">
        <f t="shared" si="8"/>
        <v>131816.16</v>
      </c>
      <c r="P84" s="6">
        <v>223</v>
      </c>
      <c r="Q84" s="6">
        <v>20175</v>
      </c>
      <c r="R84" s="6"/>
      <c r="S84" s="6"/>
    </row>
    <row r="85" spans="1:19" s="1" customFormat="1" ht="15" hidden="1" customHeight="1" outlineLevel="1" x14ac:dyDescent="0.25">
      <c r="A85" s="2" t="s">
        <v>395</v>
      </c>
      <c r="B85" s="2" t="s">
        <v>396</v>
      </c>
      <c r="C85" s="13">
        <v>283.75</v>
      </c>
      <c r="D85" s="6"/>
      <c r="E85" s="6">
        <v>5.38</v>
      </c>
      <c r="F85" s="6">
        <v>50</v>
      </c>
      <c r="G85" s="6">
        <v>14187.5</v>
      </c>
      <c r="H85" s="6">
        <v>36</v>
      </c>
      <c r="I85" s="6">
        <v>10215</v>
      </c>
      <c r="J85" s="6">
        <v>106</v>
      </c>
      <c r="K85" s="6">
        <v>30077.5</v>
      </c>
      <c r="L85" s="6">
        <v>528</v>
      </c>
      <c r="M85" s="6">
        <v>149820</v>
      </c>
      <c r="N85" s="6">
        <f t="shared" si="7"/>
        <v>720</v>
      </c>
      <c r="O85" s="6">
        <f t="shared" si="8"/>
        <v>204300</v>
      </c>
      <c r="P85" s="6"/>
      <c r="Q85" s="6"/>
      <c r="R85" s="6"/>
      <c r="S85" s="6"/>
    </row>
    <row r="86" spans="1:19" s="1" customFormat="1" ht="15" hidden="1" customHeight="1" outlineLevel="1" x14ac:dyDescent="0.25">
      <c r="A86" s="2" t="s">
        <v>676</v>
      </c>
      <c r="B86" s="2" t="s">
        <v>677</v>
      </c>
      <c r="C86" s="13">
        <v>469.78</v>
      </c>
      <c r="D86" s="6">
        <v>420.17</v>
      </c>
      <c r="E86" s="6">
        <v>100</v>
      </c>
      <c r="F86" s="6"/>
      <c r="G86" s="6"/>
      <c r="H86" s="6">
        <v>4</v>
      </c>
      <c r="I86" s="6">
        <v>1879.12</v>
      </c>
      <c r="J86" s="6">
        <v>531</v>
      </c>
      <c r="K86" s="6">
        <v>249453.18</v>
      </c>
      <c r="L86" s="6"/>
      <c r="M86" s="6"/>
      <c r="N86" s="6">
        <f t="shared" si="7"/>
        <v>535</v>
      </c>
      <c r="O86" s="6">
        <f t="shared" si="8"/>
        <v>251332.3</v>
      </c>
      <c r="P86" s="6">
        <v>42</v>
      </c>
      <c r="Q86" s="6">
        <v>20416</v>
      </c>
      <c r="R86" s="6">
        <f t="shared" si="9"/>
        <v>303.52064640502653</v>
      </c>
      <c r="S86" s="6">
        <f t="shared" si="10"/>
        <v>142587.92926815336</v>
      </c>
    </row>
    <row r="87" spans="1:19" s="1" customFormat="1" ht="15" hidden="1" customHeight="1" outlineLevel="1" x14ac:dyDescent="0.25">
      <c r="A87" s="2" t="s">
        <v>167</v>
      </c>
      <c r="B87" s="2" t="s">
        <v>168</v>
      </c>
      <c r="C87" s="13">
        <v>363.34</v>
      </c>
      <c r="D87" s="6"/>
      <c r="E87" s="6">
        <v>5.38</v>
      </c>
      <c r="F87" s="6">
        <v>5</v>
      </c>
      <c r="G87" s="6">
        <v>1816.7</v>
      </c>
      <c r="H87" s="6">
        <v>17</v>
      </c>
      <c r="I87" s="6">
        <v>6176.78</v>
      </c>
      <c r="J87" s="6">
        <v>398</v>
      </c>
      <c r="K87" s="6">
        <v>144609.32</v>
      </c>
      <c r="L87" s="6">
        <v>840</v>
      </c>
      <c r="M87" s="6">
        <v>305205.59999999998</v>
      </c>
      <c r="N87" s="6">
        <f t="shared" si="7"/>
        <v>1260</v>
      </c>
      <c r="O87" s="6">
        <f t="shared" si="8"/>
        <v>457808.39999999997</v>
      </c>
      <c r="P87" s="6">
        <v>2</v>
      </c>
      <c r="Q87" s="6">
        <v>500</v>
      </c>
      <c r="R87" s="6"/>
      <c r="S87" s="6"/>
    </row>
    <row r="88" spans="1:19" s="1" customFormat="1" ht="15" hidden="1" customHeight="1" outlineLevel="1" x14ac:dyDescent="0.25">
      <c r="A88" s="2" t="s">
        <v>798</v>
      </c>
      <c r="B88" s="2" t="s">
        <v>799</v>
      </c>
      <c r="C88" s="13">
        <v>92.6</v>
      </c>
      <c r="D88" s="6">
        <v>299.13</v>
      </c>
      <c r="E88" s="6">
        <v>100</v>
      </c>
      <c r="F88" s="6">
        <v>20</v>
      </c>
      <c r="G88" s="6">
        <v>1852</v>
      </c>
      <c r="H88" s="6">
        <v>14</v>
      </c>
      <c r="I88" s="6">
        <v>1296.4000000000001</v>
      </c>
      <c r="J88" s="6">
        <v>2604</v>
      </c>
      <c r="K88" s="6">
        <v>241130.4</v>
      </c>
      <c r="L88" s="6"/>
      <c r="M88" s="6"/>
      <c r="N88" s="6">
        <f t="shared" si="7"/>
        <v>2638</v>
      </c>
      <c r="O88" s="6">
        <f t="shared" si="8"/>
        <v>244278.8</v>
      </c>
      <c r="P88" s="6">
        <v>201</v>
      </c>
      <c r="Q88" s="6">
        <v>19220</v>
      </c>
      <c r="R88" s="6">
        <f t="shared" si="9"/>
        <v>1037.0558619997994</v>
      </c>
      <c r="S88" s="6">
        <f t="shared" si="10"/>
        <v>96031.372821181416</v>
      </c>
    </row>
    <row r="89" spans="1:19" s="1" customFormat="1" ht="15" hidden="1" customHeight="1" outlineLevel="1" x14ac:dyDescent="0.25">
      <c r="A89" s="2" t="s">
        <v>816</v>
      </c>
      <c r="B89" s="2" t="s">
        <v>817</v>
      </c>
      <c r="C89" s="13">
        <v>151.43</v>
      </c>
      <c r="D89" s="6">
        <v>282.79000000000002</v>
      </c>
      <c r="E89" s="6">
        <v>100</v>
      </c>
      <c r="F89" s="6">
        <v>10</v>
      </c>
      <c r="G89" s="6">
        <v>1514.3</v>
      </c>
      <c r="H89" s="6">
        <v>14</v>
      </c>
      <c r="I89" s="6">
        <v>2120.02</v>
      </c>
      <c r="J89" s="6">
        <v>1695</v>
      </c>
      <c r="K89" s="6">
        <v>256673.85</v>
      </c>
      <c r="L89" s="6"/>
      <c r="M89" s="6"/>
      <c r="N89" s="6">
        <f t="shared" si="7"/>
        <v>1719</v>
      </c>
      <c r="O89" s="6">
        <f t="shared" si="8"/>
        <v>260308.17</v>
      </c>
      <c r="P89" s="6">
        <v>210</v>
      </c>
      <c r="Q89" s="6">
        <v>33049</v>
      </c>
      <c r="R89" s="6">
        <f t="shared" si="9"/>
        <v>616.10753562714387</v>
      </c>
      <c r="S89" s="6">
        <f t="shared" si="10"/>
        <v>93297.164120018395</v>
      </c>
    </row>
    <row r="90" spans="1:19" s="1" customFormat="1" ht="15" hidden="1" customHeight="1" outlineLevel="1" x14ac:dyDescent="0.25">
      <c r="A90" s="2" t="s">
        <v>23</v>
      </c>
      <c r="B90" s="2" t="s">
        <v>24</v>
      </c>
      <c r="C90" s="13">
        <v>28.5</v>
      </c>
      <c r="D90" s="6">
        <v>613.87</v>
      </c>
      <c r="E90" s="6">
        <v>100</v>
      </c>
      <c r="F90" s="6">
        <v>1</v>
      </c>
      <c r="G90" s="6">
        <v>28.5</v>
      </c>
      <c r="H90" s="6">
        <v>10</v>
      </c>
      <c r="I90" s="6">
        <v>285</v>
      </c>
      <c r="J90" s="6">
        <v>7486</v>
      </c>
      <c r="K90" s="6">
        <v>213351</v>
      </c>
      <c r="L90" s="6"/>
      <c r="M90" s="6"/>
      <c r="N90" s="6">
        <f t="shared" si="7"/>
        <v>7497</v>
      </c>
      <c r="O90" s="6">
        <f t="shared" si="8"/>
        <v>213664.5</v>
      </c>
      <c r="P90" s="6">
        <v>298</v>
      </c>
      <c r="Q90" s="6">
        <v>8849</v>
      </c>
      <c r="R90" s="6">
        <f t="shared" si="9"/>
        <v>5290.9424145177318</v>
      </c>
      <c r="S90" s="6">
        <f t="shared" si="10"/>
        <v>150791.85881375536</v>
      </c>
    </row>
    <row r="91" spans="1:19" s="1" customFormat="1" ht="15" hidden="1" customHeight="1" outlineLevel="1" x14ac:dyDescent="0.25">
      <c r="A91" s="2" t="s">
        <v>197</v>
      </c>
      <c r="B91" s="2" t="s">
        <v>198</v>
      </c>
      <c r="C91" s="13">
        <v>72.150000000000006</v>
      </c>
      <c r="D91" s="6">
        <v>299.94</v>
      </c>
      <c r="E91" s="6">
        <v>36.56</v>
      </c>
      <c r="F91" s="6"/>
      <c r="G91" s="6"/>
      <c r="H91" s="6">
        <v>97</v>
      </c>
      <c r="I91" s="6">
        <v>6998.55</v>
      </c>
      <c r="J91" s="6">
        <v>1657</v>
      </c>
      <c r="K91" s="6">
        <v>119552.55</v>
      </c>
      <c r="L91" s="6"/>
      <c r="M91" s="6"/>
      <c r="N91" s="6">
        <f t="shared" si="7"/>
        <v>1754</v>
      </c>
      <c r="O91" s="6">
        <f t="shared" si="8"/>
        <v>126551.1</v>
      </c>
      <c r="P91" s="6">
        <v>55</v>
      </c>
      <c r="Q91" s="6">
        <v>4193</v>
      </c>
      <c r="R91" s="6">
        <f t="shared" si="9"/>
        <v>662.60112022404473</v>
      </c>
      <c r="S91" s="6">
        <f t="shared" si="10"/>
        <v>47806.67082416483</v>
      </c>
    </row>
    <row r="92" spans="1:19" s="1" customFormat="1" ht="15" hidden="1" customHeight="1" outlineLevel="1" x14ac:dyDescent="0.25">
      <c r="A92" s="2" t="s">
        <v>341</v>
      </c>
      <c r="B92" s="2" t="s">
        <v>342</v>
      </c>
      <c r="C92" s="13">
        <v>105.82</v>
      </c>
      <c r="D92" s="6">
        <v>592.33000000000004</v>
      </c>
      <c r="E92" s="6">
        <v>100</v>
      </c>
      <c r="F92" s="6"/>
      <c r="G92" s="6"/>
      <c r="H92" s="6">
        <v>50</v>
      </c>
      <c r="I92" s="6">
        <v>5291</v>
      </c>
      <c r="J92" s="6">
        <v>2458</v>
      </c>
      <c r="K92" s="6">
        <v>260105.56</v>
      </c>
      <c r="L92" s="6"/>
      <c r="M92" s="6"/>
      <c r="N92" s="6">
        <f t="shared" si="7"/>
        <v>2508</v>
      </c>
      <c r="O92" s="6">
        <f t="shared" si="8"/>
        <v>265396.56</v>
      </c>
      <c r="P92" s="6">
        <v>2169</v>
      </c>
      <c r="Q92" s="6">
        <v>272022</v>
      </c>
      <c r="R92" s="6">
        <f t="shared" si="9"/>
        <v>1711.0515084496819</v>
      </c>
      <c r="S92" s="6">
        <f t="shared" si="10"/>
        <v>181063.47062414532</v>
      </c>
    </row>
    <row r="93" spans="1:19" s="1" customFormat="1" ht="15" hidden="1" customHeight="1" outlineLevel="1" x14ac:dyDescent="0.25">
      <c r="A93" s="2" t="s">
        <v>319</v>
      </c>
      <c r="B93" s="2" t="s">
        <v>320</v>
      </c>
      <c r="C93" s="13">
        <v>46.75</v>
      </c>
      <c r="D93" s="6">
        <v>42.8</v>
      </c>
      <c r="E93" s="6">
        <v>100</v>
      </c>
      <c r="F93" s="6">
        <v>30</v>
      </c>
      <c r="G93" s="6">
        <v>1402.5</v>
      </c>
      <c r="H93" s="6">
        <v>1</v>
      </c>
      <c r="I93" s="6">
        <v>46.75</v>
      </c>
      <c r="J93" s="6">
        <v>0</v>
      </c>
      <c r="K93" s="6">
        <v>0</v>
      </c>
      <c r="L93" s="6">
        <v>4800</v>
      </c>
      <c r="M93" s="6">
        <v>224400</v>
      </c>
      <c r="N93" s="6">
        <f t="shared" si="7"/>
        <v>4831</v>
      </c>
      <c r="O93" s="6">
        <f t="shared" si="8"/>
        <v>225849.25</v>
      </c>
      <c r="P93" s="6">
        <v>619</v>
      </c>
      <c r="Q93" s="6">
        <v>27307</v>
      </c>
      <c r="R93" s="6"/>
      <c r="S93" s="6"/>
    </row>
    <row r="94" spans="1:19" s="1" customFormat="1" ht="15" hidden="1" customHeight="1" outlineLevel="1" x14ac:dyDescent="0.25">
      <c r="A94" s="2" t="s">
        <v>57</v>
      </c>
      <c r="B94" s="2" t="s">
        <v>58</v>
      </c>
      <c r="C94" s="13">
        <v>45</v>
      </c>
      <c r="D94" s="6">
        <v>150.88</v>
      </c>
      <c r="E94" s="6">
        <v>100</v>
      </c>
      <c r="F94" s="6"/>
      <c r="G94" s="6"/>
      <c r="H94" s="6">
        <v>215</v>
      </c>
      <c r="I94" s="6">
        <v>9675</v>
      </c>
      <c r="J94" s="6">
        <v>314</v>
      </c>
      <c r="K94" s="6">
        <v>14130</v>
      </c>
      <c r="L94" s="6">
        <v>5500</v>
      </c>
      <c r="M94" s="6">
        <v>247500</v>
      </c>
      <c r="N94" s="6">
        <f t="shared" si="7"/>
        <v>6029</v>
      </c>
      <c r="O94" s="6">
        <f t="shared" si="8"/>
        <v>271305</v>
      </c>
      <c r="P94" s="6">
        <v>120</v>
      </c>
      <c r="Q94" s="6">
        <v>5630</v>
      </c>
      <c r="R94" s="6"/>
      <c r="S94" s="6"/>
    </row>
    <row r="95" spans="1:19" s="1" customFormat="1" ht="15" hidden="1" customHeight="1" outlineLevel="1" x14ac:dyDescent="0.25">
      <c r="A95" s="2" t="s">
        <v>287</v>
      </c>
      <c r="B95" s="2" t="s">
        <v>288</v>
      </c>
      <c r="C95" s="13">
        <v>448.96</v>
      </c>
      <c r="D95" s="6">
        <v>121.75</v>
      </c>
      <c r="E95" s="6">
        <v>100</v>
      </c>
      <c r="F95" s="6">
        <v>4</v>
      </c>
      <c r="G95" s="6">
        <v>1795.84</v>
      </c>
      <c r="H95" s="6">
        <v>6</v>
      </c>
      <c r="I95" s="6">
        <v>2693.76</v>
      </c>
      <c r="J95" s="6">
        <v>949</v>
      </c>
      <c r="K95" s="6">
        <v>426063.04</v>
      </c>
      <c r="L95" s="6"/>
      <c r="M95" s="6"/>
      <c r="N95" s="6">
        <f t="shared" si="7"/>
        <v>959</v>
      </c>
      <c r="O95" s="6">
        <f t="shared" si="8"/>
        <v>430552.63999999996</v>
      </c>
      <c r="P95" s="6">
        <v>69</v>
      </c>
      <c r="Q95" s="6">
        <v>28633</v>
      </c>
      <c r="R95" s="6"/>
      <c r="S95" s="6"/>
    </row>
    <row r="96" spans="1:19" s="1" customFormat="1" ht="15" hidden="1" customHeight="1" outlineLevel="1" x14ac:dyDescent="0.25">
      <c r="A96" s="2" t="s">
        <v>171</v>
      </c>
      <c r="B96" s="2" t="s">
        <v>172</v>
      </c>
      <c r="C96" s="13">
        <v>216.19</v>
      </c>
      <c r="D96" s="6">
        <v>212.76</v>
      </c>
      <c r="E96" s="6">
        <v>100</v>
      </c>
      <c r="F96" s="6"/>
      <c r="G96" s="6"/>
      <c r="H96" s="6">
        <v>13</v>
      </c>
      <c r="I96" s="6">
        <v>2810.47</v>
      </c>
      <c r="J96" s="6">
        <v>1031</v>
      </c>
      <c r="K96" s="6">
        <v>222891.89</v>
      </c>
      <c r="L96" s="6"/>
      <c r="M96" s="6"/>
      <c r="N96" s="6">
        <f t="shared" si="7"/>
        <v>1044</v>
      </c>
      <c r="O96" s="6">
        <f t="shared" si="8"/>
        <v>225702.36</v>
      </c>
      <c r="P96" s="6">
        <v>52</v>
      </c>
      <c r="Q96" s="6">
        <v>11817</v>
      </c>
      <c r="R96" s="6">
        <f t="shared" si="9"/>
        <v>158.74957698815564</v>
      </c>
      <c r="S96" s="6">
        <f t="shared" si="10"/>
        <v>34320.071049069367</v>
      </c>
    </row>
    <row r="97" spans="1:19" s="1" customFormat="1" ht="15" hidden="1" customHeight="1" outlineLevel="1" x14ac:dyDescent="0.25">
      <c r="A97" s="2" t="s">
        <v>145</v>
      </c>
      <c r="B97" s="2" t="s">
        <v>146</v>
      </c>
      <c r="C97" s="13">
        <v>729.11</v>
      </c>
      <c r="D97" s="6">
        <v>78.290000000000006</v>
      </c>
      <c r="E97" s="6">
        <v>100</v>
      </c>
      <c r="F97" s="6"/>
      <c r="G97" s="6"/>
      <c r="H97" s="6">
        <v>2</v>
      </c>
      <c r="I97" s="6">
        <v>1458.22</v>
      </c>
      <c r="J97" s="6">
        <v>203</v>
      </c>
      <c r="K97" s="6">
        <v>148009.32999999999</v>
      </c>
      <c r="L97" s="6"/>
      <c r="M97" s="6"/>
      <c r="N97" s="6">
        <f t="shared" si="7"/>
        <v>205</v>
      </c>
      <c r="O97" s="6">
        <f t="shared" si="8"/>
        <v>149467.54999999999</v>
      </c>
      <c r="P97" s="6">
        <v>10</v>
      </c>
      <c r="Q97" s="6">
        <v>6823</v>
      </c>
      <c r="R97" s="6"/>
      <c r="S97" s="6"/>
    </row>
    <row r="98" spans="1:19" s="1" customFormat="1" ht="15" hidden="1" customHeight="1" outlineLevel="1" x14ac:dyDescent="0.25">
      <c r="A98" s="2" t="s">
        <v>237</v>
      </c>
      <c r="B98" s="2" t="s">
        <v>238</v>
      </c>
      <c r="C98" s="13">
        <v>2005.83</v>
      </c>
      <c r="D98" s="6">
        <v>15699</v>
      </c>
      <c r="E98" s="6">
        <v>100</v>
      </c>
      <c r="F98" s="6"/>
      <c r="G98" s="6"/>
      <c r="H98" s="6"/>
      <c r="I98" s="6"/>
      <c r="J98" s="6">
        <v>1022</v>
      </c>
      <c r="K98" s="6">
        <v>2049958.26</v>
      </c>
      <c r="L98" s="6"/>
      <c r="M98" s="6"/>
      <c r="N98" s="6">
        <f t="shared" si="7"/>
        <v>1022</v>
      </c>
      <c r="O98" s="6">
        <f t="shared" si="8"/>
        <v>2049958.26</v>
      </c>
      <c r="P98" s="6">
        <v>1</v>
      </c>
      <c r="Q98" s="6">
        <v>2098</v>
      </c>
      <c r="R98" s="6">
        <f t="shared" si="9"/>
        <v>1010.2820561819224</v>
      </c>
      <c r="S98" s="6">
        <f t="shared" si="10"/>
        <v>2026454.0567513853</v>
      </c>
    </row>
    <row r="99" spans="1:19" s="1" customFormat="1" ht="15" hidden="1" customHeight="1" outlineLevel="1" x14ac:dyDescent="0.25">
      <c r="A99" s="2" t="s">
        <v>349</v>
      </c>
      <c r="B99" s="2" t="s">
        <v>350</v>
      </c>
      <c r="C99" s="13">
        <v>294.23</v>
      </c>
      <c r="D99" s="6"/>
      <c r="E99" s="6">
        <v>5.38</v>
      </c>
      <c r="F99" s="6"/>
      <c r="G99" s="6"/>
      <c r="H99" s="6">
        <v>10</v>
      </c>
      <c r="I99" s="6">
        <v>2942.3</v>
      </c>
      <c r="J99" s="6">
        <v>590</v>
      </c>
      <c r="K99" s="6">
        <v>173595.7</v>
      </c>
      <c r="L99" s="6">
        <v>1000</v>
      </c>
      <c r="M99" s="6">
        <v>294230</v>
      </c>
      <c r="N99" s="6">
        <f t="shared" si="7"/>
        <v>1600</v>
      </c>
      <c r="O99" s="6">
        <f t="shared" si="8"/>
        <v>470768</v>
      </c>
      <c r="P99" s="6"/>
      <c r="Q99" s="6"/>
      <c r="R99" s="6"/>
      <c r="S99" s="6"/>
    </row>
    <row r="100" spans="1:19" s="1" customFormat="1" ht="15" hidden="1" customHeight="1" outlineLevel="1" x14ac:dyDescent="0.25">
      <c r="A100" s="2" t="s">
        <v>339</v>
      </c>
      <c r="B100" s="2" t="s">
        <v>340</v>
      </c>
      <c r="C100" s="13">
        <v>562.51</v>
      </c>
      <c r="D100" s="6">
        <v>469.07</v>
      </c>
      <c r="E100" s="6">
        <v>100</v>
      </c>
      <c r="F100" s="6">
        <v>10</v>
      </c>
      <c r="G100" s="6">
        <v>5625.1</v>
      </c>
      <c r="H100" s="6">
        <v>78</v>
      </c>
      <c r="I100" s="6">
        <v>43875.78</v>
      </c>
      <c r="J100" s="6">
        <v>1821</v>
      </c>
      <c r="K100" s="6">
        <v>1024330.71</v>
      </c>
      <c r="L100" s="6"/>
      <c r="M100" s="6"/>
      <c r="N100" s="6">
        <f t="shared" si="7"/>
        <v>1909</v>
      </c>
      <c r="O100" s="6">
        <f t="shared" si="8"/>
        <v>1073831.5900000001</v>
      </c>
      <c r="P100" s="6">
        <v>34</v>
      </c>
      <c r="Q100" s="6">
        <v>20078</v>
      </c>
      <c r="R100" s="6">
        <f t="shared" si="9"/>
        <v>1122.2130385656726</v>
      </c>
      <c r="S100" s="6">
        <f t="shared" si="10"/>
        <v>631256.05632357649</v>
      </c>
    </row>
    <row r="101" spans="1:19" s="1" customFormat="1" ht="15" hidden="1" customHeight="1" outlineLevel="1" x14ac:dyDescent="0.25">
      <c r="A101" s="2" t="s">
        <v>953</v>
      </c>
      <c r="B101" s="2" t="s">
        <v>954</v>
      </c>
      <c r="C101" s="13">
        <v>375.58</v>
      </c>
      <c r="D101" s="6">
        <v>581.32000000000005</v>
      </c>
      <c r="E101" s="6">
        <v>100</v>
      </c>
      <c r="F101" s="6"/>
      <c r="G101" s="6"/>
      <c r="H101" s="6"/>
      <c r="I101" s="6"/>
      <c r="J101" s="6">
        <v>204</v>
      </c>
      <c r="K101" s="6">
        <v>76618.320000000007</v>
      </c>
      <c r="L101" s="6">
        <v>400</v>
      </c>
      <c r="M101" s="6">
        <v>150232</v>
      </c>
      <c r="N101" s="6">
        <f t="shared" si="7"/>
        <v>604</v>
      </c>
      <c r="O101" s="6">
        <f t="shared" si="8"/>
        <v>226850.31999999998</v>
      </c>
      <c r="P101" s="6">
        <v>12</v>
      </c>
      <c r="Q101" s="6">
        <v>4598</v>
      </c>
      <c r="R101" s="6">
        <f t="shared" si="9"/>
        <v>140.83341361040391</v>
      </c>
      <c r="S101" s="6">
        <f t="shared" si="10"/>
        <v>52894.213483795495</v>
      </c>
    </row>
    <row r="102" spans="1:19" s="1" customFormat="1" ht="15" hidden="1" customHeight="1" outlineLevel="1" x14ac:dyDescent="0.25">
      <c r="A102" s="2" t="s">
        <v>105</v>
      </c>
      <c r="B102" s="2" t="s">
        <v>106</v>
      </c>
      <c r="C102" s="13">
        <v>270.25</v>
      </c>
      <c r="D102" s="6">
        <v>390.55</v>
      </c>
      <c r="E102" s="6">
        <v>100</v>
      </c>
      <c r="F102" s="6"/>
      <c r="G102" s="6"/>
      <c r="H102" s="6">
        <v>30</v>
      </c>
      <c r="I102" s="6">
        <v>8107.5</v>
      </c>
      <c r="J102" s="6">
        <v>344</v>
      </c>
      <c r="K102" s="6">
        <v>92966</v>
      </c>
      <c r="L102" s="6"/>
      <c r="M102" s="6"/>
      <c r="N102" s="6">
        <f t="shared" si="7"/>
        <v>374</v>
      </c>
      <c r="O102" s="6">
        <f t="shared" si="8"/>
        <v>101073.5</v>
      </c>
      <c r="P102" s="6">
        <v>50</v>
      </c>
      <c r="Q102" s="6">
        <v>14349</v>
      </c>
      <c r="R102" s="6">
        <f t="shared" si="9"/>
        <v>185.45435923697349</v>
      </c>
      <c r="S102" s="6">
        <f t="shared" si="10"/>
        <v>50119.040583792084</v>
      </c>
    </row>
    <row r="103" spans="1:19" s="1" customFormat="1" ht="15" hidden="1" customHeight="1" outlineLevel="1" x14ac:dyDescent="0.25">
      <c r="A103" s="2" t="s">
        <v>31</v>
      </c>
      <c r="B103" s="2" t="s">
        <v>32</v>
      </c>
      <c r="C103" s="13">
        <v>50.54</v>
      </c>
      <c r="D103" s="6">
        <v>229.62</v>
      </c>
      <c r="E103" s="6">
        <v>100</v>
      </c>
      <c r="F103" s="6"/>
      <c r="G103" s="6"/>
      <c r="H103" s="6">
        <v>35</v>
      </c>
      <c r="I103" s="6">
        <v>1768.9</v>
      </c>
      <c r="J103" s="6">
        <v>1173</v>
      </c>
      <c r="K103" s="6">
        <v>59283.42</v>
      </c>
      <c r="L103" s="6">
        <v>6000</v>
      </c>
      <c r="M103" s="6">
        <v>303240</v>
      </c>
      <c r="N103" s="6">
        <f t="shared" si="7"/>
        <v>7208</v>
      </c>
      <c r="O103" s="6">
        <f t="shared" si="8"/>
        <v>364292.32</v>
      </c>
      <c r="P103" s="6">
        <v>183</v>
      </c>
      <c r="Q103" s="6">
        <v>9640</v>
      </c>
      <c r="R103" s="6">
        <f t="shared" si="9"/>
        <v>253.48079435589239</v>
      </c>
      <c r="S103" s="6">
        <f t="shared" si="10"/>
        <v>12810.919346746801</v>
      </c>
    </row>
    <row r="104" spans="1:19" s="1" customFormat="1" ht="15" hidden="1" customHeight="1" outlineLevel="1" x14ac:dyDescent="0.25">
      <c r="A104" s="2" t="s">
        <v>682</v>
      </c>
      <c r="B104" s="2" t="s">
        <v>683</v>
      </c>
      <c r="C104" s="13">
        <v>375.58</v>
      </c>
      <c r="D104" s="6">
        <v>83.34</v>
      </c>
      <c r="E104" s="6">
        <v>100</v>
      </c>
      <c r="F104" s="6"/>
      <c r="G104" s="6"/>
      <c r="H104" s="6"/>
      <c r="I104" s="6"/>
      <c r="J104" s="6">
        <v>87</v>
      </c>
      <c r="K104" s="6">
        <v>32675.46</v>
      </c>
      <c r="L104" s="6">
        <v>2040</v>
      </c>
      <c r="M104" s="6">
        <v>766183.2</v>
      </c>
      <c r="N104" s="6">
        <f t="shared" si="7"/>
        <v>2127</v>
      </c>
      <c r="O104" s="6">
        <f t="shared" si="8"/>
        <v>798858.65999999992</v>
      </c>
      <c r="P104" s="6">
        <v>93</v>
      </c>
      <c r="Q104" s="6">
        <v>35947</v>
      </c>
      <c r="R104" s="6"/>
      <c r="S104" s="6"/>
    </row>
    <row r="105" spans="1:19" s="1" customFormat="1" ht="15" hidden="1" customHeight="1" outlineLevel="1" x14ac:dyDescent="0.25">
      <c r="A105" s="2" t="s">
        <v>147</v>
      </c>
      <c r="B105" s="2" t="s">
        <v>148</v>
      </c>
      <c r="C105" s="13">
        <v>842.36</v>
      </c>
      <c r="D105" s="6">
        <v>300.73</v>
      </c>
      <c r="E105" s="6">
        <v>100</v>
      </c>
      <c r="F105" s="6">
        <v>5</v>
      </c>
      <c r="G105" s="6">
        <v>4211.8</v>
      </c>
      <c r="H105" s="6">
        <v>2</v>
      </c>
      <c r="I105" s="6">
        <v>1684.72</v>
      </c>
      <c r="J105" s="6">
        <v>195</v>
      </c>
      <c r="K105" s="6">
        <v>164260.20000000001</v>
      </c>
      <c r="L105" s="6"/>
      <c r="M105" s="6"/>
      <c r="N105" s="6">
        <f t="shared" si="7"/>
        <v>202</v>
      </c>
      <c r="O105" s="6">
        <f t="shared" si="8"/>
        <v>170156.72</v>
      </c>
      <c r="P105" s="6">
        <v>7</v>
      </c>
      <c r="Q105" s="6">
        <v>5564</v>
      </c>
      <c r="R105" s="6">
        <f t="shared" si="9"/>
        <v>78.284008911648328</v>
      </c>
      <c r="S105" s="6">
        <f t="shared" si="10"/>
        <v>65943.317746816087</v>
      </c>
    </row>
    <row r="106" spans="1:19" s="1" customFormat="1" ht="15" hidden="1" customHeight="1" outlineLevel="1" x14ac:dyDescent="0.25">
      <c r="A106" s="2" t="s">
        <v>179</v>
      </c>
      <c r="B106" s="2" t="s">
        <v>180</v>
      </c>
      <c r="C106" s="13">
        <v>661.82</v>
      </c>
      <c r="D106" s="6">
        <v>191.9</v>
      </c>
      <c r="E106" s="6">
        <v>100</v>
      </c>
      <c r="F106" s="6"/>
      <c r="G106" s="6"/>
      <c r="H106" s="6">
        <v>5</v>
      </c>
      <c r="I106" s="6">
        <v>3309.1</v>
      </c>
      <c r="J106" s="6">
        <v>143</v>
      </c>
      <c r="K106" s="6">
        <v>94640.26</v>
      </c>
      <c r="L106" s="6">
        <v>500</v>
      </c>
      <c r="M106" s="6">
        <v>330910</v>
      </c>
      <c r="N106" s="6">
        <f t="shared" si="7"/>
        <v>648</v>
      </c>
      <c r="O106" s="6">
        <f t="shared" si="8"/>
        <v>428859.36000000004</v>
      </c>
      <c r="P106" s="6">
        <v>21</v>
      </c>
      <c r="Q106" s="6">
        <v>14261</v>
      </c>
      <c r="R106" s="6">
        <f t="shared" si="9"/>
        <v>8.8676393955185038</v>
      </c>
      <c r="S106" s="6">
        <f t="shared" si="10"/>
        <v>5868.7811047420564</v>
      </c>
    </row>
    <row r="107" spans="1:19" s="1" customFormat="1" ht="15" hidden="1" customHeight="1" outlineLevel="1" x14ac:dyDescent="0.25">
      <c r="A107" s="2" t="s">
        <v>277</v>
      </c>
      <c r="B107" s="2" t="s">
        <v>278</v>
      </c>
      <c r="C107" s="13">
        <v>552.41</v>
      </c>
      <c r="D107" s="6"/>
      <c r="E107" s="6">
        <v>5.38</v>
      </c>
      <c r="F107" s="6">
        <v>40</v>
      </c>
      <c r="G107" s="6">
        <v>22096.400000000001</v>
      </c>
      <c r="H107" s="6">
        <v>31</v>
      </c>
      <c r="I107" s="6">
        <v>17124.71</v>
      </c>
      <c r="J107" s="6">
        <v>829</v>
      </c>
      <c r="K107" s="6">
        <v>457947.89</v>
      </c>
      <c r="L107" s="6"/>
      <c r="M107" s="6"/>
      <c r="N107" s="6">
        <f t="shared" si="7"/>
        <v>900</v>
      </c>
      <c r="O107" s="6">
        <f t="shared" si="8"/>
        <v>497169</v>
      </c>
      <c r="P107" s="6"/>
      <c r="Q107" s="6"/>
      <c r="R107" s="6"/>
      <c r="S107" s="6"/>
    </row>
    <row r="108" spans="1:19" s="1" customFormat="1" ht="15" hidden="1" customHeight="1" outlineLevel="1" x14ac:dyDescent="0.25">
      <c r="A108" s="2" t="s">
        <v>385</v>
      </c>
      <c r="B108" s="2" t="s">
        <v>386</v>
      </c>
      <c r="C108" s="13">
        <v>209.22</v>
      </c>
      <c r="D108" s="6">
        <v>547.04</v>
      </c>
      <c r="E108" s="6">
        <v>100</v>
      </c>
      <c r="F108" s="6">
        <v>54</v>
      </c>
      <c r="G108" s="6">
        <v>11297.88</v>
      </c>
      <c r="H108" s="6">
        <v>76</v>
      </c>
      <c r="I108" s="6">
        <v>15900.72</v>
      </c>
      <c r="J108" s="6">
        <v>3942</v>
      </c>
      <c r="K108" s="6">
        <v>824745.24</v>
      </c>
      <c r="L108" s="6"/>
      <c r="M108" s="6"/>
      <c r="N108" s="6">
        <f t="shared" si="7"/>
        <v>4072</v>
      </c>
      <c r="O108" s="6">
        <f t="shared" si="8"/>
        <v>851943.84</v>
      </c>
      <c r="P108" s="6">
        <v>186</v>
      </c>
      <c r="Q108" s="6">
        <v>39432</v>
      </c>
      <c r="R108" s="6">
        <f t="shared" si="9"/>
        <v>2644.9102076630593</v>
      </c>
      <c r="S108" s="6">
        <f t="shared" si="10"/>
        <v>553368.11364726524</v>
      </c>
    </row>
    <row r="109" spans="1:19" s="1" customFormat="1" ht="15" hidden="1" customHeight="1" outlineLevel="1" x14ac:dyDescent="0.25">
      <c r="A109" s="2" t="s">
        <v>289</v>
      </c>
      <c r="B109" s="2" t="s">
        <v>290</v>
      </c>
      <c r="C109" s="13">
        <v>448.96</v>
      </c>
      <c r="D109" s="6">
        <v>363.21</v>
      </c>
      <c r="E109" s="6">
        <v>100</v>
      </c>
      <c r="F109" s="6">
        <v>8</v>
      </c>
      <c r="G109" s="6">
        <v>3591.68</v>
      </c>
      <c r="H109" s="6">
        <v>23</v>
      </c>
      <c r="I109" s="6">
        <v>10326.08</v>
      </c>
      <c r="J109" s="6">
        <v>394</v>
      </c>
      <c r="K109" s="6">
        <v>176890.23999999999</v>
      </c>
      <c r="L109" s="6"/>
      <c r="M109" s="6"/>
      <c r="N109" s="6">
        <f t="shared" si="7"/>
        <v>425</v>
      </c>
      <c r="O109" s="6">
        <f t="shared" si="8"/>
        <v>190808</v>
      </c>
      <c r="P109" s="6">
        <v>41</v>
      </c>
      <c r="Q109" s="6">
        <v>17054</v>
      </c>
      <c r="R109" s="6">
        <f t="shared" si="9"/>
        <v>198.74105889155032</v>
      </c>
      <c r="S109" s="6">
        <f t="shared" si="10"/>
        <v>89226.785799950434</v>
      </c>
    </row>
    <row r="110" spans="1:19" s="1" customFormat="1" ht="15" hidden="1" customHeight="1" outlineLevel="1" x14ac:dyDescent="0.25">
      <c r="A110" s="2" t="s">
        <v>331</v>
      </c>
      <c r="B110" s="2" t="s">
        <v>332</v>
      </c>
      <c r="C110" s="13">
        <v>78.08</v>
      </c>
      <c r="D110" s="6">
        <v>87.41</v>
      </c>
      <c r="E110" s="6">
        <v>29.03</v>
      </c>
      <c r="F110" s="6"/>
      <c r="G110" s="6"/>
      <c r="H110" s="6">
        <v>95</v>
      </c>
      <c r="I110" s="6">
        <v>7417.6</v>
      </c>
      <c r="J110" s="6">
        <v>765</v>
      </c>
      <c r="K110" s="6">
        <v>59731.199999999997</v>
      </c>
      <c r="L110" s="6">
        <v>7000</v>
      </c>
      <c r="M110" s="6">
        <v>546560</v>
      </c>
      <c r="N110" s="6">
        <f t="shared" si="7"/>
        <v>7860</v>
      </c>
      <c r="O110" s="6">
        <f t="shared" si="8"/>
        <v>613708.79999999993</v>
      </c>
      <c r="P110" s="6">
        <v>113</v>
      </c>
      <c r="Q110" s="6">
        <v>9060</v>
      </c>
      <c r="R110" s="6"/>
      <c r="S110" s="6"/>
    </row>
    <row r="111" spans="1:19" s="1" customFormat="1" ht="15" hidden="1" customHeight="1" outlineLevel="1" x14ac:dyDescent="0.25">
      <c r="A111" s="2" t="s">
        <v>53</v>
      </c>
      <c r="B111" s="2" t="s">
        <v>54</v>
      </c>
      <c r="C111" s="13">
        <v>45</v>
      </c>
      <c r="D111" s="6">
        <v>197.76</v>
      </c>
      <c r="E111" s="6">
        <v>100</v>
      </c>
      <c r="F111" s="6"/>
      <c r="G111" s="6"/>
      <c r="H111" s="6">
        <v>20</v>
      </c>
      <c r="I111" s="6">
        <v>900</v>
      </c>
      <c r="J111" s="6">
        <v>1128</v>
      </c>
      <c r="K111" s="6">
        <v>50760</v>
      </c>
      <c r="L111" s="6">
        <v>600</v>
      </c>
      <c r="M111" s="6">
        <v>27000</v>
      </c>
      <c r="N111" s="6">
        <f t="shared" si="7"/>
        <v>1748</v>
      </c>
      <c r="O111" s="6">
        <f t="shared" si="8"/>
        <v>78660</v>
      </c>
      <c r="P111" s="6">
        <v>192</v>
      </c>
      <c r="Q111" s="6">
        <v>8686</v>
      </c>
      <c r="R111" s="6">
        <f t="shared" si="9"/>
        <v>101.30097087378637</v>
      </c>
      <c r="S111" s="6">
        <f t="shared" si="10"/>
        <v>4558.5436893203869</v>
      </c>
    </row>
    <row r="112" spans="1:19" s="1" customFormat="1" ht="15" hidden="1" customHeight="1" outlineLevel="1" x14ac:dyDescent="0.25">
      <c r="A112" s="2" t="s">
        <v>1299</v>
      </c>
      <c r="B112" s="2" t="s">
        <v>1300</v>
      </c>
      <c r="C112" s="13">
        <v>109.01</v>
      </c>
      <c r="D112" s="6">
        <v>413.9</v>
      </c>
      <c r="E112" s="6">
        <v>100</v>
      </c>
      <c r="F112" s="6"/>
      <c r="G112" s="6"/>
      <c r="H112" s="6"/>
      <c r="I112" s="6"/>
      <c r="J112" s="6">
        <v>288</v>
      </c>
      <c r="K112" s="6">
        <v>31394.880000000001</v>
      </c>
      <c r="L112" s="6"/>
      <c r="M112" s="6"/>
      <c r="N112" s="6">
        <f t="shared" si="7"/>
        <v>288</v>
      </c>
      <c r="O112" s="6">
        <f t="shared" si="8"/>
        <v>31394.880000000001</v>
      </c>
      <c r="P112" s="6">
        <v>16</v>
      </c>
      <c r="Q112" s="6">
        <v>1786</v>
      </c>
      <c r="R112" s="6">
        <f t="shared" si="9"/>
        <v>162.75235564145927</v>
      </c>
      <c r="S112" s="6">
        <f t="shared" si="10"/>
        <v>17741.634288475478</v>
      </c>
    </row>
    <row r="113" spans="1:19" s="1" customFormat="1" ht="15" hidden="1" customHeight="1" outlineLevel="1" x14ac:dyDescent="0.25">
      <c r="A113" s="2" t="s">
        <v>169</v>
      </c>
      <c r="B113" s="2" t="s">
        <v>170</v>
      </c>
      <c r="C113" s="13">
        <v>195.26</v>
      </c>
      <c r="D113" s="6"/>
      <c r="E113" s="6"/>
      <c r="F113" s="6"/>
      <c r="G113" s="6"/>
      <c r="H113" s="6"/>
      <c r="I113" s="6"/>
      <c r="J113" s="6">
        <v>3150</v>
      </c>
      <c r="K113" s="6">
        <v>615069</v>
      </c>
      <c r="L113" s="6"/>
      <c r="M113" s="6"/>
      <c r="N113" s="6">
        <f t="shared" si="7"/>
        <v>3150</v>
      </c>
      <c r="O113" s="6">
        <f t="shared" si="8"/>
        <v>615069</v>
      </c>
      <c r="P113" s="6"/>
      <c r="Q113" s="6"/>
      <c r="R113" s="6"/>
      <c r="S113" s="6"/>
    </row>
    <row r="114" spans="1:19" s="1" customFormat="1" ht="15" hidden="1" customHeight="1" outlineLevel="1" x14ac:dyDescent="0.25">
      <c r="A114" s="2" t="s">
        <v>207</v>
      </c>
      <c r="B114" s="2" t="s">
        <v>208</v>
      </c>
      <c r="C114" s="13">
        <v>319.45</v>
      </c>
      <c r="D114" s="6">
        <v>154.58000000000001</v>
      </c>
      <c r="E114" s="6">
        <v>100</v>
      </c>
      <c r="F114" s="6">
        <v>12</v>
      </c>
      <c r="G114" s="6">
        <v>3833.4</v>
      </c>
      <c r="H114" s="6">
        <v>7</v>
      </c>
      <c r="I114" s="6">
        <v>2236.15</v>
      </c>
      <c r="J114" s="6">
        <v>761</v>
      </c>
      <c r="K114" s="6">
        <v>243101.45</v>
      </c>
      <c r="L114" s="6"/>
      <c r="M114" s="6"/>
      <c r="N114" s="6">
        <f t="shared" si="7"/>
        <v>780</v>
      </c>
      <c r="O114" s="6">
        <f t="shared" si="8"/>
        <v>249171</v>
      </c>
      <c r="P114" s="6">
        <v>64</v>
      </c>
      <c r="Q114" s="6">
        <v>21453</v>
      </c>
      <c r="R114" s="6"/>
      <c r="S114" s="6"/>
    </row>
    <row r="115" spans="1:19" s="1" customFormat="1" ht="15" hidden="1" customHeight="1" outlineLevel="1" x14ac:dyDescent="0.25">
      <c r="A115" s="2" t="s">
        <v>153</v>
      </c>
      <c r="B115" s="2" t="s">
        <v>154</v>
      </c>
      <c r="C115" s="13">
        <v>774.01</v>
      </c>
      <c r="D115" s="6">
        <v>92.25</v>
      </c>
      <c r="E115" s="6">
        <v>100</v>
      </c>
      <c r="F115" s="6">
        <v>5</v>
      </c>
      <c r="G115" s="6">
        <v>3870.05</v>
      </c>
      <c r="H115" s="6">
        <v>5</v>
      </c>
      <c r="I115" s="6">
        <v>3870.05</v>
      </c>
      <c r="J115" s="6">
        <v>109</v>
      </c>
      <c r="K115" s="6">
        <v>84367.09</v>
      </c>
      <c r="L115" s="6"/>
      <c r="M115" s="6"/>
      <c r="N115" s="6">
        <f t="shared" si="7"/>
        <v>119</v>
      </c>
      <c r="O115" s="6">
        <f t="shared" si="8"/>
        <v>92107.19</v>
      </c>
      <c r="P115" s="6">
        <v>29</v>
      </c>
      <c r="Q115" s="6">
        <v>21261</v>
      </c>
      <c r="R115" s="6"/>
      <c r="S115" s="6"/>
    </row>
    <row r="116" spans="1:19" s="1" customFormat="1" ht="15" hidden="1" customHeight="1" outlineLevel="1" x14ac:dyDescent="0.25">
      <c r="A116" s="2" t="s">
        <v>223</v>
      </c>
      <c r="B116" s="2" t="s">
        <v>224</v>
      </c>
      <c r="C116" s="13">
        <v>648.98</v>
      </c>
      <c r="D116" s="6">
        <v>100.22</v>
      </c>
      <c r="E116" s="6">
        <v>38.71</v>
      </c>
      <c r="F116" s="6"/>
      <c r="G116" s="6"/>
      <c r="H116" s="6">
        <v>5</v>
      </c>
      <c r="I116" s="6">
        <v>3244.9</v>
      </c>
      <c r="J116" s="6">
        <v>180</v>
      </c>
      <c r="K116" s="6">
        <v>116816.4</v>
      </c>
      <c r="L116" s="6">
        <v>256</v>
      </c>
      <c r="M116" s="6">
        <v>166138.88</v>
      </c>
      <c r="N116" s="6">
        <f t="shared" si="7"/>
        <v>441</v>
      </c>
      <c r="O116" s="6">
        <f t="shared" si="8"/>
        <v>286200.18</v>
      </c>
      <c r="P116" s="6">
        <v>34</v>
      </c>
      <c r="Q116" s="6">
        <v>23290</v>
      </c>
      <c r="R116" s="6"/>
      <c r="S116" s="6"/>
    </row>
    <row r="117" spans="1:19" s="1" customFormat="1" ht="15" hidden="1" customHeight="1" outlineLevel="1" x14ac:dyDescent="0.25">
      <c r="A117" s="2" t="s">
        <v>397</v>
      </c>
      <c r="B117" s="2" t="s">
        <v>398</v>
      </c>
      <c r="C117" s="13">
        <v>307.07</v>
      </c>
      <c r="D117" s="6"/>
      <c r="E117" s="6">
        <v>100</v>
      </c>
      <c r="F117" s="6">
        <v>50</v>
      </c>
      <c r="G117" s="6">
        <v>15353.5</v>
      </c>
      <c r="H117" s="6">
        <v>24</v>
      </c>
      <c r="I117" s="6">
        <v>7369.68</v>
      </c>
      <c r="J117" s="6">
        <v>263</v>
      </c>
      <c r="K117" s="6">
        <v>80759.41</v>
      </c>
      <c r="L117" s="6">
        <v>528</v>
      </c>
      <c r="M117" s="6">
        <v>162132.96</v>
      </c>
      <c r="N117" s="6">
        <f t="shared" si="7"/>
        <v>865</v>
      </c>
      <c r="O117" s="6">
        <f t="shared" si="8"/>
        <v>265615.55</v>
      </c>
      <c r="P117" s="6"/>
      <c r="Q117" s="6"/>
      <c r="R117" s="6"/>
      <c r="S117" s="6"/>
    </row>
    <row r="118" spans="1:19" s="1" customFormat="1" ht="15" hidden="1" customHeight="1" outlineLevel="1" x14ac:dyDescent="0.25">
      <c r="A118" s="2" t="s">
        <v>983</v>
      </c>
      <c r="B118" s="2" t="s">
        <v>984</v>
      </c>
      <c r="C118" s="13">
        <v>154.59</v>
      </c>
      <c r="D118" s="6">
        <v>711.03</v>
      </c>
      <c r="E118" s="6">
        <v>100</v>
      </c>
      <c r="F118" s="6"/>
      <c r="G118" s="6"/>
      <c r="H118" s="6">
        <v>20</v>
      </c>
      <c r="I118" s="6">
        <v>3091.8</v>
      </c>
      <c r="J118" s="6">
        <v>368</v>
      </c>
      <c r="K118" s="6">
        <v>56889.120000000003</v>
      </c>
      <c r="L118" s="6"/>
      <c r="M118" s="6"/>
      <c r="N118" s="6">
        <f t="shared" si="7"/>
        <v>388</v>
      </c>
      <c r="O118" s="6">
        <f t="shared" si="8"/>
        <v>59980.92</v>
      </c>
      <c r="P118" s="6">
        <v>19</v>
      </c>
      <c r="Q118" s="6">
        <v>2980</v>
      </c>
      <c r="R118" s="6">
        <f t="shared" si="9"/>
        <v>274.83937386608164</v>
      </c>
      <c r="S118" s="6">
        <f t="shared" si="10"/>
        <v>42487.418805957561</v>
      </c>
    </row>
    <row r="119" spans="1:19" s="1" customFormat="1" ht="15" hidden="1" customHeight="1" outlineLevel="1" x14ac:dyDescent="0.25">
      <c r="A119" s="2" t="s">
        <v>279</v>
      </c>
      <c r="B119" s="2" t="s">
        <v>280</v>
      </c>
      <c r="C119" s="13">
        <v>514.61</v>
      </c>
      <c r="D119" s="6">
        <v>58.95</v>
      </c>
      <c r="E119" s="6">
        <v>100</v>
      </c>
      <c r="F119" s="6">
        <v>2</v>
      </c>
      <c r="G119" s="6">
        <v>1029.22</v>
      </c>
      <c r="H119" s="6"/>
      <c r="I119" s="6"/>
      <c r="J119" s="6">
        <v>560</v>
      </c>
      <c r="K119" s="6">
        <v>288181.59999999998</v>
      </c>
      <c r="L119" s="6"/>
      <c r="M119" s="6"/>
      <c r="N119" s="6">
        <f t="shared" si="7"/>
        <v>562</v>
      </c>
      <c r="O119" s="6">
        <f t="shared" si="8"/>
        <v>289210.82</v>
      </c>
      <c r="P119" s="6">
        <v>54</v>
      </c>
      <c r="Q119" s="6">
        <v>22106</v>
      </c>
      <c r="R119" s="6"/>
      <c r="S119" s="6"/>
    </row>
    <row r="120" spans="1:19" s="1" customFormat="1" ht="15" hidden="1" customHeight="1" outlineLevel="1" x14ac:dyDescent="0.25">
      <c r="A120" s="2" t="s">
        <v>981</v>
      </c>
      <c r="B120" s="2" t="s">
        <v>982</v>
      </c>
      <c r="C120" s="13">
        <v>88.15</v>
      </c>
      <c r="D120" s="6">
        <v>9530.48</v>
      </c>
      <c r="E120" s="6">
        <v>100</v>
      </c>
      <c r="F120" s="6"/>
      <c r="G120" s="6"/>
      <c r="H120" s="6">
        <v>4</v>
      </c>
      <c r="I120" s="6">
        <v>352.6</v>
      </c>
      <c r="J120" s="6">
        <v>6224</v>
      </c>
      <c r="K120" s="6">
        <v>548645.6</v>
      </c>
      <c r="L120" s="6"/>
      <c r="M120" s="6"/>
      <c r="N120" s="6">
        <f t="shared" si="7"/>
        <v>6228</v>
      </c>
      <c r="O120" s="6">
        <f t="shared" si="8"/>
        <v>548998.20000000007</v>
      </c>
      <c r="P120" s="6">
        <v>15</v>
      </c>
      <c r="Q120" s="6">
        <v>1392</v>
      </c>
      <c r="R120" s="6">
        <f t="shared" si="9"/>
        <v>6106.4487329074709</v>
      </c>
      <c r="S120" s="6">
        <f t="shared" si="10"/>
        <v>538283.45580579364</v>
      </c>
    </row>
    <row r="121" spans="1:19" s="1" customFormat="1" ht="15" hidden="1" customHeight="1" outlineLevel="1" x14ac:dyDescent="0.25">
      <c r="A121" s="2" t="s">
        <v>149</v>
      </c>
      <c r="B121" s="2" t="s">
        <v>150</v>
      </c>
      <c r="C121" s="13">
        <v>880.22</v>
      </c>
      <c r="D121" s="6">
        <v>2795.4</v>
      </c>
      <c r="E121" s="6">
        <v>100</v>
      </c>
      <c r="F121" s="6"/>
      <c r="G121" s="6"/>
      <c r="H121" s="6">
        <v>2</v>
      </c>
      <c r="I121" s="6">
        <v>1760.44</v>
      </c>
      <c r="J121" s="6">
        <v>192</v>
      </c>
      <c r="K121" s="6">
        <v>169002.23999999999</v>
      </c>
      <c r="L121" s="6"/>
      <c r="M121" s="6"/>
      <c r="N121" s="6">
        <f t="shared" si="7"/>
        <v>194</v>
      </c>
      <c r="O121" s="6">
        <f t="shared" si="8"/>
        <v>170762.68</v>
      </c>
      <c r="P121" s="6">
        <v>1</v>
      </c>
      <c r="Q121" s="6">
        <v>877</v>
      </c>
      <c r="R121" s="6">
        <f t="shared" si="9"/>
        <v>179.63683193818414</v>
      </c>
      <c r="S121" s="6">
        <f t="shared" si="10"/>
        <v>158119.93220862845</v>
      </c>
    </row>
    <row r="122" spans="1:19" s="1" customFormat="1" ht="15" hidden="1" customHeight="1" outlineLevel="1" x14ac:dyDescent="0.25">
      <c r="A122" s="2" t="s">
        <v>125</v>
      </c>
      <c r="B122" s="2" t="s">
        <v>126</v>
      </c>
      <c r="C122" s="13">
        <v>260.27999999999997</v>
      </c>
      <c r="D122" s="6">
        <v>829.46</v>
      </c>
      <c r="E122" s="6">
        <v>100</v>
      </c>
      <c r="F122" s="6">
        <v>20</v>
      </c>
      <c r="G122" s="6">
        <v>5205.6000000000004</v>
      </c>
      <c r="H122" s="6">
        <v>13</v>
      </c>
      <c r="I122" s="6">
        <v>3383.64</v>
      </c>
      <c r="J122" s="6">
        <v>434</v>
      </c>
      <c r="K122" s="6">
        <v>112961.52</v>
      </c>
      <c r="L122" s="6"/>
      <c r="M122" s="6"/>
      <c r="N122" s="6">
        <f t="shared" si="7"/>
        <v>467</v>
      </c>
      <c r="O122" s="6">
        <f t="shared" si="8"/>
        <v>121550.75999999998</v>
      </c>
      <c r="P122" s="6">
        <v>12</v>
      </c>
      <c r="Q122" s="6">
        <v>2921</v>
      </c>
      <c r="R122" s="6">
        <f t="shared" si="9"/>
        <v>339.81824319436743</v>
      </c>
      <c r="S122" s="6">
        <f t="shared" si="10"/>
        <v>88447.892338629943</v>
      </c>
    </row>
    <row r="123" spans="1:19" s="1" customFormat="1" ht="15" hidden="1" customHeight="1" outlineLevel="1" x14ac:dyDescent="0.25">
      <c r="A123" s="2" t="s">
        <v>313</v>
      </c>
      <c r="B123" s="2" t="s">
        <v>314</v>
      </c>
      <c r="C123" s="13">
        <v>242.16</v>
      </c>
      <c r="D123" s="6">
        <v>169.39</v>
      </c>
      <c r="E123" s="6">
        <v>100</v>
      </c>
      <c r="F123" s="6"/>
      <c r="G123" s="6"/>
      <c r="H123" s="6">
        <v>47</v>
      </c>
      <c r="I123" s="6">
        <v>11381.52</v>
      </c>
      <c r="J123" s="6">
        <v>1849</v>
      </c>
      <c r="K123" s="6">
        <v>447753.83999999997</v>
      </c>
      <c r="L123" s="6"/>
      <c r="M123" s="6"/>
      <c r="N123" s="6">
        <f t="shared" si="7"/>
        <v>1896</v>
      </c>
      <c r="O123" s="6">
        <f t="shared" si="8"/>
        <v>459135.36</v>
      </c>
      <c r="P123" s="6">
        <v>72</v>
      </c>
      <c r="Q123" s="6">
        <v>18212</v>
      </c>
      <c r="R123" s="6"/>
      <c r="S123" s="6"/>
    </row>
    <row r="124" spans="1:19" s="1" customFormat="1" ht="15" hidden="1" customHeight="1" outlineLevel="1" x14ac:dyDescent="0.25">
      <c r="A124" s="2" t="s">
        <v>596</v>
      </c>
      <c r="B124" s="2" t="s">
        <v>597</v>
      </c>
      <c r="C124" s="13">
        <v>80.95</v>
      </c>
      <c r="D124" s="6">
        <v>621.28</v>
      </c>
      <c r="E124" s="6">
        <v>100</v>
      </c>
      <c r="F124" s="6"/>
      <c r="G124" s="6"/>
      <c r="H124" s="6">
        <v>11</v>
      </c>
      <c r="I124" s="6">
        <v>890.45</v>
      </c>
      <c r="J124" s="6">
        <v>1028</v>
      </c>
      <c r="K124" s="6">
        <v>83216.600000000006</v>
      </c>
      <c r="L124" s="6"/>
      <c r="M124" s="6"/>
      <c r="N124" s="6">
        <f t="shared" si="7"/>
        <v>1039</v>
      </c>
      <c r="O124" s="6">
        <f t="shared" si="8"/>
        <v>84107.05</v>
      </c>
      <c r="P124" s="6">
        <v>51</v>
      </c>
      <c r="Q124" s="6">
        <v>4349</v>
      </c>
      <c r="R124" s="6">
        <f t="shared" si="9"/>
        <v>730.16327581766666</v>
      </c>
      <c r="S124" s="6">
        <f t="shared" si="10"/>
        <v>59106.717177440121</v>
      </c>
    </row>
    <row r="125" spans="1:19" s="1" customFormat="1" ht="15" hidden="1" customHeight="1" outlineLevel="1" x14ac:dyDescent="0.25">
      <c r="A125" s="2" t="s">
        <v>181</v>
      </c>
      <c r="B125" s="2" t="s">
        <v>182</v>
      </c>
      <c r="C125" s="13">
        <v>735.35</v>
      </c>
      <c r="D125" s="6">
        <v>354.81</v>
      </c>
      <c r="E125" s="6">
        <v>100</v>
      </c>
      <c r="F125" s="6"/>
      <c r="G125" s="6"/>
      <c r="H125" s="6">
        <v>4</v>
      </c>
      <c r="I125" s="6">
        <v>2941.4</v>
      </c>
      <c r="J125" s="6">
        <v>134</v>
      </c>
      <c r="K125" s="6">
        <v>98536.9</v>
      </c>
      <c r="L125" s="6"/>
      <c r="M125" s="6"/>
      <c r="N125" s="6">
        <f t="shared" si="7"/>
        <v>138</v>
      </c>
      <c r="O125" s="6">
        <f t="shared" si="8"/>
        <v>101478.3</v>
      </c>
      <c r="P125" s="6">
        <v>14</v>
      </c>
      <c r="Q125" s="6">
        <v>10999</v>
      </c>
      <c r="R125" s="6">
        <f t="shared" si="9"/>
        <v>66.019954341760368</v>
      </c>
      <c r="S125" s="6">
        <f t="shared" si="10"/>
        <v>48547.773425213491</v>
      </c>
    </row>
    <row r="126" spans="1:19" s="1" customFormat="1" ht="15" hidden="1" customHeight="1" outlineLevel="1" x14ac:dyDescent="0.25">
      <c r="A126" s="2" t="s">
        <v>1037</v>
      </c>
      <c r="B126" s="2" t="s">
        <v>1038</v>
      </c>
      <c r="C126" s="13">
        <v>97.83</v>
      </c>
      <c r="D126" s="6">
        <v>490.32</v>
      </c>
      <c r="E126" s="6">
        <v>100</v>
      </c>
      <c r="F126" s="6"/>
      <c r="G126" s="6"/>
      <c r="H126" s="6"/>
      <c r="I126" s="6"/>
      <c r="J126" s="6">
        <v>307</v>
      </c>
      <c r="K126" s="6">
        <v>30033.81</v>
      </c>
      <c r="L126" s="6"/>
      <c r="M126" s="6"/>
      <c r="N126" s="6">
        <f t="shared" si="7"/>
        <v>307</v>
      </c>
      <c r="O126" s="6">
        <f t="shared" si="8"/>
        <v>30033.809999999998</v>
      </c>
      <c r="P126" s="6">
        <v>19</v>
      </c>
      <c r="Q126" s="6">
        <v>1942</v>
      </c>
      <c r="R126" s="6">
        <f t="shared" si="9"/>
        <v>194.29809104258445</v>
      </c>
      <c r="S126" s="6">
        <f t="shared" si="10"/>
        <v>19008.182246696037</v>
      </c>
    </row>
    <row r="127" spans="1:19" s="1" customFormat="1" ht="15" hidden="1" customHeight="1" outlineLevel="1" x14ac:dyDescent="0.25">
      <c r="A127" s="2" t="s">
        <v>25</v>
      </c>
      <c r="B127" s="2" t="s">
        <v>26</v>
      </c>
      <c r="C127" s="13">
        <v>33</v>
      </c>
      <c r="D127" s="6">
        <v>97.35</v>
      </c>
      <c r="E127" s="6">
        <v>29.03</v>
      </c>
      <c r="F127" s="6"/>
      <c r="G127" s="6"/>
      <c r="H127" s="6">
        <v>50</v>
      </c>
      <c r="I127" s="6">
        <v>1650</v>
      </c>
      <c r="J127" s="6">
        <v>4299</v>
      </c>
      <c r="K127" s="6">
        <v>141867</v>
      </c>
      <c r="L127" s="6"/>
      <c r="M127" s="6"/>
      <c r="N127" s="6">
        <f t="shared" si="7"/>
        <v>4349</v>
      </c>
      <c r="O127" s="6">
        <f t="shared" si="8"/>
        <v>143517</v>
      </c>
      <c r="P127" s="6">
        <v>150</v>
      </c>
      <c r="Q127" s="6">
        <v>5193</v>
      </c>
      <c r="R127" s="6"/>
      <c r="S127" s="6"/>
    </row>
    <row r="128" spans="1:19" s="1" customFormat="1" ht="15" hidden="1" customHeight="1" outlineLevel="1" x14ac:dyDescent="0.25">
      <c r="A128" s="2" t="s">
        <v>528</v>
      </c>
      <c r="B128" s="2" t="s">
        <v>529</v>
      </c>
      <c r="C128" s="13">
        <v>54.64</v>
      </c>
      <c r="D128" s="6">
        <v>87.41</v>
      </c>
      <c r="E128" s="6">
        <v>61.29</v>
      </c>
      <c r="F128" s="6"/>
      <c r="G128" s="6"/>
      <c r="H128" s="6">
        <v>150</v>
      </c>
      <c r="I128" s="6">
        <v>8196</v>
      </c>
      <c r="J128" s="6">
        <v>5</v>
      </c>
      <c r="K128" s="6">
        <v>273.2</v>
      </c>
      <c r="L128" s="6">
        <v>1250</v>
      </c>
      <c r="M128" s="6">
        <v>68300</v>
      </c>
      <c r="N128" s="6">
        <f t="shared" si="7"/>
        <v>1405</v>
      </c>
      <c r="O128" s="6">
        <f t="shared" si="8"/>
        <v>76769.2</v>
      </c>
      <c r="P128" s="6">
        <v>198</v>
      </c>
      <c r="Q128" s="6">
        <v>11291</v>
      </c>
      <c r="R128" s="6"/>
      <c r="S128" s="6"/>
    </row>
    <row r="129" spans="1:19" s="1" customFormat="1" ht="15" hidden="1" customHeight="1" outlineLevel="1" x14ac:dyDescent="0.25">
      <c r="A129" s="2" t="s">
        <v>1315</v>
      </c>
      <c r="B129" s="2" t="s">
        <v>1316</v>
      </c>
      <c r="C129" s="13">
        <v>205.71</v>
      </c>
      <c r="D129" s="6">
        <v>211.23</v>
      </c>
      <c r="E129" s="6">
        <v>100</v>
      </c>
      <c r="F129" s="6"/>
      <c r="G129" s="6"/>
      <c r="H129" s="6">
        <v>40</v>
      </c>
      <c r="I129" s="6">
        <v>8228.4</v>
      </c>
      <c r="J129" s="6">
        <v>569</v>
      </c>
      <c r="K129" s="6">
        <v>117048.99</v>
      </c>
      <c r="L129" s="6"/>
      <c r="M129" s="6"/>
      <c r="N129" s="6">
        <f t="shared" si="7"/>
        <v>609</v>
      </c>
      <c r="O129" s="6">
        <f t="shared" si="8"/>
        <v>125277.39</v>
      </c>
      <c r="P129" s="6">
        <v>33</v>
      </c>
      <c r="Q129" s="6">
        <v>5514</v>
      </c>
      <c r="R129" s="6">
        <f t="shared" si="9"/>
        <v>84.125692373242416</v>
      </c>
      <c r="S129" s="6">
        <f t="shared" si="10"/>
        <v>17305.496178099696</v>
      </c>
    </row>
    <row r="130" spans="1:19" s="1" customFormat="1" ht="15" hidden="1" customHeight="1" outlineLevel="1" x14ac:dyDescent="0.25">
      <c r="A130" s="2" t="s">
        <v>103</v>
      </c>
      <c r="B130" s="2" t="s">
        <v>104</v>
      </c>
      <c r="C130" s="13">
        <v>186.8</v>
      </c>
      <c r="D130" s="6">
        <v>189.75</v>
      </c>
      <c r="E130" s="6">
        <v>100</v>
      </c>
      <c r="F130" s="6"/>
      <c r="G130" s="6"/>
      <c r="H130" s="6">
        <v>5</v>
      </c>
      <c r="I130" s="6">
        <v>934</v>
      </c>
      <c r="J130" s="6">
        <v>420</v>
      </c>
      <c r="K130" s="6">
        <v>78456</v>
      </c>
      <c r="L130" s="6"/>
      <c r="M130" s="6"/>
      <c r="N130" s="6">
        <f t="shared" si="7"/>
        <v>425</v>
      </c>
      <c r="O130" s="6">
        <f t="shared" si="8"/>
        <v>79390</v>
      </c>
      <c r="P130" s="6">
        <v>79</v>
      </c>
      <c r="Q130" s="6">
        <v>15575</v>
      </c>
      <c r="R130" s="6">
        <f t="shared" si="9"/>
        <v>21.581027667984191</v>
      </c>
      <c r="S130" s="6">
        <f t="shared" si="10"/>
        <v>4031.335968379447</v>
      </c>
    </row>
    <row r="131" spans="1:19" s="1" customFormat="1" ht="15" hidden="1" customHeight="1" outlineLevel="1" x14ac:dyDescent="0.25">
      <c r="A131" s="2" t="s">
        <v>177</v>
      </c>
      <c r="B131" s="2" t="s">
        <v>178</v>
      </c>
      <c r="C131" s="13">
        <v>615.86</v>
      </c>
      <c r="D131" s="6">
        <v>517.97</v>
      </c>
      <c r="E131" s="6">
        <v>100</v>
      </c>
      <c r="F131" s="6"/>
      <c r="G131" s="6"/>
      <c r="H131" s="6">
        <v>8</v>
      </c>
      <c r="I131" s="6">
        <v>4926.88</v>
      </c>
      <c r="J131" s="6">
        <v>504</v>
      </c>
      <c r="K131" s="6">
        <v>310393.44</v>
      </c>
      <c r="L131" s="6">
        <v>500</v>
      </c>
      <c r="M131" s="6">
        <v>307930</v>
      </c>
      <c r="N131" s="6">
        <f t="shared" si="7"/>
        <v>1012</v>
      </c>
      <c r="O131" s="6">
        <f t="shared" si="8"/>
        <v>623250.32000000007</v>
      </c>
      <c r="P131" s="6">
        <v>32</v>
      </c>
      <c r="Q131" s="6">
        <v>20697</v>
      </c>
      <c r="R131" s="6">
        <f t="shared" si="9"/>
        <v>328.85472131590637</v>
      </c>
      <c r="S131" s="6">
        <f t="shared" si="10"/>
        <v>202528.46866961411</v>
      </c>
    </row>
    <row r="132" spans="1:19" s="1" customFormat="1" ht="15" hidden="1" customHeight="1" outlineLevel="1" x14ac:dyDescent="0.25">
      <c r="A132" s="2" t="s">
        <v>239</v>
      </c>
      <c r="B132" s="2" t="s">
        <v>240</v>
      </c>
      <c r="C132" s="13">
        <v>1364.77</v>
      </c>
      <c r="D132" s="6">
        <v>99.3</v>
      </c>
      <c r="E132" s="6">
        <v>29.03</v>
      </c>
      <c r="F132" s="6">
        <v>10</v>
      </c>
      <c r="G132" s="6">
        <v>13647.7</v>
      </c>
      <c r="H132" s="6">
        <v>8</v>
      </c>
      <c r="I132" s="6">
        <v>10918.16</v>
      </c>
      <c r="J132" s="6">
        <v>152</v>
      </c>
      <c r="K132" s="6">
        <v>207445.04</v>
      </c>
      <c r="L132" s="6">
        <v>300</v>
      </c>
      <c r="M132" s="6">
        <v>409431</v>
      </c>
      <c r="N132" s="6">
        <f t="shared" si="7"/>
        <v>470</v>
      </c>
      <c r="O132" s="6">
        <f t="shared" si="8"/>
        <v>641441.9</v>
      </c>
      <c r="P132" s="6">
        <v>17</v>
      </c>
      <c r="Q132" s="6">
        <v>23701</v>
      </c>
      <c r="R132" s="6"/>
      <c r="S132" s="6"/>
    </row>
    <row r="133" spans="1:19" s="1" customFormat="1" ht="15" hidden="1" customHeight="1" outlineLevel="1" x14ac:dyDescent="0.25">
      <c r="A133" s="2" t="s">
        <v>127</v>
      </c>
      <c r="B133" s="2" t="s">
        <v>128</v>
      </c>
      <c r="C133" s="13">
        <v>288.17</v>
      </c>
      <c r="D133" s="6">
        <v>215.6</v>
      </c>
      <c r="E133" s="6">
        <v>100</v>
      </c>
      <c r="F133" s="6"/>
      <c r="G133" s="6"/>
      <c r="H133" s="6">
        <v>13</v>
      </c>
      <c r="I133" s="6">
        <v>3746.21</v>
      </c>
      <c r="J133" s="6">
        <v>250</v>
      </c>
      <c r="K133" s="6">
        <v>72042.5</v>
      </c>
      <c r="L133" s="6"/>
      <c r="M133" s="6"/>
      <c r="N133" s="6">
        <f t="shared" ref="N133:N196" si="11">IF(J133+L133+H133+F133&lt;=0,"",J133+L133+H133+F133)</f>
        <v>263</v>
      </c>
      <c r="O133" s="6">
        <f t="shared" ref="O133:O196" si="12">IFERROR(C133*N133,"")</f>
        <v>75788.710000000006</v>
      </c>
      <c r="P133" s="6">
        <v>40</v>
      </c>
      <c r="Q133" s="6">
        <v>10596</v>
      </c>
      <c r="R133" s="6">
        <f t="shared" si="9"/>
        <v>41.280148423005564</v>
      </c>
      <c r="S133" s="6">
        <f t="shared" si="10"/>
        <v>11895.700371057514</v>
      </c>
    </row>
    <row r="134" spans="1:19" s="1" customFormat="1" ht="15" hidden="1" customHeight="1" outlineLevel="1" x14ac:dyDescent="0.25">
      <c r="A134" s="2" t="s">
        <v>373</v>
      </c>
      <c r="B134" s="2" t="s">
        <v>374</v>
      </c>
      <c r="C134" s="13">
        <v>252.16</v>
      </c>
      <c r="D134" s="6">
        <v>53.33</v>
      </c>
      <c r="E134" s="6">
        <v>100</v>
      </c>
      <c r="F134" s="6">
        <v>12</v>
      </c>
      <c r="G134" s="6">
        <v>3025.92</v>
      </c>
      <c r="H134" s="6">
        <v>5</v>
      </c>
      <c r="I134" s="6">
        <v>1260.8</v>
      </c>
      <c r="J134" s="6">
        <v>131</v>
      </c>
      <c r="K134" s="6">
        <v>33032.959999999999</v>
      </c>
      <c r="L134" s="6"/>
      <c r="M134" s="6"/>
      <c r="N134" s="6">
        <f t="shared" si="11"/>
        <v>148</v>
      </c>
      <c r="O134" s="6">
        <f t="shared" si="12"/>
        <v>37319.68</v>
      </c>
      <c r="P134" s="6">
        <v>67</v>
      </c>
      <c r="Q134" s="6">
        <v>16728</v>
      </c>
      <c r="R134" s="6"/>
      <c r="S134" s="6"/>
    </row>
    <row r="135" spans="1:19" s="1" customFormat="1" ht="15" hidden="1" customHeight="1" outlineLevel="1" x14ac:dyDescent="0.25">
      <c r="A135" s="2" t="s">
        <v>303</v>
      </c>
      <c r="B135" s="2" t="s">
        <v>304</v>
      </c>
      <c r="C135" s="13">
        <v>260.18</v>
      </c>
      <c r="D135" s="6">
        <v>375.93</v>
      </c>
      <c r="E135" s="6">
        <v>100</v>
      </c>
      <c r="F135" s="6">
        <v>15</v>
      </c>
      <c r="G135" s="6">
        <v>3902.7</v>
      </c>
      <c r="H135" s="6">
        <v>31</v>
      </c>
      <c r="I135" s="6">
        <v>8065.58</v>
      </c>
      <c r="J135" s="6">
        <v>627</v>
      </c>
      <c r="K135" s="6">
        <v>163132.85999999999</v>
      </c>
      <c r="L135" s="6">
        <v>180</v>
      </c>
      <c r="M135" s="6">
        <v>46832.4</v>
      </c>
      <c r="N135" s="6">
        <f t="shared" si="11"/>
        <v>853</v>
      </c>
      <c r="O135" s="6">
        <f t="shared" si="12"/>
        <v>221933.54</v>
      </c>
      <c r="P135" s="6">
        <v>61</v>
      </c>
      <c r="Q135" s="6">
        <v>16643</v>
      </c>
      <c r="R135" s="6">
        <f t="shared" ref="R135:R197" si="13">J135/D135*(D135-180)</f>
        <v>326.78453435480009</v>
      </c>
      <c r="S135" s="6">
        <f t="shared" ref="S135:S197" si="14">R135*C135</f>
        <v>85022.800148431896</v>
      </c>
    </row>
    <row r="136" spans="1:19" s="1" customFormat="1" ht="15" hidden="1" customHeight="1" outlineLevel="1" x14ac:dyDescent="0.25">
      <c r="A136" s="2" t="s">
        <v>241</v>
      </c>
      <c r="B136" s="2" t="s">
        <v>242</v>
      </c>
      <c r="C136" s="13">
        <v>1472.29</v>
      </c>
      <c r="D136" s="6">
        <v>360.26</v>
      </c>
      <c r="E136" s="6">
        <v>100</v>
      </c>
      <c r="F136" s="6"/>
      <c r="G136" s="6"/>
      <c r="H136" s="6">
        <v>2</v>
      </c>
      <c r="I136" s="6">
        <v>2944.58</v>
      </c>
      <c r="J136" s="6">
        <v>120</v>
      </c>
      <c r="K136" s="6">
        <v>176674.8</v>
      </c>
      <c r="L136" s="6">
        <v>300</v>
      </c>
      <c r="M136" s="6">
        <v>441687</v>
      </c>
      <c r="N136" s="6">
        <f t="shared" si="11"/>
        <v>422</v>
      </c>
      <c r="O136" s="6">
        <f t="shared" si="12"/>
        <v>621306.38</v>
      </c>
      <c r="P136" s="6">
        <v>5</v>
      </c>
      <c r="Q136" s="6">
        <v>7633</v>
      </c>
      <c r="R136" s="6">
        <f t="shared" si="13"/>
        <v>60.043302059623606</v>
      </c>
      <c r="S136" s="6">
        <f t="shared" si="14"/>
        <v>88401.153189363235</v>
      </c>
    </row>
    <row r="137" spans="1:19" s="1" customFormat="1" ht="15" hidden="1" customHeight="1" outlineLevel="1" x14ac:dyDescent="0.25">
      <c r="A137" s="2" t="s">
        <v>598</v>
      </c>
      <c r="B137" s="2" t="s">
        <v>599</v>
      </c>
      <c r="C137" s="13">
        <v>220.61</v>
      </c>
      <c r="D137" s="6">
        <v>700.78</v>
      </c>
      <c r="E137" s="6">
        <v>66.67</v>
      </c>
      <c r="F137" s="6"/>
      <c r="G137" s="6"/>
      <c r="H137" s="6">
        <v>6</v>
      </c>
      <c r="I137" s="6">
        <v>1323.66</v>
      </c>
      <c r="J137" s="6">
        <v>162</v>
      </c>
      <c r="K137" s="6">
        <v>35738.82</v>
      </c>
      <c r="L137" s="6"/>
      <c r="M137" s="6"/>
      <c r="N137" s="6">
        <f t="shared" si="11"/>
        <v>168</v>
      </c>
      <c r="O137" s="6">
        <f t="shared" si="12"/>
        <v>37062.480000000003</v>
      </c>
      <c r="P137" s="6">
        <v>11</v>
      </c>
      <c r="Q137" s="6">
        <v>2453</v>
      </c>
      <c r="R137" s="6">
        <f t="shared" si="13"/>
        <v>120.38922343674191</v>
      </c>
      <c r="S137" s="6">
        <f t="shared" si="14"/>
        <v>26559.066582379637</v>
      </c>
    </row>
    <row r="138" spans="1:19" s="1" customFormat="1" ht="15" hidden="1" customHeight="1" outlineLevel="1" x14ac:dyDescent="0.25">
      <c r="A138" s="2" t="s">
        <v>137</v>
      </c>
      <c r="B138" s="2" t="s">
        <v>138</v>
      </c>
      <c r="C138" s="13">
        <v>467.31</v>
      </c>
      <c r="D138" s="6">
        <v>58.54</v>
      </c>
      <c r="E138" s="6">
        <v>22.58</v>
      </c>
      <c r="F138" s="6"/>
      <c r="G138" s="6"/>
      <c r="H138" s="6">
        <v>13</v>
      </c>
      <c r="I138" s="6">
        <v>6075.03</v>
      </c>
      <c r="J138" s="6">
        <v>187</v>
      </c>
      <c r="K138" s="6">
        <v>87386.97</v>
      </c>
      <c r="L138" s="6"/>
      <c r="M138" s="6"/>
      <c r="N138" s="6">
        <f t="shared" si="11"/>
        <v>200</v>
      </c>
      <c r="O138" s="6">
        <f t="shared" si="12"/>
        <v>93462</v>
      </c>
      <c r="P138" s="6"/>
      <c r="Q138" s="6"/>
      <c r="R138" s="6"/>
      <c r="S138" s="6"/>
    </row>
    <row r="139" spans="1:19" s="1" customFormat="1" ht="15" hidden="1" customHeight="1" outlineLevel="1" x14ac:dyDescent="0.25">
      <c r="A139" s="2" t="s">
        <v>159</v>
      </c>
      <c r="B139" s="2" t="s">
        <v>160</v>
      </c>
      <c r="C139" s="13">
        <v>1022.18</v>
      </c>
      <c r="D139" s="6">
        <v>586.33000000000004</v>
      </c>
      <c r="E139" s="6">
        <v>100</v>
      </c>
      <c r="F139" s="6"/>
      <c r="G139" s="6"/>
      <c r="H139" s="6"/>
      <c r="I139" s="6"/>
      <c r="J139" s="6">
        <v>145</v>
      </c>
      <c r="K139" s="6">
        <v>148216.1</v>
      </c>
      <c r="L139" s="6"/>
      <c r="M139" s="6"/>
      <c r="N139" s="6">
        <f t="shared" si="11"/>
        <v>145</v>
      </c>
      <c r="O139" s="6">
        <f t="shared" si="12"/>
        <v>148216.1</v>
      </c>
      <c r="P139" s="6">
        <v>2</v>
      </c>
      <c r="Q139" s="6">
        <v>2282</v>
      </c>
      <c r="R139" s="6">
        <f t="shared" si="13"/>
        <v>100.48581856633636</v>
      </c>
      <c r="S139" s="6">
        <f t="shared" si="14"/>
        <v>102714.59402213769</v>
      </c>
    </row>
    <row r="140" spans="1:19" s="1" customFormat="1" ht="15" hidden="1" customHeight="1" outlineLevel="1" x14ac:dyDescent="0.25">
      <c r="A140" s="2" t="s">
        <v>299</v>
      </c>
      <c r="B140" s="2" t="s">
        <v>300</v>
      </c>
      <c r="C140" s="13">
        <v>371.64</v>
      </c>
      <c r="D140" s="6">
        <v>304.26</v>
      </c>
      <c r="E140" s="6">
        <v>100</v>
      </c>
      <c r="F140" s="6">
        <v>10</v>
      </c>
      <c r="G140" s="6">
        <v>3716.4</v>
      </c>
      <c r="H140" s="6">
        <v>15</v>
      </c>
      <c r="I140" s="6">
        <v>5574.6</v>
      </c>
      <c r="J140" s="6">
        <v>228</v>
      </c>
      <c r="K140" s="6">
        <v>84733.92</v>
      </c>
      <c r="L140" s="6">
        <v>780</v>
      </c>
      <c r="M140" s="6">
        <v>289879.2</v>
      </c>
      <c r="N140" s="6">
        <f t="shared" si="11"/>
        <v>1033</v>
      </c>
      <c r="O140" s="6">
        <f t="shared" si="12"/>
        <v>383904.12</v>
      </c>
      <c r="P140" s="6">
        <v>21</v>
      </c>
      <c r="Q140" s="6">
        <v>8246</v>
      </c>
      <c r="R140" s="6">
        <f t="shared" si="13"/>
        <v>93.115361861565759</v>
      </c>
      <c r="S140" s="6">
        <f t="shared" si="14"/>
        <v>34605.393082232295</v>
      </c>
    </row>
    <row r="141" spans="1:19" s="1" customFormat="1" ht="15" hidden="1" customHeight="1" outlineLevel="1" x14ac:dyDescent="0.25">
      <c r="A141" s="2" t="s">
        <v>195</v>
      </c>
      <c r="B141" s="2" t="s">
        <v>196</v>
      </c>
      <c r="C141" s="13">
        <v>81.05</v>
      </c>
      <c r="D141" s="6">
        <v>676.87</v>
      </c>
      <c r="E141" s="6">
        <v>100</v>
      </c>
      <c r="F141" s="6">
        <v>130</v>
      </c>
      <c r="G141" s="6">
        <v>10536.5</v>
      </c>
      <c r="H141" s="6">
        <v>146</v>
      </c>
      <c r="I141" s="6">
        <v>11833.3</v>
      </c>
      <c r="J141" s="6">
        <v>8609</v>
      </c>
      <c r="K141" s="6">
        <v>697759.45</v>
      </c>
      <c r="L141" s="6"/>
      <c r="M141" s="6"/>
      <c r="N141" s="6">
        <f t="shared" si="11"/>
        <v>8885</v>
      </c>
      <c r="O141" s="6">
        <f t="shared" si="12"/>
        <v>720129.25</v>
      </c>
      <c r="P141" s="6">
        <v>280</v>
      </c>
      <c r="Q141" s="6">
        <v>23522</v>
      </c>
      <c r="R141" s="6">
        <f t="shared" si="13"/>
        <v>6319.6091273065731</v>
      </c>
      <c r="S141" s="6">
        <f t="shared" si="14"/>
        <v>512204.31976819772</v>
      </c>
    </row>
    <row r="142" spans="1:19" s="1" customFormat="1" ht="15" hidden="1" customHeight="1" outlineLevel="1" x14ac:dyDescent="0.25">
      <c r="A142" s="2" t="s">
        <v>185</v>
      </c>
      <c r="B142" s="2" t="s">
        <v>186</v>
      </c>
      <c r="C142" s="13">
        <v>137.1</v>
      </c>
      <c r="D142" s="6">
        <v>1231.4000000000001</v>
      </c>
      <c r="E142" s="6">
        <v>100</v>
      </c>
      <c r="F142" s="6">
        <v>50</v>
      </c>
      <c r="G142" s="6">
        <v>6855</v>
      </c>
      <c r="H142" s="6">
        <v>31</v>
      </c>
      <c r="I142" s="6">
        <v>4250.1000000000004</v>
      </c>
      <c r="J142" s="6">
        <v>3550</v>
      </c>
      <c r="K142" s="6">
        <v>486705</v>
      </c>
      <c r="L142" s="6">
        <v>936</v>
      </c>
      <c r="M142" s="6">
        <v>128325.6</v>
      </c>
      <c r="N142" s="6">
        <f t="shared" si="11"/>
        <v>4567</v>
      </c>
      <c r="O142" s="6">
        <f t="shared" si="12"/>
        <v>626135.69999999995</v>
      </c>
      <c r="P142" s="6">
        <v>90</v>
      </c>
      <c r="Q142" s="6">
        <v>12918</v>
      </c>
      <c r="R142" s="6">
        <f t="shared" si="13"/>
        <v>3031.0784472957612</v>
      </c>
      <c r="S142" s="6">
        <f t="shared" si="14"/>
        <v>415560.85512424883</v>
      </c>
    </row>
    <row r="143" spans="1:19" s="1" customFormat="1" ht="15" hidden="1" customHeight="1" outlineLevel="1" x14ac:dyDescent="0.25">
      <c r="A143" s="2" t="s">
        <v>592</v>
      </c>
      <c r="B143" s="2" t="s">
        <v>593</v>
      </c>
      <c r="C143" s="13">
        <v>762.91</v>
      </c>
      <c r="D143" s="6">
        <v>545.16999999999996</v>
      </c>
      <c r="E143" s="6">
        <v>29.03</v>
      </c>
      <c r="F143" s="6"/>
      <c r="G143" s="6"/>
      <c r="H143" s="6">
        <v>2</v>
      </c>
      <c r="I143" s="6">
        <v>1525.82</v>
      </c>
      <c r="J143" s="6">
        <v>262</v>
      </c>
      <c r="K143" s="6">
        <v>199882.41999999998</v>
      </c>
      <c r="L143" s="6"/>
      <c r="M143" s="6"/>
      <c r="N143" s="6">
        <f t="shared" si="11"/>
        <v>264</v>
      </c>
      <c r="O143" s="6">
        <f t="shared" si="12"/>
        <v>201408.24</v>
      </c>
      <c r="P143" s="6">
        <v>2</v>
      </c>
      <c r="Q143" s="6">
        <v>1514</v>
      </c>
      <c r="R143" s="6">
        <f t="shared" si="13"/>
        <v>175.49487315883118</v>
      </c>
      <c r="S143" s="6">
        <f t="shared" si="14"/>
        <v>133886.79368160389</v>
      </c>
    </row>
    <row r="144" spans="1:19" s="1" customFormat="1" ht="15" hidden="1" customHeight="1" outlineLevel="1" x14ac:dyDescent="0.25">
      <c r="A144" s="2" t="s">
        <v>135</v>
      </c>
      <c r="B144" s="2" t="s">
        <v>136</v>
      </c>
      <c r="C144" s="13">
        <v>394.94</v>
      </c>
      <c r="D144" s="6">
        <v>318.58999999999997</v>
      </c>
      <c r="E144" s="6">
        <v>100</v>
      </c>
      <c r="F144" s="6">
        <v>10</v>
      </c>
      <c r="G144" s="6">
        <v>3949.4</v>
      </c>
      <c r="H144" s="6">
        <v>8</v>
      </c>
      <c r="I144" s="6">
        <v>3159.52</v>
      </c>
      <c r="J144" s="6">
        <v>386</v>
      </c>
      <c r="K144" s="6">
        <v>152446.84</v>
      </c>
      <c r="L144" s="6"/>
      <c r="M144" s="6"/>
      <c r="N144" s="6">
        <f t="shared" si="11"/>
        <v>404</v>
      </c>
      <c r="O144" s="6">
        <f t="shared" si="12"/>
        <v>159555.76</v>
      </c>
      <c r="P144" s="6">
        <v>13</v>
      </c>
      <c r="Q144" s="6">
        <v>4817</v>
      </c>
      <c r="R144" s="6">
        <f t="shared" si="13"/>
        <v>167.91405882168303</v>
      </c>
      <c r="S144" s="6">
        <f t="shared" si="14"/>
        <v>66315.978391035489</v>
      </c>
    </row>
    <row r="145" spans="1:19" s="1" customFormat="1" ht="15" hidden="1" customHeight="1" outlineLevel="1" x14ac:dyDescent="0.25">
      <c r="A145" s="2" t="s">
        <v>215</v>
      </c>
      <c r="B145" s="2" t="s">
        <v>216</v>
      </c>
      <c r="C145" s="13">
        <v>315.32</v>
      </c>
      <c r="D145" s="6">
        <v>283.48</v>
      </c>
      <c r="E145" s="6">
        <v>100</v>
      </c>
      <c r="F145" s="6"/>
      <c r="G145" s="6"/>
      <c r="H145" s="6">
        <v>10</v>
      </c>
      <c r="I145" s="6">
        <v>3153.2</v>
      </c>
      <c r="J145" s="6">
        <v>251</v>
      </c>
      <c r="K145" s="6">
        <v>79145.320000000007</v>
      </c>
      <c r="L145" s="6"/>
      <c r="M145" s="6"/>
      <c r="N145" s="6">
        <f t="shared" si="11"/>
        <v>261</v>
      </c>
      <c r="O145" s="6">
        <f t="shared" si="12"/>
        <v>82298.52</v>
      </c>
      <c r="P145" s="6">
        <v>37</v>
      </c>
      <c r="Q145" s="6">
        <v>11951</v>
      </c>
      <c r="R145" s="6">
        <f t="shared" si="13"/>
        <v>91.623677155354883</v>
      </c>
      <c r="S145" s="6">
        <f t="shared" si="14"/>
        <v>28890.777880626501</v>
      </c>
    </row>
    <row r="146" spans="1:19" s="1" customFormat="1" ht="15" hidden="1" customHeight="1" outlineLevel="1" x14ac:dyDescent="0.25">
      <c r="A146" s="2" t="s">
        <v>21</v>
      </c>
      <c r="B146" s="2" t="s">
        <v>22</v>
      </c>
      <c r="C146" s="13">
        <v>27</v>
      </c>
      <c r="D146" s="6">
        <v>25.71</v>
      </c>
      <c r="E146" s="6">
        <v>65.59</v>
      </c>
      <c r="F146" s="6"/>
      <c r="G146" s="6"/>
      <c r="H146" s="6"/>
      <c r="I146" s="6"/>
      <c r="J146" s="6">
        <v>4800</v>
      </c>
      <c r="K146" s="6">
        <v>129600</v>
      </c>
      <c r="L146" s="6"/>
      <c r="M146" s="6"/>
      <c r="N146" s="6">
        <f t="shared" si="11"/>
        <v>4800</v>
      </c>
      <c r="O146" s="6">
        <f t="shared" si="12"/>
        <v>129600</v>
      </c>
      <c r="P146" s="6">
        <v>409</v>
      </c>
      <c r="Q146" s="6">
        <v>11414</v>
      </c>
      <c r="R146" s="6"/>
      <c r="S146" s="6"/>
    </row>
    <row r="147" spans="1:19" s="1" customFormat="1" ht="15" hidden="1" customHeight="1" outlineLevel="1" x14ac:dyDescent="0.25">
      <c r="A147" s="2" t="s">
        <v>183</v>
      </c>
      <c r="B147" s="2" t="s">
        <v>184</v>
      </c>
      <c r="C147" s="13">
        <v>653.51</v>
      </c>
      <c r="D147" s="6">
        <v>75.73</v>
      </c>
      <c r="E147" s="6">
        <v>88.17</v>
      </c>
      <c r="F147" s="6"/>
      <c r="G147" s="6"/>
      <c r="H147" s="6"/>
      <c r="I147" s="6"/>
      <c r="J147" s="6"/>
      <c r="K147" s="6"/>
      <c r="L147" s="6"/>
      <c r="M147" s="6"/>
      <c r="N147" s="6" t="str">
        <f t="shared" si="11"/>
        <v/>
      </c>
      <c r="O147" s="6" t="str">
        <f t="shared" si="12"/>
        <v/>
      </c>
      <c r="P147" s="6">
        <v>120</v>
      </c>
      <c r="Q147" s="6">
        <v>81746</v>
      </c>
      <c r="R147" s="6"/>
      <c r="S147" s="6"/>
    </row>
    <row r="148" spans="1:19" s="1" customFormat="1" ht="15" hidden="1" customHeight="1" outlineLevel="1" x14ac:dyDescent="0.25">
      <c r="A148" s="2" t="s">
        <v>123</v>
      </c>
      <c r="B148" s="2" t="s">
        <v>124</v>
      </c>
      <c r="C148" s="13">
        <v>199.86</v>
      </c>
      <c r="D148" s="6">
        <v>562.94000000000005</v>
      </c>
      <c r="E148" s="6">
        <v>100</v>
      </c>
      <c r="F148" s="6">
        <v>30</v>
      </c>
      <c r="G148" s="6">
        <v>5995.8</v>
      </c>
      <c r="H148" s="6">
        <v>13</v>
      </c>
      <c r="I148" s="6">
        <v>2598.1799999999998</v>
      </c>
      <c r="J148" s="6">
        <v>1100</v>
      </c>
      <c r="K148" s="6">
        <v>219846</v>
      </c>
      <c r="L148" s="6"/>
      <c r="M148" s="6"/>
      <c r="N148" s="6">
        <f t="shared" si="11"/>
        <v>1143</v>
      </c>
      <c r="O148" s="6">
        <f t="shared" si="12"/>
        <v>228439.98</v>
      </c>
      <c r="P148" s="6">
        <v>59</v>
      </c>
      <c r="Q148" s="6">
        <v>11066</v>
      </c>
      <c r="R148" s="6">
        <f t="shared" si="13"/>
        <v>748.27512701175976</v>
      </c>
      <c r="S148" s="6">
        <f t="shared" si="14"/>
        <v>149550.26688457033</v>
      </c>
    </row>
    <row r="149" spans="1:19" s="1" customFormat="1" ht="15" hidden="1" customHeight="1" outlineLevel="1" x14ac:dyDescent="0.25">
      <c r="A149" s="2" t="s">
        <v>622</v>
      </c>
      <c r="B149" s="2" t="s">
        <v>623</v>
      </c>
      <c r="C149" s="13">
        <v>461.4</v>
      </c>
      <c r="D149" s="6"/>
      <c r="E149" s="6">
        <v>5.38</v>
      </c>
      <c r="F149" s="6"/>
      <c r="G149" s="6"/>
      <c r="H149" s="6">
        <v>4</v>
      </c>
      <c r="I149" s="6">
        <v>1845.6</v>
      </c>
      <c r="J149" s="6">
        <v>176</v>
      </c>
      <c r="K149" s="6">
        <v>81206.399999999994</v>
      </c>
      <c r="L149" s="6">
        <v>504</v>
      </c>
      <c r="M149" s="6">
        <v>232545.6</v>
      </c>
      <c r="N149" s="6">
        <f t="shared" si="11"/>
        <v>684</v>
      </c>
      <c r="O149" s="6">
        <f t="shared" si="12"/>
        <v>315597.59999999998</v>
      </c>
      <c r="P149" s="6"/>
      <c r="Q149" s="6"/>
      <c r="R149" s="6"/>
      <c r="S149" s="6"/>
    </row>
    <row r="150" spans="1:19" s="1" customFormat="1" ht="15" hidden="1" customHeight="1" outlineLevel="1" x14ac:dyDescent="0.25">
      <c r="A150" s="2" t="s">
        <v>955</v>
      </c>
      <c r="B150" s="2" t="s">
        <v>956</v>
      </c>
      <c r="C150" s="13">
        <v>405.24</v>
      </c>
      <c r="D150" s="6">
        <v>3757.39</v>
      </c>
      <c r="E150" s="6">
        <v>100</v>
      </c>
      <c r="F150" s="6"/>
      <c r="G150" s="6"/>
      <c r="H150" s="6"/>
      <c r="I150" s="6"/>
      <c r="J150" s="6">
        <v>1244</v>
      </c>
      <c r="K150" s="6">
        <v>504118.56</v>
      </c>
      <c r="L150" s="6"/>
      <c r="M150" s="6"/>
      <c r="N150" s="6">
        <f t="shared" si="11"/>
        <v>1244</v>
      </c>
      <c r="O150" s="6">
        <f t="shared" si="12"/>
        <v>504118.56</v>
      </c>
      <c r="P150" s="6">
        <v>8</v>
      </c>
      <c r="Q150" s="6">
        <v>3560</v>
      </c>
      <c r="R150" s="6">
        <f t="shared" si="13"/>
        <v>1184.4054410109145</v>
      </c>
      <c r="S150" s="6">
        <f t="shared" si="14"/>
        <v>479968.46091526299</v>
      </c>
    </row>
    <row r="151" spans="1:19" s="1" customFormat="1" ht="15" hidden="1" customHeight="1" outlineLevel="1" x14ac:dyDescent="0.25">
      <c r="A151" s="2" t="s">
        <v>492</v>
      </c>
      <c r="B151" s="2" t="s">
        <v>493</v>
      </c>
      <c r="C151" s="13">
        <v>104.71</v>
      </c>
      <c r="D151" s="6">
        <v>127.57</v>
      </c>
      <c r="E151" s="6">
        <v>100</v>
      </c>
      <c r="F151" s="6"/>
      <c r="G151" s="6"/>
      <c r="H151" s="6">
        <v>87</v>
      </c>
      <c r="I151" s="6">
        <v>9109.77</v>
      </c>
      <c r="J151" s="6">
        <v>473</v>
      </c>
      <c r="K151" s="6">
        <v>49527.83</v>
      </c>
      <c r="L151" s="6">
        <v>800</v>
      </c>
      <c r="M151" s="6">
        <v>83768</v>
      </c>
      <c r="N151" s="6">
        <f t="shared" si="11"/>
        <v>1360</v>
      </c>
      <c r="O151" s="6">
        <f t="shared" si="12"/>
        <v>142405.6</v>
      </c>
      <c r="P151" s="6">
        <v>114</v>
      </c>
      <c r="Q151" s="6">
        <v>11815</v>
      </c>
      <c r="R151" s="6"/>
      <c r="S151" s="6"/>
    </row>
    <row r="152" spans="1:19" s="1" customFormat="1" ht="15" hidden="1" customHeight="1" outlineLevel="1" x14ac:dyDescent="0.25">
      <c r="A152" s="2" t="s">
        <v>554</v>
      </c>
      <c r="B152" s="2" t="s">
        <v>555</v>
      </c>
      <c r="C152" s="13">
        <v>87.89</v>
      </c>
      <c r="D152" s="6">
        <v>165.66</v>
      </c>
      <c r="E152" s="6">
        <v>43.01</v>
      </c>
      <c r="F152" s="6"/>
      <c r="G152" s="6"/>
      <c r="H152" s="6">
        <v>100</v>
      </c>
      <c r="I152" s="6">
        <v>8789</v>
      </c>
      <c r="J152" s="6">
        <v>593</v>
      </c>
      <c r="K152" s="6">
        <v>52118.77</v>
      </c>
      <c r="L152" s="6">
        <v>1800</v>
      </c>
      <c r="M152" s="6">
        <v>158202</v>
      </c>
      <c r="N152" s="6">
        <f t="shared" si="11"/>
        <v>2493</v>
      </c>
      <c r="O152" s="6">
        <f t="shared" si="12"/>
        <v>219109.77</v>
      </c>
      <c r="P152" s="6">
        <v>102</v>
      </c>
      <c r="Q152" s="6">
        <v>8904</v>
      </c>
      <c r="R152" s="6"/>
      <c r="S152" s="6"/>
    </row>
    <row r="153" spans="1:19" s="1" customFormat="1" ht="15" hidden="1" customHeight="1" outlineLevel="1" x14ac:dyDescent="0.25">
      <c r="A153" s="2" t="s">
        <v>1305</v>
      </c>
      <c r="B153" s="2" t="s">
        <v>1306</v>
      </c>
      <c r="C153" s="13">
        <v>171.35</v>
      </c>
      <c r="D153" s="6">
        <v>93.39</v>
      </c>
      <c r="E153" s="6">
        <v>100</v>
      </c>
      <c r="F153" s="6"/>
      <c r="G153" s="6"/>
      <c r="H153" s="6"/>
      <c r="I153" s="6"/>
      <c r="J153" s="6">
        <v>1252</v>
      </c>
      <c r="K153" s="6">
        <v>214530.2</v>
      </c>
      <c r="L153" s="6"/>
      <c r="M153" s="6"/>
      <c r="N153" s="6">
        <f t="shared" si="11"/>
        <v>1252</v>
      </c>
      <c r="O153" s="6">
        <f t="shared" si="12"/>
        <v>214530.19999999998</v>
      </c>
      <c r="P153" s="6">
        <v>26</v>
      </c>
      <c r="Q153" s="6">
        <v>4715</v>
      </c>
      <c r="R153" s="6"/>
      <c r="S153" s="6"/>
    </row>
    <row r="154" spans="1:19" s="1" customFormat="1" ht="15" hidden="1" customHeight="1" outlineLevel="1" x14ac:dyDescent="0.25">
      <c r="A154" s="2" t="s">
        <v>307</v>
      </c>
      <c r="B154" s="2" t="s">
        <v>308</v>
      </c>
      <c r="C154" s="13">
        <v>107.02</v>
      </c>
      <c r="D154" s="6"/>
      <c r="E154" s="6"/>
      <c r="F154" s="6"/>
      <c r="G154" s="6"/>
      <c r="H154" s="6"/>
      <c r="I154" s="6"/>
      <c r="J154" s="6">
        <v>8100</v>
      </c>
      <c r="K154" s="6">
        <v>866862</v>
      </c>
      <c r="L154" s="6"/>
      <c r="M154" s="6"/>
      <c r="N154" s="6">
        <f t="shared" si="11"/>
        <v>8100</v>
      </c>
      <c r="O154" s="6">
        <f t="shared" si="12"/>
        <v>866862</v>
      </c>
      <c r="P154" s="6"/>
      <c r="Q154" s="6"/>
      <c r="R154" s="6"/>
      <c r="S154" s="6"/>
    </row>
    <row r="155" spans="1:19" s="1" customFormat="1" ht="15" hidden="1" customHeight="1" outlineLevel="1" x14ac:dyDescent="0.25">
      <c r="A155" s="2" t="s">
        <v>343</v>
      </c>
      <c r="B155" s="2" t="s">
        <v>344</v>
      </c>
      <c r="C155" s="13">
        <v>53.37</v>
      </c>
      <c r="D155" s="6">
        <v>86.19</v>
      </c>
      <c r="E155" s="6">
        <v>100</v>
      </c>
      <c r="F155" s="6">
        <v>130</v>
      </c>
      <c r="G155" s="6">
        <v>6938.1</v>
      </c>
      <c r="H155" s="6">
        <v>270</v>
      </c>
      <c r="I155" s="6">
        <v>14409.9</v>
      </c>
      <c r="J155" s="6">
        <v>362</v>
      </c>
      <c r="K155" s="6">
        <v>19319.939999999999</v>
      </c>
      <c r="L155" s="6"/>
      <c r="M155" s="6"/>
      <c r="N155" s="6">
        <f t="shared" si="11"/>
        <v>762</v>
      </c>
      <c r="O155" s="6">
        <f t="shared" si="12"/>
        <v>40667.939999999995</v>
      </c>
      <c r="P155" s="6">
        <v>351</v>
      </c>
      <c r="Q155" s="6">
        <v>19435</v>
      </c>
      <c r="R155" s="6"/>
      <c r="S155" s="6"/>
    </row>
    <row r="156" spans="1:19" s="1" customFormat="1" ht="15" hidden="1" customHeight="1" outlineLevel="1" x14ac:dyDescent="0.25">
      <c r="A156" s="2" t="s">
        <v>141</v>
      </c>
      <c r="B156" s="2" t="s">
        <v>142</v>
      </c>
      <c r="C156" s="13">
        <v>543.25</v>
      </c>
      <c r="D156" s="6">
        <v>46.15</v>
      </c>
      <c r="E156" s="6">
        <v>61.29</v>
      </c>
      <c r="F156" s="6">
        <v>10</v>
      </c>
      <c r="G156" s="6">
        <v>5432.5</v>
      </c>
      <c r="H156" s="6">
        <v>3</v>
      </c>
      <c r="I156" s="6">
        <v>1629.75</v>
      </c>
      <c r="J156" s="6">
        <v>187</v>
      </c>
      <c r="K156" s="6">
        <v>101587.75</v>
      </c>
      <c r="L156" s="6"/>
      <c r="M156" s="6"/>
      <c r="N156" s="6">
        <f t="shared" si="11"/>
        <v>200</v>
      </c>
      <c r="O156" s="6">
        <f t="shared" si="12"/>
        <v>108650</v>
      </c>
      <c r="P156" s="6">
        <v>6</v>
      </c>
      <c r="Q156" s="6">
        <v>3089</v>
      </c>
      <c r="R156" s="6"/>
      <c r="S156" s="6"/>
    </row>
    <row r="157" spans="1:19" s="1" customFormat="1" ht="15" hidden="1" customHeight="1" outlineLevel="1" x14ac:dyDescent="0.25">
      <c r="A157" s="2" t="s">
        <v>321</v>
      </c>
      <c r="B157" s="2" t="s">
        <v>322</v>
      </c>
      <c r="C157" s="13">
        <v>225.35</v>
      </c>
      <c r="D157" s="6">
        <v>366.34</v>
      </c>
      <c r="E157" s="6">
        <v>100</v>
      </c>
      <c r="F157" s="6">
        <v>10</v>
      </c>
      <c r="G157" s="6">
        <v>2253.5</v>
      </c>
      <c r="H157" s="6"/>
      <c r="I157" s="6"/>
      <c r="J157" s="6">
        <v>534</v>
      </c>
      <c r="K157" s="6">
        <v>120336.9</v>
      </c>
      <c r="L157" s="6"/>
      <c r="M157" s="6"/>
      <c r="N157" s="6">
        <f t="shared" si="11"/>
        <v>544</v>
      </c>
      <c r="O157" s="6">
        <f t="shared" si="12"/>
        <v>122590.39999999999</v>
      </c>
      <c r="P157" s="6">
        <v>43</v>
      </c>
      <c r="Q157" s="6">
        <v>10350</v>
      </c>
      <c r="R157" s="6">
        <f t="shared" si="13"/>
        <v>271.62078943058361</v>
      </c>
      <c r="S157" s="6">
        <f t="shared" si="14"/>
        <v>61209.744898182013</v>
      </c>
    </row>
    <row r="158" spans="1:19" s="1" customFormat="1" ht="15" hidden="1" customHeight="1" outlineLevel="1" x14ac:dyDescent="0.25">
      <c r="A158" s="2" t="s">
        <v>800</v>
      </c>
      <c r="B158" s="2" t="s">
        <v>801</v>
      </c>
      <c r="C158" s="13">
        <v>255.58</v>
      </c>
      <c r="D158" s="6">
        <v>28.44</v>
      </c>
      <c r="E158" s="6">
        <v>88.17</v>
      </c>
      <c r="F158" s="6"/>
      <c r="G158" s="6"/>
      <c r="H158" s="6"/>
      <c r="I158" s="6"/>
      <c r="J158" s="6"/>
      <c r="K158" s="6"/>
      <c r="L158" s="6">
        <v>2000</v>
      </c>
      <c r="M158" s="6">
        <v>511160</v>
      </c>
      <c r="N158" s="6">
        <f t="shared" si="11"/>
        <v>2000</v>
      </c>
      <c r="O158" s="6">
        <f t="shared" si="12"/>
        <v>511160</v>
      </c>
      <c r="P158" s="6">
        <v>47</v>
      </c>
      <c r="Q158" s="6">
        <v>11933</v>
      </c>
      <c r="R158" s="6"/>
      <c r="S158" s="6"/>
    </row>
    <row r="159" spans="1:19" s="1" customFormat="1" ht="15" hidden="1" customHeight="1" outlineLevel="1" x14ac:dyDescent="0.25">
      <c r="A159" s="2" t="s">
        <v>83</v>
      </c>
      <c r="B159" s="2" t="s">
        <v>84</v>
      </c>
      <c r="C159" s="13">
        <v>158.19</v>
      </c>
      <c r="D159" s="6">
        <v>126.34</v>
      </c>
      <c r="E159" s="6">
        <v>98.92</v>
      </c>
      <c r="F159" s="6"/>
      <c r="G159" s="6"/>
      <c r="H159" s="6">
        <v>10</v>
      </c>
      <c r="I159" s="6">
        <v>1581.9</v>
      </c>
      <c r="J159" s="6">
        <v>390</v>
      </c>
      <c r="K159" s="6">
        <v>61694.1</v>
      </c>
      <c r="L159" s="6">
        <v>500</v>
      </c>
      <c r="M159" s="6">
        <v>79095</v>
      </c>
      <c r="N159" s="6">
        <f t="shared" si="11"/>
        <v>900</v>
      </c>
      <c r="O159" s="6">
        <f t="shared" si="12"/>
        <v>142371</v>
      </c>
      <c r="P159" s="6">
        <v>58</v>
      </c>
      <c r="Q159" s="6">
        <v>8027</v>
      </c>
      <c r="R159" s="6"/>
      <c r="S159" s="6"/>
    </row>
    <row r="160" spans="1:19" s="1" customFormat="1" ht="15" hidden="1" customHeight="1" outlineLevel="1" x14ac:dyDescent="0.25">
      <c r="A160" s="2" t="s">
        <v>472</v>
      </c>
      <c r="B160" s="2" t="s">
        <v>473</v>
      </c>
      <c r="C160" s="13">
        <v>1141.26</v>
      </c>
      <c r="D160" s="6">
        <v>937.5</v>
      </c>
      <c r="E160" s="6">
        <v>100</v>
      </c>
      <c r="F160" s="6"/>
      <c r="G160" s="6"/>
      <c r="H160" s="6"/>
      <c r="I160" s="6"/>
      <c r="J160" s="6">
        <v>758</v>
      </c>
      <c r="K160" s="6">
        <v>865075.08</v>
      </c>
      <c r="L160" s="6">
        <v>300</v>
      </c>
      <c r="M160" s="6">
        <v>342378</v>
      </c>
      <c r="N160" s="6">
        <f t="shared" si="11"/>
        <v>1058</v>
      </c>
      <c r="O160" s="6">
        <f t="shared" si="12"/>
        <v>1207453.08</v>
      </c>
      <c r="P160" s="6">
        <v>1</v>
      </c>
      <c r="Q160" s="6">
        <v>1592</v>
      </c>
      <c r="R160" s="6">
        <f t="shared" si="13"/>
        <v>612.46399999999994</v>
      </c>
      <c r="S160" s="6">
        <f t="shared" si="14"/>
        <v>698980.66463999997</v>
      </c>
    </row>
    <row r="161" spans="1:19" s="1" customFormat="1" ht="15" hidden="1" customHeight="1" outlineLevel="1" x14ac:dyDescent="0.25">
      <c r="A161" s="2" t="s">
        <v>1041</v>
      </c>
      <c r="B161" s="2" t="s">
        <v>1042</v>
      </c>
      <c r="C161" s="13">
        <v>196.88</v>
      </c>
      <c r="D161" s="6">
        <v>158.44</v>
      </c>
      <c r="E161" s="6">
        <v>100</v>
      </c>
      <c r="F161" s="6">
        <v>18</v>
      </c>
      <c r="G161" s="6">
        <v>3543.84</v>
      </c>
      <c r="H161" s="6">
        <v>15</v>
      </c>
      <c r="I161" s="6">
        <v>2953.2</v>
      </c>
      <c r="J161" s="6">
        <v>877</v>
      </c>
      <c r="K161" s="6">
        <v>172663.76</v>
      </c>
      <c r="L161" s="6"/>
      <c r="M161" s="6"/>
      <c r="N161" s="6">
        <f t="shared" si="11"/>
        <v>910</v>
      </c>
      <c r="O161" s="6">
        <f t="shared" si="12"/>
        <v>179160.8</v>
      </c>
      <c r="P161" s="6">
        <v>70</v>
      </c>
      <c r="Q161" s="6">
        <v>14411</v>
      </c>
      <c r="R161" s="6"/>
      <c r="S161" s="6"/>
    </row>
    <row r="162" spans="1:19" s="1" customFormat="1" ht="15" hidden="1" customHeight="1" outlineLevel="1" x14ac:dyDescent="0.25">
      <c r="A162" s="2" t="s">
        <v>227</v>
      </c>
      <c r="B162" s="2" t="s">
        <v>228</v>
      </c>
      <c r="C162" s="13">
        <v>730</v>
      </c>
      <c r="D162" s="6">
        <v>2046.87</v>
      </c>
      <c r="E162" s="6">
        <v>100</v>
      </c>
      <c r="F162" s="6"/>
      <c r="G162" s="6"/>
      <c r="H162" s="6"/>
      <c r="I162" s="6"/>
      <c r="J162" s="6">
        <v>171</v>
      </c>
      <c r="K162" s="6">
        <v>124830</v>
      </c>
      <c r="L162" s="6"/>
      <c r="M162" s="6"/>
      <c r="N162" s="6">
        <f t="shared" si="11"/>
        <v>171</v>
      </c>
      <c r="O162" s="6">
        <f t="shared" si="12"/>
        <v>124830</v>
      </c>
      <c r="P162" s="6">
        <v>3</v>
      </c>
      <c r="Q162" s="6">
        <v>2036</v>
      </c>
      <c r="R162" s="6">
        <f t="shared" si="13"/>
        <v>155.9624060150376</v>
      </c>
      <c r="S162" s="6">
        <f t="shared" si="14"/>
        <v>113852.55639097745</v>
      </c>
    </row>
    <row r="163" spans="1:19" s="1" customFormat="1" ht="15" hidden="1" customHeight="1" outlineLevel="1" x14ac:dyDescent="0.25">
      <c r="A163" s="2" t="s">
        <v>391</v>
      </c>
      <c r="B163" s="2" t="s">
        <v>392</v>
      </c>
      <c r="C163" s="13">
        <v>395.05</v>
      </c>
      <c r="D163" s="6">
        <v>15.22</v>
      </c>
      <c r="E163" s="6">
        <v>23.66</v>
      </c>
      <c r="F163" s="6"/>
      <c r="G163" s="6"/>
      <c r="H163" s="6"/>
      <c r="I163" s="6"/>
      <c r="J163" s="6"/>
      <c r="K163" s="6"/>
      <c r="L163" s="6">
        <v>192</v>
      </c>
      <c r="M163" s="6">
        <v>75849.600000000006</v>
      </c>
      <c r="N163" s="6">
        <f t="shared" si="11"/>
        <v>192</v>
      </c>
      <c r="O163" s="6">
        <f t="shared" si="12"/>
        <v>75849.600000000006</v>
      </c>
      <c r="P163" s="6">
        <v>33</v>
      </c>
      <c r="Q163" s="6">
        <v>12909</v>
      </c>
      <c r="R163" s="6"/>
      <c r="S163" s="6"/>
    </row>
    <row r="164" spans="1:19" s="1" customFormat="1" ht="15" hidden="1" customHeight="1" outlineLevel="1" x14ac:dyDescent="0.25">
      <c r="A164" s="2" t="s">
        <v>55</v>
      </c>
      <c r="B164" s="2" t="s">
        <v>56</v>
      </c>
      <c r="C164" s="13">
        <v>55.9</v>
      </c>
      <c r="D164" s="6">
        <v>186.65</v>
      </c>
      <c r="E164" s="6">
        <v>100</v>
      </c>
      <c r="F164" s="6"/>
      <c r="G164" s="6"/>
      <c r="H164" s="6">
        <v>40</v>
      </c>
      <c r="I164" s="6">
        <v>2236</v>
      </c>
      <c r="J164" s="6">
        <v>473</v>
      </c>
      <c r="K164" s="6">
        <v>26440.7</v>
      </c>
      <c r="L164" s="6">
        <v>2000</v>
      </c>
      <c r="M164" s="6">
        <v>111800</v>
      </c>
      <c r="N164" s="6">
        <f t="shared" si="11"/>
        <v>2513</v>
      </c>
      <c r="O164" s="6">
        <f t="shared" si="12"/>
        <v>140476.69999999998</v>
      </c>
      <c r="P164" s="6">
        <v>58</v>
      </c>
      <c r="Q164" s="6">
        <v>3451</v>
      </c>
      <c r="R164" s="6">
        <f t="shared" si="13"/>
        <v>16.852129654433444</v>
      </c>
      <c r="S164" s="6">
        <f t="shared" si="14"/>
        <v>942.03404768282951</v>
      </c>
    </row>
    <row r="165" spans="1:19" s="1" customFormat="1" ht="15" hidden="1" customHeight="1" outlineLevel="1" x14ac:dyDescent="0.25">
      <c r="A165" s="2" t="s">
        <v>399</v>
      </c>
      <c r="B165" s="2" t="s">
        <v>400</v>
      </c>
      <c r="C165" s="13">
        <v>361.88</v>
      </c>
      <c r="D165" s="6">
        <v>52.3</v>
      </c>
      <c r="E165" s="6">
        <v>100</v>
      </c>
      <c r="F165" s="6">
        <v>10</v>
      </c>
      <c r="G165" s="6">
        <v>3618.8</v>
      </c>
      <c r="H165" s="6">
        <v>9</v>
      </c>
      <c r="I165" s="6">
        <v>3256.92</v>
      </c>
      <c r="J165" s="6">
        <v>140</v>
      </c>
      <c r="K165" s="6">
        <v>50663.199999999997</v>
      </c>
      <c r="L165" s="6">
        <v>528</v>
      </c>
      <c r="M165" s="6">
        <v>191072.64000000001</v>
      </c>
      <c r="N165" s="6">
        <f t="shared" si="11"/>
        <v>687</v>
      </c>
      <c r="O165" s="6">
        <f t="shared" si="12"/>
        <v>248611.56</v>
      </c>
      <c r="P165" s="6">
        <v>24</v>
      </c>
      <c r="Q165" s="6">
        <v>7585</v>
      </c>
      <c r="R165" s="6"/>
      <c r="S165" s="6"/>
    </row>
    <row r="166" spans="1:19" s="1" customFormat="1" ht="15" hidden="1" customHeight="1" outlineLevel="1" x14ac:dyDescent="0.25">
      <c r="A166" s="2" t="s">
        <v>608</v>
      </c>
      <c r="B166" s="2" t="s">
        <v>609</v>
      </c>
      <c r="C166" s="13">
        <v>1304.03</v>
      </c>
      <c r="D166" s="6"/>
      <c r="E166" s="6">
        <v>5.38</v>
      </c>
      <c r="F166" s="6"/>
      <c r="G166" s="6"/>
      <c r="H166" s="6"/>
      <c r="I166" s="6"/>
      <c r="J166" s="6">
        <v>100</v>
      </c>
      <c r="K166" s="6">
        <v>130403</v>
      </c>
      <c r="L166" s="6"/>
      <c r="M166" s="6"/>
      <c r="N166" s="6">
        <f t="shared" si="11"/>
        <v>100</v>
      </c>
      <c r="O166" s="6">
        <f t="shared" si="12"/>
        <v>130403</v>
      </c>
      <c r="P166" s="6"/>
      <c r="Q166" s="6"/>
      <c r="R166" s="6"/>
      <c r="S166" s="6"/>
    </row>
    <row r="167" spans="1:19" s="1" customFormat="1" ht="15" hidden="1" customHeight="1" outlineLevel="1" x14ac:dyDescent="0.25">
      <c r="A167" s="2" t="s">
        <v>522</v>
      </c>
      <c r="B167" s="2" t="s">
        <v>523</v>
      </c>
      <c r="C167" s="13">
        <v>60.5</v>
      </c>
      <c r="D167" s="6">
        <v>390.3</v>
      </c>
      <c r="E167" s="6">
        <v>100</v>
      </c>
      <c r="F167" s="6"/>
      <c r="G167" s="6"/>
      <c r="H167" s="6"/>
      <c r="I167" s="6"/>
      <c r="J167" s="6">
        <v>593</v>
      </c>
      <c r="K167" s="6">
        <v>35876.5</v>
      </c>
      <c r="L167" s="6">
        <v>4800</v>
      </c>
      <c r="M167" s="6">
        <v>290400</v>
      </c>
      <c r="N167" s="6">
        <f t="shared" si="11"/>
        <v>5393</v>
      </c>
      <c r="O167" s="6">
        <f t="shared" si="12"/>
        <v>326276.5</v>
      </c>
      <c r="P167" s="6">
        <v>45</v>
      </c>
      <c r="Q167" s="6">
        <v>2854</v>
      </c>
      <c r="R167" s="6">
        <f t="shared" si="13"/>
        <v>319.51806302843966</v>
      </c>
      <c r="S167" s="6">
        <f t="shared" si="14"/>
        <v>19330.842813220599</v>
      </c>
    </row>
    <row r="168" spans="1:19" s="1" customFormat="1" ht="15" hidden="1" customHeight="1" outlineLevel="1" x14ac:dyDescent="0.25">
      <c r="A168" s="2" t="s">
        <v>155</v>
      </c>
      <c r="B168" s="2" t="s">
        <v>156</v>
      </c>
      <c r="C168" s="13">
        <v>827.32</v>
      </c>
      <c r="D168" s="6">
        <v>672.38</v>
      </c>
      <c r="E168" s="6">
        <v>100</v>
      </c>
      <c r="F168" s="6"/>
      <c r="G168" s="6"/>
      <c r="H168" s="6"/>
      <c r="I168" s="6"/>
      <c r="J168" s="6">
        <v>223</v>
      </c>
      <c r="K168" s="6">
        <v>184492.36</v>
      </c>
      <c r="L168" s="6"/>
      <c r="M168" s="6"/>
      <c r="N168" s="6">
        <f t="shared" si="11"/>
        <v>223</v>
      </c>
      <c r="O168" s="6">
        <f t="shared" si="12"/>
        <v>184492.36000000002</v>
      </c>
      <c r="P168" s="6">
        <v>5</v>
      </c>
      <c r="Q168" s="6">
        <v>4185</v>
      </c>
      <c r="R168" s="6">
        <f t="shared" si="13"/>
        <v>163.30161515809513</v>
      </c>
      <c r="S168" s="6">
        <f t="shared" si="14"/>
        <v>135102.69225259527</v>
      </c>
    </row>
    <row r="169" spans="1:19" s="1" customFormat="1" ht="15" hidden="1" customHeight="1" outlineLevel="1" x14ac:dyDescent="0.25">
      <c r="A169" s="2" t="s">
        <v>327</v>
      </c>
      <c r="B169" s="2" t="s">
        <v>328</v>
      </c>
      <c r="C169" s="13">
        <v>44.48</v>
      </c>
      <c r="D169" s="6">
        <v>67.150000000000006</v>
      </c>
      <c r="E169" s="6">
        <v>100</v>
      </c>
      <c r="F169" s="6">
        <v>100</v>
      </c>
      <c r="G169" s="6">
        <v>4448</v>
      </c>
      <c r="H169" s="6">
        <v>195</v>
      </c>
      <c r="I169" s="6">
        <v>8673.6</v>
      </c>
      <c r="J169" s="6">
        <v>155</v>
      </c>
      <c r="K169" s="6">
        <v>6894.4</v>
      </c>
      <c r="L169" s="6">
        <v>11400</v>
      </c>
      <c r="M169" s="6">
        <v>507072</v>
      </c>
      <c r="N169" s="6">
        <f t="shared" si="11"/>
        <v>11850</v>
      </c>
      <c r="O169" s="6">
        <f t="shared" si="12"/>
        <v>527088</v>
      </c>
      <c r="P169" s="6">
        <v>442</v>
      </c>
      <c r="Q169" s="6">
        <v>20393</v>
      </c>
      <c r="R169" s="6"/>
      <c r="S169" s="6"/>
    </row>
    <row r="170" spans="1:19" s="1" customFormat="1" ht="15" hidden="1" customHeight="1" outlineLevel="1" x14ac:dyDescent="0.25">
      <c r="A170" s="2" t="s">
        <v>235</v>
      </c>
      <c r="B170" s="2" t="s">
        <v>236</v>
      </c>
      <c r="C170" s="13">
        <v>1918.62</v>
      </c>
      <c r="D170" s="6">
        <v>893.27</v>
      </c>
      <c r="E170" s="6">
        <v>100</v>
      </c>
      <c r="F170" s="6"/>
      <c r="G170" s="6"/>
      <c r="H170" s="6">
        <v>4</v>
      </c>
      <c r="I170" s="6">
        <v>7674.48</v>
      </c>
      <c r="J170" s="6">
        <v>190</v>
      </c>
      <c r="K170" s="6">
        <v>364537.8</v>
      </c>
      <c r="L170" s="6"/>
      <c r="M170" s="6"/>
      <c r="N170" s="6">
        <f t="shared" si="11"/>
        <v>194</v>
      </c>
      <c r="O170" s="6">
        <f t="shared" si="12"/>
        <v>372212.27999999997</v>
      </c>
      <c r="P170" s="6">
        <v>3</v>
      </c>
      <c r="Q170" s="6">
        <v>6690</v>
      </c>
      <c r="R170" s="6">
        <f t="shared" si="13"/>
        <v>151.713703583463</v>
      </c>
      <c r="S170" s="6">
        <f t="shared" si="14"/>
        <v>291080.94596930378</v>
      </c>
    </row>
    <row r="171" spans="1:19" s="1" customFormat="1" ht="15" hidden="1" customHeight="1" outlineLevel="1" x14ac:dyDescent="0.25">
      <c r="A171" s="2" t="s">
        <v>401</v>
      </c>
      <c r="B171" s="2" t="s">
        <v>402</v>
      </c>
      <c r="C171" s="13">
        <v>325.91000000000003</v>
      </c>
      <c r="D171" s="6">
        <v>201.42</v>
      </c>
      <c r="E171" s="6">
        <v>100</v>
      </c>
      <c r="F171" s="6"/>
      <c r="G171" s="6"/>
      <c r="H171" s="6">
        <v>6</v>
      </c>
      <c r="I171" s="6">
        <v>1955.46</v>
      </c>
      <c r="J171" s="6">
        <v>226</v>
      </c>
      <c r="K171" s="6">
        <v>73655.66</v>
      </c>
      <c r="L171" s="6">
        <v>528</v>
      </c>
      <c r="M171" s="6">
        <v>172080.48</v>
      </c>
      <c r="N171" s="6">
        <f t="shared" si="11"/>
        <v>760</v>
      </c>
      <c r="O171" s="6">
        <f t="shared" si="12"/>
        <v>247691.6</v>
      </c>
      <c r="P171" s="6">
        <v>26</v>
      </c>
      <c r="Q171" s="6">
        <v>8968</v>
      </c>
      <c r="R171" s="6">
        <f t="shared" si="13"/>
        <v>24.033958891867726</v>
      </c>
      <c r="S171" s="6">
        <f t="shared" si="14"/>
        <v>7832.9075424486109</v>
      </c>
    </row>
    <row r="172" spans="1:19" s="1" customFormat="1" ht="15" hidden="1" customHeight="1" outlineLevel="1" x14ac:dyDescent="0.25">
      <c r="A172" s="2" t="s">
        <v>1007</v>
      </c>
      <c r="B172" s="2" t="s">
        <v>1008</v>
      </c>
      <c r="C172" s="13">
        <v>69.739999999999995</v>
      </c>
      <c r="D172" s="6">
        <v>694</v>
      </c>
      <c r="E172" s="6">
        <v>100</v>
      </c>
      <c r="F172" s="6"/>
      <c r="G172" s="6"/>
      <c r="H172" s="6">
        <v>2</v>
      </c>
      <c r="I172" s="6">
        <v>139.47999999999999</v>
      </c>
      <c r="J172" s="6">
        <v>410</v>
      </c>
      <c r="K172" s="6">
        <v>28593.4</v>
      </c>
      <c r="L172" s="6"/>
      <c r="M172" s="6"/>
      <c r="N172" s="6">
        <f t="shared" si="11"/>
        <v>412</v>
      </c>
      <c r="O172" s="6">
        <f t="shared" si="12"/>
        <v>28732.879999999997</v>
      </c>
      <c r="P172" s="6">
        <v>17</v>
      </c>
      <c r="Q172" s="6">
        <v>1286</v>
      </c>
      <c r="R172" s="6">
        <f t="shared" si="13"/>
        <v>303.65994236311241</v>
      </c>
      <c r="S172" s="6">
        <f t="shared" si="14"/>
        <v>21177.244380403459</v>
      </c>
    </row>
    <row r="173" spans="1:19" s="1" customFormat="1" ht="15" hidden="1" customHeight="1" outlineLevel="1" x14ac:dyDescent="0.25">
      <c r="A173" s="2" t="s">
        <v>1279</v>
      </c>
      <c r="B173" s="2" t="s">
        <v>1280</v>
      </c>
      <c r="C173" s="13">
        <v>57.31</v>
      </c>
      <c r="D173" s="6">
        <v>157.81</v>
      </c>
      <c r="E173" s="6">
        <v>100</v>
      </c>
      <c r="F173" s="6">
        <v>10</v>
      </c>
      <c r="G173" s="6">
        <v>573.1</v>
      </c>
      <c r="H173" s="6">
        <v>45</v>
      </c>
      <c r="I173" s="6">
        <v>2578.9499999999998</v>
      </c>
      <c r="J173" s="6">
        <v>78</v>
      </c>
      <c r="K173" s="6">
        <v>4470.18</v>
      </c>
      <c r="L173" s="6"/>
      <c r="M173" s="6"/>
      <c r="N173" s="6">
        <f t="shared" si="11"/>
        <v>133</v>
      </c>
      <c r="O173" s="6">
        <f t="shared" si="12"/>
        <v>7622.2300000000005</v>
      </c>
      <c r="P173" s="6">
        <v>34</v>
      </c>
      <c r="Q173" s="6">
        <v>2072</v>
      </c>
      <c r="R173" s="6"/>
      <c r="S173" s="6"/>
    </row>
    <row r="174" spans="1:19" s="1" customFormat="1" ht="15" hidden="1" customHeight="1" outlineLevel="1" x14ac:dyDescent="0.25">
      <c r="A174" s="2" t="s">
        <v>636</v>
      </c>
      <c r="B174" s="2" t="s">
        <v>637</v>
      </c>
      <c r="C174" s="13">
        <v>208.25</v>
      </c>
      <c r="D174" s="6">
        <v>189.38</v>
      </c>
      <c r="E174" s="6">
        <v>76.34</v>
      </c>
      <c r="F174" s="6"/>
      <c r="G174" s="6"/>
      <c r="H174" s="6">
        <v>10</v>
      </c>
      <c r="I174" s="6">
        <v>2082.5</v>
      </c>
      <c r="J174" s="6">
        <v>902</v>
      </c>
      <c r="K174" s="6">
        <v>187841.5</v>
      </c>
      <c r="L174" s="6"/>
      <c r="M174" s="6"/>
      <c r="N174" s="6">
        <f t="shared" si="11"/>
        <v>912</v>
      </c>
      <c r="O174" s="6">
        <f t="shared" si="12"/>
        <v>189924</v>
      </c>
      <c r="P174" s="6">
        <v>56</v>
      </c>
      <c r="Q174" s="6">
        <v>12145</v>
      </c>
      <c r="R174" s="6">
        <f t="shared" si="13"/>
        <v>44.676100961030713</v>
      </c>
      <c r="S174" s="6">
        <f t="shared" si="14"/>
        <v>9303.7980251346453</v>
      </c>
    </row>
    <row r="175" spans="1:19" s="1" customFormat="1" ht="15" hidden="1" customHeight="1" outlineLevel="1" x14ac:dyDescent="0.25">
      <c r="A175" s="2" t="s">
        <v>175</v>
      </c>
      <c r="B175" s="2" t="s">
        <v>176</v>
      </c>
      <c r="C175" s="13">
        <v>569.9</v>
      </c>
      <c r="D175" s="6">
        <v>315.82</v>
      </c>
      <c r="E175" s="6">
        <v>100</v>
      </c>
      <c r="F175" s="6"/>
      <c r="G175" s="6"/>
      <c r="H175" s="6">
        <v>4</v>
      </c>
      <c r="I175" s="6">
        <v>2279.6</v>
      </c>
      <c r="J175" s="6">
        <v>353</v>
      </c>
      <c r="K175" s="6">
        <v>201174.7</v>
      </c>
      <c r="L175" s="6">
        <v>500</v>
      </c>
      <c r="M175" s="6">
        <v>284950</v>
      </c>
      <c r="N175" s="6">
        <f t="shared" si="11"/>
        <v>857</v>
      </c>
      <c r="O175" s="6">
        <f t="shared" si="12"/>
        <v>488404.3</v>
      </c>
      <c r="P175" s="6">
        <v>33</v>
      </c>
      <c r="Q175" s="6">
        <v>19808</v>
      </c>
      <c r="R175" s="6">
        <f t="shared" si="13"/>
        <v>151.80944841998607</v>
      </c>
      <c r="S175" s="6">
        <f t="shared" si="14"/>
        <v>86516.204654550063</v>
      </c>
    </row>
    <row r="176" spans="1:19" s="1" customFormat="1" ht="15" hidden="1" customHeight="1" outlineLevel="1" x14ac:dyDescent="0.25">
      <c r="A176" s="2" t="s">
        <v>724</v>
      </c>
      <c r="B176" s="2" t="s">
        <v>725</v>
      </c>
      <c r="C176" s="13">
        <v>153.4</v>
      </c>
      <c r="D176" s="6">
        <v>179.55</v>
      </c>
      <c r="E176" s="6">
        <v>100</v>
      </c>
      <c r="F176" s="6"/>
      <c r="G176" s="6"/>
      <c r="H176" s="6"/>
      <c r="I176" s="6"/>
      <c r="J176" s="6">
        <v>158</v>
      </c>
      <c r="K176" s="6">
        <v>24237.200000000001</v>
      </c>
      <c r="L176" s="6"/>
      <c r="M176" s="6"/>
      <c r="N176" s="6">
        <f t="shared" si="11"/>
        <v>158</v>
      </c>
      <c r="O176" s="6">
        <f t="shared" si="12"/>
        <v>24237.200000000001</v>
      </c>
      <c r="P176" s="6">
        <v>40</v>
      </c>
      <c r="Q176" s="6">
        <v>6442</v>
      </c>
      <c r="R176" s="6"/>
      <c r="S176" s="6"/>
    </row>
    <row r="177" spans="1:19" s="1" customFormat="1" ht="15" hidden="1" customHeight="1" outlineLevel="1" x14ac:dyDescent="0.25">
      <c r="A177" s="2" t="s">
        <v>377</v>
      </c>
      <c r="B177" s="2" t="s">
        <v>378</v>
      </c>
      <c r="C177" s="13">
        <v>289.51</v>
      </c>
      <c r="D177" s="6">
        <v>178.3</v>
      </c>
      <c r="E177" s="6">
        <v>60.22</v>
      </c>
      <c r="F177" s="6">
        <v>22</v>
      </c>
      <c r="G177" s="6">
        <v>6369.22</v>
      </c>
      <c r="H177" s="6">
        <v>6</v>
      </c>
      <c r="I177" s="6">
        <v>1737.06</v>
      </c>
      <c r="J177" s="6">
        <v>309</v>
      </c>
      <c r="K177" s="6">
        <v>89458.59</v>
      </c>
      <c r="L177" s="6"/>
      <c r="M177" s="6"/>
      <c r="N177" s="6">
        <f t="shared" si="11"/>
        <v>337</v>
      </c>
      <c r="O177" s="6">
        <f t="shared" si="12"/>
        <v>97564.87</v>
      </c>
      <c r="P177" s="6">
        <v>20</v>
      </c>
      <c r="Q177" s="6">
        <v>5517</v>
      </c>
      <c r="R177" s="6"/>
      <c r="S177" s="6"/>
    </row>
    <row r="178" spans="1:19" s="1" customFormat="1" ht="15" hidden="1" customHeight="1" outlineLevel="1" x14ac:dyDescent="0.25">
      <c r="A178" s="2" t="s">
        <v>193</v>
      </c>
      <c r="B178" s="2" t="s">
        <v>194</v>
      </c>
      <c r="C178" s="13">
        <v>80.400000000000006</v>
      </c>
      <c r="D178" s="6">
        <v>272.57</v>
      </c>
      <c r="E178" s="6">
        <v>100</v>
      </c>
      <c r="F178" s="6">
        <v>150</v>
      </c>
      <c r="G178" s="6">
        <v>12060</v>
      </c>
      <c r="H178" s="6">
        <v>25</v>
      </c>
      <c r="I178" s="6">
        <v>2010</v>
      </c>
      <c r="J178" s="6">
        <v>6030</v>
      </c>
      <c r="K178" s="6">
        <v>484812</v>
      </c>
      <c r="L178" s="6"/>
      <c r="M178" s="6"/>
      <c r="N178" s="6">
        <f t="shared" si="11"/>
        <v>6205</v>
      </c>
      <c r="O178" s="6">
        <f t="shared" si="12"/>
        <v>498882.00000000006</v>
      </c>
      <c r="P178" s="6">
        <v>228</v>
      </c>
      <c r="Q178" s="6">
        <v>18918</v>
      </c>
      <c r="R178" s="6">
        <f t="shared" si="13"/>
        <v>2047.9036577759839</v>
      </c>
      <c r="S178" s="6">
        <f t="shared" si="14"/>
        <v>164651.45408518912</v>
      </c>
    </row>
    <row r="179" spans="1:19" s="1" customFormat="1" ht="15" hidden="1" customHeight="1" outlineLevel="1" x14ac:dyDescent="0.25">
      <c r="A179" s="2" t="s">
        <v>432</v>
      </c>
      <c r="B179" s="2" t="s">
        <v>433</v>
      </c>
      <c r="C179" s="13">
        <v>66.83</v>
      </c>
      <c r="D179" s="6">
        <v>900.72</v>
      </c>
      <c r="E179" s="6">
        <v>100</v>
      </c>
      <c r="F179" s="6"/>
      <c r="G179" s="6"/>
      <c r="H179" s="6">
        <v>17</v>
      </c>
      <c r="I179" s="6">
        <v>1136.1099999999999</v>
      </c>
      <c r="J179" s="6">
        <v>515</v>
      </c>
      <c r="K179" s="6">
        <v>34417.449999999997</v>
      </c>
      <c r="L179" s="6"/>
      <c r="M179" s="6"/>
      <c r="N179" s="6">
        <f t="shared" si="11"/>
        <v>532</v>
      </c>
      <c r="O179" s="6">
        <f t="shared" si="12"/>
        <v>35553.56</v>
      </c>
      <c r="P179" s="6">
        <v>12</v>
      </c>
      <c r="Q179" s="6">
        <v>855</v>
      </c>
      <c r="R179" s="6">
        <f t="shared" si="13"/>
        <v>412.0823341326938</v>
      </c>
      <c r="S179" s="6">
        <f t="shared" si="14"/>
        <v>27539.462390087927</v>
      </c>
    </row>
    <row r="180" spans="1:19" s="1" customFormat="1" ht="15" hidden="1" customHeight="1" outlineLevel="1" x14ac:dyDescent="0.25">
      <c r="A180" s="2" t="s">
        <v>987</v>
      </c>
      <c r="B180" s="2" t="s">
        <v>988</v>
      </c>
      <c r="C180" s="13">
        <v>1263.8</v>
      </c>
      <c r="D180" s="6">
        <v>655.38</v>
      </c>
      <c r="E180" s="6">
        <v>100</v>
      </c>
      <c r="F180" s="6"/>
      <c r="G180" s="6"/>
      <c r="H180" s="6"/>
      <c r="I180" s="6"/>
      <c r="J180" s="6">
        <v>147</v>
      </c>
      <c r="K180" s="6">
        <v>185778.6</v>
      </c>
      <c r="L180" s="6"/>
      <c r="M180" s="6"/>
      <c r="N180" s="6">
        <f t="shared" si="11"/>
        <v>147</v>
      </c>
      <c r="O180" s="6">
        <f t="shared" si="12"/>
        <v>185778.6</v>
      </c>
      <c r="P180" s="6">
        <v>2</v>
      </c>
      <c r="Q180" s="6">
        <v>2299</v>
      </c>
      <c r="R180" s="6">
        <f t="shared" si="13"/>
        <v>106.62647624279043</v>
      </c>
      <c r="S180" s="6">
        <f t="shared" si="14"/>
        <v>134754.54067563853</v>
      </c>
    </row>
    <row r="181" spans="1:19" s="1" customFormat="1" ht="15" hidden="1" customHeight="1" outlineLevel="1" x14ac:dyDescent="0.25">
      <c r="A181" s="2" t="s">
        <v>624</v>
      </c>
      <c r="B181" s="2" t="s">
        <v>625</v>
      </c>
      <c r="C181" s="13">
        <v>116.54</v>
      </c>
      <c r="D181" s="6">
        <v>347.18</v>
      </c>
      <c r="E181" s="6">
        <v>66.67</v>
      </c>
      <c r="F181" s="6">
        <v>30</v>
      </c>
      <c r="G181" s="6">
        <v>3496.2</v>
      </c>
      <c r="H181" s="6">
        <v>15</v>
      </c>
      <c r="I181" s="6">
        <v>1748.1</v>
      </c>
      <c r="J181" s="6">
        <v>926</v>
      </c>
      <c r="K181" s="6">
        <v>107916.04</v>
      </c>
      <c r="L181" s="6"/>
      <c r="M181" s="6"/>
      <c r="N181" s="6">
        <f t="shared" si="11"/>
        <v>971</v>
      </c>
      <c r="O181" s="6">
        <f t="shared" si="12"/>
        <v>113160.34000000001</v>
      </c>
      <c r="P181" s="6">
        <v>86</v>
      </c>
      <c r="Q181" s="6">
        <v>10566</v>
      </c>
      <c r="R181" s="6">
        <f t="shared" si="13"/>
        <v>445.90322023158012</v>
      </c>
      <c r="S181" s="6">
        <f t="shared" si="14"/>
        <v>51965.561285788353</v>
      </c>
    </row>
    <row r="182" spans="1:19" s="1" customFormat="1" ht="15" hidden="1" customHeight="1" outlineLevel="1" x14ac:dyDescent="0.25">
      <c r="A182" s="2" t="s">
        <v>482</v>
      </c>
      <c r="B182" s="2" t="s">
        <v>483</v>
      </c>
      <c r="C182" s="13">
        <v>81.42</v>
      </c>
      <c r="D182" s="6">
        <v>105.41</v>
      </c>
      <c r="E182" s="6">
        <v>61.29</v>
      </c>
      <c r="F182" s="6"/>
      <c r="G182" s="6"/>
      <c r="H182" s="6">
        <v>280</v>
      </c>
      <c r="I182" s="6">
        <v>22797.599999999999</v>
      </c>
      <c r="J182" s="6">
        <v>53</v>
      </c>
      <c r="K182" s="6">
        <v>4315.26</v>
      </c>
      <c r="L182" s="6">
        <v>600</v>
      </c>
      <c r="M182" s="6">
        <v>48852</v>
      </c>
      <c r="N182" s="6">
        <f t="shared" si="11"/>
        <v>933</v>
      </c>
      <c r="O182" s="6">
        <f t="shared" si="12"/>
        <v>75964.86</v>
      </c>
      <c r="P182" s="6">
        <v>156</v>
      </c>
      <c r="Q182" s="6">
        <v>11257</v>
      </c>
      <c r="R182" s="6"/>
      <c r="S182" s="6"/>
    </row>
    <row r="183" spans="1:19" s="1" customFormat="1" ht="15" hidden="1" customHeight="1" outlineLevel="1" x14ac:dyDescent="0.25">
      <c r="A183" s="2" t="s">
        <v>606</v>
      </c>
      <c r="B183" s="2" t="s">
        <v>607</v>
      </c>
      <c r="C183" s="13">
        <v>640.76</v>
      </c>
      <c r="D183" s="6">
        <v>55.63</v>
      </c>
      <c r="E183" s="6">
        <v>100</v>
      </c>
      <c r="F183" s="6"/>
      <c r="G183" s="6"/>
      <c r="H183" s="6">
        <v>4</v>
      </c>
      <c r="I183" s="6">
        <v>2563.04</v>
      </c>
      <c r="J183" s="6">
        <v>96</v>
      </c>
      <c r="K183" s="6">
        <v>61512.959999999999</v>
      </c>
      <c r="L183" s="6"/>
      <c r="M183" s="6"/>
      <c r="N183" s="6">
        <f t="shared" si="11"/>
        <v>100</v>
      </c>
      <c r="O183" s="6">
        <f t="shared" si="12"/>
        <v>64076</v>
      </c>
      <c r="P183" s="6">
        <v>17</v>
      </c>
      <c r="Q183" s="6">
        <v>10148</v>
      </c>
      <c r="R183" s="6"/>
      <c r="S183" s="6"/>
    </row>
    <row r="184" spans="1:19" s="1" customFormat="1" ht="15" hidden="1" customHeight="1" outlineLevel="1" x14ac:dyDescent="0.25">
      <c r="A184" s="2" t="s">
        <v>17</v>
      </c>
      <c r="B184" s="2" t="s">
        <v>18</v>
      </c>
      <c r="C184" s="13">
        <v>340.1</v>
      </c>
      <c r="D184" s="6">
        <v>80.239999999999995</v>
      </c>
      <c r="E184" s="6">
        <v>56.99</v>
      </c>
      <c r="F184" s="6"/>
      <c r="G184" s="6"/>
      <c r="H184" s="6">
        <v>3</v>
      </c>
      <c r="I184" s="6">
        <v>1020.3</v>
      </c>
      <c r="J184" s="6">
        <v>549</v>
      </c>
      <c r="K184" s="6">
        <v>186714.9</v>
      </c>
      <c r="L184" s="6"/>
      <c r="M184" s="6"/>
      <c r="N184" s="6">
        <f t="shared" si="11"/>
        <v>552</v>
      </c>
      <c r="O184" s="6">
        <f t="shared" si="12"/>
        <v>187735.2</v>
      </c>
      <c r="P184" s="6">
        <v>4</v>
      </c>
      <c r="Q184" s="6">
        <v>1295</v>
      </c>
      <c r="R184" s="6"/>
      <c r="S184" s="6"/>
    </row>
    <row r="185" spans="1:19" s="1" customFormat="1" ht="15" hidden="1" customHeight="1" outlineLevel="1" x14ac:dyDescent="0.25">
      <c r="A185" s="2" t="s">
        <v>444</v>
      </c>
      <c r="B185" s="2" t="s">
        <v>445</v>
      </c>
      <c r="C185" s="13">
        <v>113.87</v>
      </c>
      <c r="D185" s="6"/>
      <c r="E185" s="6">
        <v>40.86</v>
      </c>
      <c r="F185" s="6"/>
      <c r="G185" s="6"/>
      <c r="H185" s="6">
        <v>115</v>
      </c>
      <c r="I185" s="6">
        <v>13095.05</v>
      </c>
      <c r="J185" s="6">
        <v>1385</v>
      </c>
      <c r="K185" s="6">
        <v>157709.95000000001</v>
      </c>
      <c r="L185" s="6"/>
      <c r="M185" s="6"/>
      <c r="N185" s="6">
        <f t="shared" si="11"/>
        <v>1500</v>
      </c>
      <c r="O185" s="6">
        <f t="shared" si="12"/>
        <v>170805</v>
      </c>
      <c r="P185" s="6">
        <v>0</v>
      </c>
      <c r="Q185" s="6">
        <v>11</v>
      </c>
      <c r="R185" s="6"/>
      <c r="S185" s="6"/>
    </row>
    <row r="186" spans="1:19" s="1" customFormat="1" ht="15" hidden="1" customHeight="1" outlineLevel="1" x14ac:dyDescent="0.25">
      <c r="A186" s="2" t="s">
        <v>1281</v>
      </c>
      <c r="B186" s="2" t="s">
        <v>1282</v>
      </c>
      <c r="C186" s="13">
        <v>61.53</v>
      </c>
      <c r="D186" s="6">
        <v>371.18</v>
      </c>
      <c r="E186" s="6">
        <v>100</v>
      </c>
      <c r="F186" s="6">
        <v>15</v>
      </c>
      <c r="G186" s="6">
        <v>922.95</v>
      </c>
      <c r="H186" s="6">
        <v>20</v>
      </c>
      <c r="I186" s="6">
        <v>1230.5999999999999</v>
      </c>
      <c r="J186" s="6">
        <v>347</v>
      </c>
      <c r="K186" s="6">
        <v>21350.91</v>
      </c>
      <c r="L186" s="6"/>
      <c r="M186" s="6"/>
      <c r="N186" s="6">
        <f t="shared" si="11"/>
        <v>382</v>
      </c>
      <c r="O186" s="6">
        <f t="shared" si="12"/>
        <v>23504.46</v>
      </c>
      <c r="P186" s="6">
        <v>35</v>
      </c>
      <c r="Q186" s="6">
        <v>2250</v>
      </c>
      <c r="R186" s="6">
        <f t="shared" si="13"/>
        <v>178.72584729780701</v>
      </c>
      <c r="S186" s="6">
        <f t="shared" si="14"/>
        <v>10997.001384234065</v>
      </c>
    </row>
    <row r="187" spans="1:19" s="1" customFormat="1" ht="15" hidden="1" customHeight="1" outlineLevel="1" x14ac:dyDescent="0.25">
      <c r="A187" s="2" t="s">
        <v>91</v>
      </c>
      <c r="B187" s="2" t="s">
        <v>92</v>
      </c>
      <c r="C187" s="13">
        <v>279.57</v>
      </c>
      <c r="D187" s="6"/>
      <c r="E187" s="6">
        <v>100</v>
      </c>
      <c r="F187" s="6">
        <v>5</v>
      </c>
      <c r="G187" s="6">
        <v>1397.85</v>
      </c>
      <c r="H187" s="6">
        <v>15</v>
      </c>
      <c r="I187" s="6">
        <v>4193.55</v>
      </c>
      <c r="J187" s="6">
        <v>712</v>
      </c>
      <c r="K187" s="6">
        <v>199053.84</v>
      </c>
      <c r="L187" s="6"/>
      <c r="M187" s="6"/>
      <c r="N187" s="6">
        <f t="shared" si="11"/>
        <v>732</v>
      </c>
      <c r="O187" s="6">
        <f t="shared" si="12"/>
        <v>204645.24</v>
      </c>
      <c r="P187" s="6">
        <v>2</v>
      </c>
      <c r="Q187" s="6">
        <v>280</v>
      </c>
      <c r="R187" s="6"/>
      <c r="S187" s="6"/>
    </row>
    <row r="188" spans="1:19" s="1" customFormat="1" ht="15" hidden="1" customHeight="1" outlineLevel="1" x14ac:dyDescent="0.25">
      <c r="A188" s="2" t="s">
        <v>612</v>
      </c>
      <c r="B188" s="2" t="s">
        <v>613</v>
      </c>
      <c r="C188" s="13">
        <v>120.5</v>
      </c>
      <c r="D188" s="6">
        <v>16.47</v>
      </c>
      <c r="E188" s="6">
        <v>65.59</v>
      </c>
      <c r="F188" s="6"/>
      <c r="G188" s="6"/>
      <c r="H188" s="6"/>
      <c r="I188" s="6"/>
      <c r="J188" s="6">
        <v>1000</v>
      </c>
      <c r="K188" s="6">
        <v>120500</v>
      </c>
      <c r="L188" s="6"/>
      <c r="M188" s="6"/>
      <c r="N188" s="6">
        <f t="shared" si="11"/>
        <v>1000</v>
      </c>
      <c r="O188" s="6">
        <f t="shared" si="12"/>
        <v>120500</v>
      </c>
      <c r="P188" s="6">
        <v>56</v>
      </c>
      <c r="Q188" s="6">
        <v>7033</v>
      </c>
      <c r="R188" s="6"/>
      <c r="S188" s="6"/>
    </row>
    <row r="189" spans="1:19" s="1" customFormat="1" ht="15" hidden="1" customHeight="1" outlineLevel="1" x14ac:dyDescent="0.25">
      <c r="A189" s="2" t="s">
        <v>109</v>
      </c>
      <c r="B189" s="2" t="s">
        <v>110</v>
      </c>
      <c r="C189" s="13">
        <v>140.61000000000001</v>
      </c>
      <c r="D189" s="6">
        <v>131.41</v>
      </c>
      <c r="E189" s="6">
        <v>100</v>
      </c>
      <c r="F189" s="6">
        <v>20</v>
      </c>
      <c r="G189" s="6">
        <v>2812.2</v>
      </c>
      <c r="H189" s="6">
        <v>7</v>
      </c>
      <c r="I189" s="6">
        <v>984.27</v>
      </c>
      <c r="J189" s="6">
        <v>206</v>
      </c>
      <c r="K189" s="6">
        <v>28965.66</v>
      </c>
      <c r="L189" s="6"/>
      <c r="M189" s="6"/>
      <c r="N189" s="6">
        <f t="shared" si="11"/>
        <v>233</v>
      </c>
      <c r="O189" s="6">
        <f t="shared" si="12"/>
        <v>32762.130000000005</v>
      </c>
      <c r="P189" s="6">
        <v>79</v>
      </c>
      <c r="Q189" s="6">
        <v>11528</v>
      </c>
      <c r="R189" s="6"/>
      <c r="S189" s="6"/>
    </row>
    <row r="190" spans="1:19" s="1" customFormat="1" ht="15" hidden="1" customHeight="1" outlineLevel="1" x14ac:dyDescent="0.25">
      <c r="A190" s="2" t="s">
        <v>229</v>
      </c>
      <c r="B190" s="2" t="s">
        <v>230</v>
      </c>
      <c r="C190" s="13">
        <v>820</v>
      </c>
      <c r="D190" s="6">
        <v>1126.2</v>
      </c>
      <c r="E190" s="6">
        <v>100</v>
      </c>
      <c r="F190" s="6"/>
      <c r="G190" s="6"/>
      <c r="H190" s="6"/>
      <c r="I190" s="6"/>
      <c r="J190" s="6">
        <v>114</v>
      </c>
      <c r="K190" s="6">
        <v>93480</v>
      </c>
      <c r="L190" s="6"/>
      <c r="M190" s="6"/>
      <c r="N190" s="6">
        <f t="shared" si="11"/>
        <v>114</v>
      </c>
      <c r="O190" s="6">
        <f t="shared" si="12"/>
        <v>93480</v>
      </c>
      <c r="P190" s="6">
        <v>3</v>
      </c>
      <c r="Q190" s="6">
        <v>2255</v>
      </c>
      <c r="R190" s="6">
        <f t="shared" si="13"/>
        <v>95.779435269046346</v>
      </c>
      <c r="S190" s="6">
        <f t="shared" si="14"/>
        <v>78539.13692061801</v>
      </c>
    </row>
    <row r="191" spans="1:19" s="1" customFormat="1" ht="15" hidden="1" customHeight="1" outlineLevel="1" x14ac:dyDescent="0.25">
      <c r="A191" s="2" t="s">
        <v>1245</v>
      </c>
      <c r="B191" s="2" t="s">
        <v>1246</v>
      </c>
      <c r="C191" s="13">
        <v>389.67</v>
      </c>
      <c r="D191" s="6"/>
      <c r="E191" s="6">
        <v>100</v>
      </c>
      <c r="F191" s="6"/>
      <c r="G191" s="6"/>
      <c r="H191" s="6"/>
      <c r="I191" s="6"/>
      <c r="J191" s="6">
        <v>296</v>
      </c>
      <c r="K191" s="6">
        <v>115342.32</v>
      </c>
      <c r="L191" s="6"/>
      <c r="M191" s="6"/>
      <c r="N191" s="6">
        <f t="shared" si="11"/>
        <v>296</v>
      </c>
      <c r="O191" s="6">
        <f t="shared" si="12"/>
        <v>115342.32</v>
      </c>
      <c r="P191" s="6"/>
      <c r="Q191" s="6"/>
      <c r="R191" s="6"/>
      <c r="S191" s="6"/>
    </row>
    <row r="192" spans="1:19" s="1" customFormat="1" ht="15" hidden="1" customHeight="1" outlineLevel="1" x14ac:dyDescent="0.25">
      <c r="A192" s="2" t="s">
        <v>458</v>
      </c>
      <c r="B192" s="2" t="s">
        <v>459</v>
      </c>
      <c r="C192" s="13">
        <v>37.5</v>
      </c>
      <c r="D192" s="6">
        <v>85.23</v>
      </c>
      <c r="E192" s="6">
        <v>100</v>
      </c>
      <c r="F192" s="6"/>
      <c r="G192" s="6"/>
      <c r="H192" s="6">
        <v>80</v>
      </c>
      <c r="I192" s="6">
        <v>3000</v>
      </c>
      <c r="J192" s="6">
        <v>4521</v>
      </c>
      <c r="K192" s="6">
        <v>169537.5</v>
      </c>
      <c r="L192" s="6"/>
      <c r="M192" s="6"/>
      <c r="N192" s="6">
        <f t="shared" si="11"/>
        <v>4601</v>
      </c>
      <c r="O192" s="6">
        <f t="shared" si="12"/>
        <v>172537.5</v>
      </c>
      <c r="P192" s="6">
        <v>133</v>
      </c>
      <c r="Q192" s="6">
        <v>5248</v>
      </c>
      <c r="R192" s="6"/>
      <c r="S192" s="6"/>
    </row>
    <row r="193" spans="1:19" s="1" customFormat="1" ht="15" hidden="1" customHeight="1" outlineLevel="1" x14ac:dyDescent="0.25">
      <c r="A193" s="2" t="s">
        <v>774</v>
      </c>
      <c r="B193" s="2" t="s">
        <v>775</v>
      </c>
      <c r="C193" s="13">
        <v>220.66</v>
      </c>
      <c r="D193" s="6">
        <v>388.86</v>
      </c>
      <c r="E193" s="6">
        <v>100</v>
      </c>
      <c r="F193" s="6"/>
      <c r="G193" s="6"/>
      <c r="H193" s="6">
        <v>3</v>
      </c>
      <c r="I193" s="6">
        <v>661.98</v>
      </c>
      <c r="J193" s="6">
        <v>447</v>
      </c>
      <c r="K193" s="6">
        <v>98635.02</v>
      </c>
      <c r="L193" s="6"/>
      <c r="M193" s="6"/>
      <c r="N193" s="6">
        <f t="shared" si="11"/>
        <v>450</v>
      </c>
      <c r="O193" s="6">
        <f t="shared" si="12"/>
        <v>99297</v>
      </c>
      <c r="P193" s="6">
        <v>33</v>
      </c>
      <c r="Q193" s="6">
        <v>7482</v>
      </c>
      <c r="R193" s="6">
        <f t="shared" si="13"/>
        <v>240.08748649899707</v>
      </c>
      <c r="S193" s="6">
        <f t="shared" si="14"/>
        <v>52977.704770868695</v>
      </c>
    </row>
    <row r="194" spans="1:19" s="1" customFormat="1" ht="15" hidden="1" customHeight="1" outlineLevel="1" x14ac:dyDescent="0.25">
      <c r="A194" s="2" t="s">
        <v>700</v>
      </c>
      <c r="B194" s="2" t="s">
        <v>701</v>
      </c>
      <c r="C194" s="13">
        <v>642.26</v>
      </c>
      <c r="D194" s="6">
        <v>459.05</v>
      </c>
      <c r="E194" s="6">
        <v>100</v>
      </c>
      <c r="F194" s="6"/>
      <c r="G194" s="6"/>
      <c r="H194" s="6">
        <v>5</v>
      </c>
      <c r="I194" s="6">
        <v>3211.3</v>
      </c>
      <c r="J194" s="6">
        <v>45</v>
      </c>
      <c r="K194" s="6">
        <v>28901.7</v>
      </c>
      <c r="L194" s="6">
        <v>500</v>
      </c>
      <c r="M194" s="6">
        <v>321130</v>
      </c>
      <c r="N194" s="6">
        <f t="shared" si="11"/>
        <v>550</v>
      </c>
      <c r="O194" s="6">
        <f t="shared" si="12"/>
        <v>353243</v>
      </c>
      <c r="P194" s="6">
        <v>4</v>
      </c>
      <c r="Q194" s="6">
        <v>2464</v>
      </c>
      <c r="R194" s="6">
        <f t="shared" si="13"/>
        <v>27.354863304650912</v>
      </c>
      <c r="S194" s="6">
        <f t="shared" si="14"/>
        <v>17568.934506045094</v>
      </c>
    </row>
    <row r="195" spans="1:19" s="1" customFormat="1" ht="15" hidden="1" customHeight="1" outlineLevel="1" x14ac:dyDescent="0.25">
      <c r="A195" s="2" t="s">
        <v>448</v>
      </c>
      <c r="B195" s="2" t="s">
        <v>449</v>
      </c>
      <c r="C195" s="13">
        <v>265.64999999999998</v>
      </c>
      <c r="D195" s="6">
        <v>182.1</v>
      </c>
      <c r="E195" s="6">
        <v>100</v>
      </c>
      <c r="F195" s="6">
        <v>20</v>
      </c>
      <c r="G195" s="6">
        <v>5313</v>
      </c>
      <c r="H195" s="6">
        <v>5</v>
      </c>
      <c r="I195" s="6">
        <v>1328.25</v>
      </c>
      <c r="J195" s="6">
        <v>697</v>
      </c>
      <c r="K195" s="6">
        <v>185158.05</v>
      </c>
      <c r="L195" s="6"/>
      <c r="M195" s="6"/>
      <c r="N195" s="6">
        <f t="shared" si="11"/>
        <v>722</v>
      </c>
      <c r="O195" s="6">
        <f t="shared" si="12"/>
        <v>191799.3</v>
      </c>
      <c r="P195" s="6">
        <v>26</v>
      </c>
      <c r="Q195" s="6">
        <v>7366</v>
      </c>
      <c r="R195" s="6">
        <f t="shared" si="13"/>
        <v>8.0378912685337518</v>
      </c>
      <c r="S195" s="6">
        <f t="shared" si="14"/>
        <v>2135.265815485991</v>
      </c>
    </row>
    <row r="196" spans="1:19" s="1" customFormat="1" ht="15" hidden="1" customHeight="1" outlineLevel="1" x14ac:dyDescent="0.25">
      <c r="A196" s="2" t="s">
        <v>728</v>
      </c>
      <c r="B196" s="2" t="s">
        <v>729</v>
      </c>
      <c r="C196" s="13">
        <v>524.26</v>
      </c>
      <c r="D196" s="6">
        <v>155.6</v>
      </c>
      <c r="E196" s="6">
        <v>100</v>
      </c>
      <c r="F196" s="6"/>
      <c r="G196" s="6"/>
      <c r="H196" s="6">
        <v>3</v>
      </c>
      <c r="I196" s="6">
        <v>1572.78</v>
      </c>
      <c r="J196" s="6">
        <v>102</v>
      </c>
      <c r="K196" s="6">
        <v>53474.52</v>
      </c>
      <c r="L196" s="6">
        <v>420</v>
      </c>
      <c r="M196" s="6">
        <v>220189.2</v>
      </c>
      <c r="N196" s="6">
        <f t="shared" si="11"/>
        <v>525</v>
      </c>
      <c r="O196" s="6">
        <f t="shared" si="12"/>
        <v>275236.5</v>
      </c>
      <c r="P196" s="6">
        <v>21</v>
      </c>
      <c r="Q196" s="6">
        <v>11548</v>
      </c>
      <c r="R196" s="6"/>
      <c r="S196" s="6"/>
    </row>
    <row r="197" spans="1:19" s="1" customFormat="1" ht="15" hidden="1" customHeight="1" outlineLevel="1" x14ac:dyDescent="0.25">
      <c r="A197" s="2" t="s">
        <v>1183</v>
      </c>
      <c r="B197" s="2" t="s">
        <v>1184</v>
      </c>
      <c r="C197" s="13">
        <v>153.4</v>
      </c>
      <c r="D197" s="6">
        <v>371.73</v>
      </c>
      <c r="E197" s="6">
        <v>100</v>
      </c>
      <c r="F197" s="6"/>
      <c r="G197" s="6"/>
      <c r="H197" s="6"/>
      <c r="I197" s="6"/>
      <c r="J197" s="6">
        <v>370</v>
      </c>
      <c r="K197" s="6">
        <v>56758</v>
      </c>
      <c r="L197" s="6"/>
      <c r="M197" s="6"/>
      <c r="N197" s="6">
        <f t="shared" ref="N197:N220" si="15">IF(J197+L197+H197+F197&lt;=0,"",J197+L197+H197+F197)</f>
        <v>370</v>
      </c>
      <c r="O197" s="6">
        <f t="shared" ref="O197:O220" si="16">IFERROR(C197*N197,"")</f>
        <v>56758</v>
      </c>
      <c r="P197" s="6">
        <v>37</v>
      </c>
      <c r="Q197" s="6">
        <v>5875</v>
      </c>
      <c r="R197" s="6">
        <f t="shared" si="13"/>
        <v>190.8377047857316</v>
      </c>
      <c r="S197" s="6">
        <f t="shared" si="14"/>
        <v>29274.50391413123</v>
      </c>
    </row>
    <row r="198" spans="1:19" s="1" customFormat="1" ht="15" hidden="1" customHeight="1" outlineLevel="1" x14ac:dyDescent="0.25">
      <c r="A198" s="2" t="s">
        <v>678</v>
      </c>
      <c r="B198" s="2" t="s">
        <v>679</v>
      </c>
      <c r="C198" s="13">
        <v>354.73</v>
      </c>
      <c r="D198" s="6">
        <v>456.61</v>
      </c>
      <c r="E198" s="6">
        <v>100</v>
      </c>
      <c r="F198" s="6"/>
      <c r="G198" s="6"/>
      <c r="H198" s="6">
        <v>9</v>
      </c>
      <c r="I198" s="6">
        <v>3192.57</v>
      </c>
      <c r="J198" s="6">
        <v>199</v>
      </c>
      <c r="K198" s="6">
        <v>70591.27</v>
      </c>
      <c r="L198" s="6"/>
      <c r="M198" s="6"/>
      <c r="N198" s="6">
        <f t="shared" si="15"/>
        <v>208</v>
      </c>
      <c r="O198" s="6">
        <f t="shared" si="16"/>
        <v>73783.839999999997</v>
      </c>
      <c r="P198" s="6">
        <v>12</v>
      </c>
      <c r="Q198" s="6">
        <v>4501</v>
      </c>
      <c r="R198" s="6">
        <f t="shared" ref="R198:R220" si="17">J198/D198*(D198-180)</f>
        <v>120.5523094106568</v>
      </c>
      <c r="S198" s="6">
        <f t="shared" ref="S198:S220" si="18">R198*C198</f>
        <v>42763.520717242289</v>
      </c>
    </row>
    <row r="199" spans="1:19" s="1" customFormat="1" ht="15" hidden="1" customHeight="1" outlineLevel="1" x14ac:dyDescent="0.25">
      <c r="A199" s="2" t="s">
        <v>454</v>
      </c>
      <c r="B199" s="2" t="s">
        <v>455</v>
      </c>
      <c r="C199" s="13">
        <v>176.49</v>
      </c>
      <c r="D199" s="6">
        <v>108.4</v>
      </c>
      <c r="E199" s="6">
        <v>100</v>
      </c>
      <c r="F199" s="6"/>
      <c r="G199" s="6"/>
      <c r="H199" s="6"/>
      <c r="I199" s="6"/>
      <c r="J199" s="6">
        <v>50</v>
      </c>
      <c r="K199" s="6">
        <v>8824.5</v>
      </c>
      <c r="L199" s="6"/>
      <c r="M199" s="6"/>
      <c r="N199" s="6">
        <f t="shared" si="15"/>
        <v>50</v>
      </c>
      <c r="O199" s="6">
        <f t="shared" si="16"/>
        <v>8824.5</v>
      </c>
      <c r="P199" s="6">
        <v>45</v>
      </c>
      <c r="Q199" s="6">
        <v>8308</v>
      </c>
      <c r="R199" s="6"/>
      <c r="S199" s="6"/>
    </row>
    <row r="200" spans="1:19" s="1" customFormat="1" ht="15" hidden="1" customHeight="1" outlineLevel="1" x14ac:dyDescent="0.25">
      <c r="A200" s="2" t="s">
        <v>375</v>
      </c>
      <c r="B200" s="2" t="s">
        <v>376</v>
      </c>
      <c r="C200" s="13">
        <v>266.98</v>
      </c>
      <c r="D200" s="6">
        <v>426.98</v>
      </c>
      <c r="E200" s="6">
        <v>100</v>
      </c>
      <c r="F200" s="6"/>
      <c r="G200" s="6"/>
      <c r="H200" s="6">
        <v>4</v>
      </c>
      <c r="I200" s="6">
        <v>1067.92</v>
      </c>
      <c r="J200" s="6">
        <v>654</v>
      </c>
      <c r="K200" s="6">
        <v>174604.92</v>
      </c>
      <c r="L200" s="6"/>
      <c r="M200" s="6"/>
      <c r="N200" s="6">
        <f t="shared" si="15"/>
        <v>658</v>
      </c>
      <c r="O200" s="6">
        <f t="shared" si="16"/>
        <v>175672.84000000003</v>
      </c>
      <c r="P200" s="6">
        <v>32</v>
      </c>
      <c r="Q200" s="6">
        <v>9165</v>
      </c>
      <c r="R200" s="6">
        <f t="shared" si="17"/>
        <v>378.29621996346435</v>
      </c>
      <c r="S200" s="6">
        <f t="shared" si="18"/>
        <v>100997.52480584572</v>
      </c>
    </row>
    <row r="201" spans="1:19" s="1" customFormat="1" ht="15" hidden="1" customHeight="1" outlineLevel="1" x14ac:dyDescent="0.25">
      <c r="A201" s="2" t="s">
        <v>594</v>
      </c>
      <c r="B201" s="2" t="s">
        <v>595</v>
      </c>
      <c r="C201" s="13">
        <v>1017.99</v>
      </c>
      <c r="D201" s="6">
        <v>300.62</v>
      </c>
      <c r="E201" s="6">
        <v>100</v>
      </c>
      <c r="F201" s="6"/>
      <c r="G201" s="6"/>
      <c r="H201" s="6">
        <v>1</v>
      </c>
      <c r="I201" s="6">
        <v>1017.99</v>
      </c>
      <c r="J201" s="6">
        <v>143</v>
      </c>
      <c r="K201" s="6">
        <v>145572.57</v>
      </c>
      <c r="L201" s="6"/>
      <c r="M201" s="6"/>
      <c r="N201" s="6">
        <f t="shared" si="15"/>
        <v>144</v>
      </c>
      <c r="O201" s="6">
        <f t="shared" si="16"/>
        <v>146590.56</v>
      </c>
      <c r="P201" s="6">
        <v>4</v>
      </c>
      <c r="Q201" s="6">
        <v>4063</v>
      </c>
      <c r="R201" s="6">
        <f t="shared" si="17"/>
        <v>57.376954294458123</v>
      </c>
      <c r="S201" s="6">
        <f t="shared" si="18"/>
        <v>58409.165702215425</v>
      </c>
    </row>
    <row r="202" spans="1:19" s="1" customFormat="1" ht="15" hidden="1" customHeight="1" outlineLevel="1" x14ac:dyDescent="0.25">
      <c r="A202" s="2" t="s">
        <v>213</v>
      </c>
      <c r="B202" s="2" t="s">
        <v>214</v>
      </c>
      <c r="C202" s="13">
        <v>112.08</v>
      </c>
      <c r="D202" s="6">
        <v>1009.84</v>
      </c>
      <c r="E202" s="6">
        <v>100</v>
      </c>
      <c r="F202" s="6">
        <v>10</v>
      </c>
      <c r="G202" s="6">
        <v>1120.8</v>
      </c>
      <c r="H202" s="6">
        <v>17</v>
      </c>
      <c r="I202" s="6">
        <v>1905.36</v>
      </c>
      <c r="J202" s="6">
        <v>3399</v>
      </c>
      <c r="K202" s="6">
        <v>380959.92</v>
      </c>
      <c r="L202" s="6"/>
      <c r="M202" s="6"/>
      <c r="N202" s="6">
        <f t="shared" si="15"/>
        <v>3426</v>
      </c>
      <c r="O202" s="6">
        <f t="shared" si="16"/>
        <v>383986.08</v>
      </c>
      <c r="P202" s="6">
        <v>99</v>
      </c>
      <c r="Q202" s="6">
        <v>11550</v>
      </c>
      <c r="R202" s="6">
        <f t="shared" si="17"/>
        <v>2793.1416462013785</v>
      </c>
      <c r="S202" s="6">
        <f t="shared" si="18"/>
        <v>313055.31570625049</v>
      </c>
    </row>
    <row r="203" spans="1:19" s="1" customFormat="1" ht="15" hidden="1" customHeight="1" outlineLevel="1" x14ac:dyDescent="0.25">
      <c r="A203" s="2" t="s">
        <v>301</v>
      </c>
      <c r="B203" s="2" t="s">
        <v>302</v>
      </c>
      <c r="C203" s="13">
        <v>216.86</v>
      </c>
      <c r="D203" s="6">
        <v>239.96</v>
      </c>
      <c r="E203" s="6">
        <v>100</v>
      </c>
      <c r="F203" s="6">
        <v>15</v>
      </c>
      <c r="G203" s="6">
        <v>3252.9</v>
      </c>
      <c r="H203" s="6">
        <v>31</v>
      </c>
      <c r="I203" s="6">
        <v>6722.66</v>
      </c>
      <c r="J203" s="6">
        <v>392</v>
      </c>
      <c r="K203" s="6">
        <v>85009.12</v>
      </c>
      <c r="L203" s="6">
        <v>540</v>
      </c>
      <c r="M203" s="6">
        <v>117104.4</v>
      </c>
      <c r="N203" s="6">
        <f t="shared" si="15"/>
        <v>978</v>
      </c>
      <c r="O203" s="6">
        <f t="shared" si="16"/>
        <v>212089.08000000002</v>
      </c>
      <c r="P203" s="6">
        <v>56</v>
      </c>
      <c r="Q203" s="6">
        <v>12724</v>
      </c>
      <c r="R203" s="6">
        <f t="shared" si="17"/>
        <v>97.950991831972004</v>
      </c>
      <c r="S203" s="6">
        <f t="shared" si="18"/>
        <v>21241.652088681451</v>
      </c>
    </row>
    <row r="204" spans="1:19" s="1" customFormat="1" ht="15" hidden="1" customHeight="1" outlineLevel="1" x14ac:dyDescent="0.25">
      <c r="A204" s="2" t="s">
        <v>642</v>
      </c>
      <c r="B204" s="2" t="s">
        <v>643</v>
      </c>
      <c r="C204" s="13">
        <v>704.5</v>
      </c>
      <c r="D204" s="6">
        <v>323.3</v>
      </c>
      <c r="E204" s="6">
        <v>100</v>
      </c>
      <c r="F204" s="6"/>
      <c r="G204" s="6"/>
      <c r="H204" s="6">
        <v>1</v>
      </c>
      <c r="I204" s="6">
        <v>704.5</v>
      </c>
      <c r="J204" s="6">
        <v>271</v>
      </c>
      <c r="K204" s="6">
        <v>190919.5</v>
      </c>
      <c r="L204" s="6"/>
      <c r="M204" s="6"/>
      <c r="N204" s="6">
        <f t="shared" si="15"/>
        <v>272</v>
      </c>
      <c r="O204" s="6">
        <f t="shared" si="16"/>
        <v>191624</v>
      </c>
      <c r="P204" s="6">
        <v>10</v>
      </c>
      <c r="Q204" s="6">
        <v>6885</v>
      </c>
      <c r="R204" s="6">
        <f t="shared" si="17"/>
        <v>120.11846582121869</v>
      </c>
      <c r="S204" s="6">
        <f t="shared" si="18"/>
        <v>84623.459171048569</v>
      </c>
    </row>
    <row r="205" spans="1:19" s="1" customFormat="1" ht="15" hidden="1" customHeight="1" outlineLevel="1" x14ac:dyDescent="0.25">
      <c r="A205" s="2" t="s">
        <v>560</v>
      </c>
      <c r="B205" s="2" t="s">
        <v>561</v>
      </c>
      <c r="C205" s="13">
        <v>184.04</v>
      </c>
      <c r="D205" s="6">
        <v>299.89</v>
      </c>
      <c r="E205" s="6">
        <v>100</v>
      </c>
      <c r="F205" s="6">
        <v>10</v>
      </c>
      <c r="G205" s="6">
        <v>1840.4</v>
      </c>
      <c r="H205" s="6">
        <v>20</v>
      </c>
      <c r="I205" s="6">
        <v>3680.8</v>
      </c>
      <c r="J205" s="6">
        <v>640</v>
      </c>
      <c r="K205" s="6">
        <v>117785.60000000001</v>
      </c>
      <c r="L205" s="6"/>
      <c r="M205" s="6"/>
      <c r="N205" s="6">
        <f t="shared" si="15"/>
        <v>670</v>
      </c>
      <c r="O205" s="6">
        <f t="shared" si="16"/>
        <v>123306.79999999999</v>
      </c>
      <c r="P205" s="6">
        <v>47</v>
      </c>
      <c r="Q205" s="6">
        <v>7901</v>
      </c>
      <c r="R205" s="6">
        <f t="shared" si="17"/>
        <v>255.85914835439661</v>
      </c>
      <c r="S205" s="6">
        <f t="shared" si="18"/>
        <v>47088.317663143149</v>
      </c>
    </row>
    <row r="206" spans="1:19" s="1" customFormat="1" ht="15" hidden="1" customHeight="1" outlineLevel="1" x14ac:dyDescent="0.25">
      <c r="A206" s="2" t="s">
        <v>674</v>
      </c>
      <c r="B206" s="2" t="s">
        <v>675</v>
      </c>
      <c r="C206" s="13">
        <v>261.52999999999997</v>
      </c>
      <c r="D206" s="6">
        <v>323.85000000000002</v>
      </c>
      <c r="E206" s="6">
        <v>100</v>
      </c>
      <c r="F206" s="6">
        <v>12</v>
      </c>
      <c r="G206" s="6">
        <v>3138.36</v>
      </c>
      <c r="H206" s="6">
        <v>6</v>
      </c>
      <c r="I206" s="6">
        <v>1569.18</v>
      </c>
      <c r="J206" s="6">
        <v>920</v>
      </c>
      <c r="K206" s="6">
        <v>240607.59999999998</v>
      </c>
      <c r="L206" s="6"/>
      <c r="M206" s="6"/>
      <c r="N206" s="6">
        <f t="shared" si="15"/>
        <v>938</v>
      </c>
      <c r="O206" s="6">
        <f t="shared" si="16"/>
        <v>245315.13999999998</v>
      </c>
      <c r="P206" s="6">
        <v>41</v>
      </c>
      <c r="Q206" s="6">
        <v>11262</v>
      </c>
      <c r="R206" s="6">
        <f t="shared" si="17"/>
        <v>408.65215377489585</v>
      </c>
      <c r="S206" s="6">
        <f t="shared" si="18"/>
        <v>106874.7977767485</v>
      </c>
    </row>
    <row r="207" spans="1:19" s="1" customFormat="1" ht="15" hidden="1" customHeight="1" outlineLevel="1" x14ac:dyDescent="0.25">
      <c r="A207" s="2" t="s">
        <v>1049</v>
      </c>
      <c r="B207" s="2" t="s">
        <v>1050</v>
      </c>
      <c r="C207" s="13">
        <v>704.5</v>
      </c>
      <c r="D207" s="6"/>
      <c r="E207" s="6">
        <v>5.38</v>
      </c>
      <c r="F207" s="6"/>
      <c r="G207" s="6"/>
      <c r="H207" s="6">
        <v>2</v>
      </c>
      <c r="I207" s="6">
        <v>1409</v>
      </c>
      <c r="J207" s="6">
        <v>178</v>
      </c>
      <c r="K207" s="6">
        <v>125401</v>
      </c>
      <c r="L207" s="6"/>
      <c r="M207" s="6"/>
      <c r="N207" s="6">
        <f t="shared" si="15"/>
        <v>180</v>
      </c>
      <c r="O207" s="6">
        <f t="shared" si="16"/>
        <v>126810</v>
      </c>
      <c r="P207" s="6"/>
      <c r="Q207" s="6"/>
      <c r="R207" s="6"/>
      <c r="S207" s="6"/>
    </row>
    <row r="208" spans="1:19" s="1" customFormat="1" ht="15" hidden="1" customHeight="1" outlineLevel="1" x14ac:dyDescent="0.25">
      <c r="A208" s="2" t="s">
        <v>231</v>
      </c>
      <c r="B208" s="2" t="s">
        <v>232</v>
      </c>
      <c r="C208" s="13">
        <v>1574.15</v>
      </c>
      <c r="D208" s="6"/>
      <c r="E208" s="6"/>
      <c r="F208" s="6"/>
      <c r="G208" s="6"/>
      <c r="H208" s="6"/>
      <c r="I208" s="6"/>
      <c r="J208" s="6"/>
      <c r="K208" s="6"/>
      <c r="L208" s="6">
        <v>640</v>
      </c>
      <c r="M208" s="6">
        <v>1007456</v>
      </c>
      <c r="N208" s="6">
        <f t="shared" si="15"/>
        <v>640</v>
      </c>
      <c r="O208" s="6">
        <f t="shared" si="16"/>
        <v>1007456</v>
      </c>
      <c r="P208" s="6"/>
      <c r="Q208" s="6"/>
      <c r="R208" s="6"/>
      <c r="S208" s="6"/>
    </row>
    <row r="209" spans="1:19" s="1" customFormat="1" ht="15" hidden="1" customHeight="1" outlineLevel="1" x14ac:dyDescent="0.25">
      <c r="A209" s="2" t="s">
        <v>1275</v>
      </c>
      <c r="B209" s="2" t="s">
        <v>1276</v>
      </c>
      <c r="C209" s="13">
        <v>50.34</v>
      </c>
      <c r="D209" s="6">
        <v>898.12</v>
      </c>
      <c r="E209" s="6">
        <v>100</v>
      </c>
      <c r="F209" s="6">
        <v>10</v>
      </c>
      <c r="G209" s="6">
        <v>503.4</v>
      </c>
      <c r="H209" s="6">
        <v>25</v>
      </c>
      <c r="I209" s="6">
        <v>1258.5</v>
      </c>
      <c r="J209" s="6">
        <v>659</v>
      </c>
      <c r="K209" s="6">
        <v>33174.06</v>
      </c>
      <c r="L209" s="6"/>
      <c r="M209" s="6"/>
      <c r="N209" s="6">
        <f t="shared" si="15"/>
        <v>694</v>
      </c>
      <c r="O209" s="6">
        <f t="shared" si="16"/>
        <v>34935.96</v>
      </c>
      <c r="P209" s="6">
        <v>24</v>
      </c>
      <c r="Q209" s="6">
        <v>1278</v>
      </c>
      <c r="R209" s="6">
        <f t="shared" si="17"/>
        <v>526.92410813699723</v>
      </c>
      <c r="S209" s="6">
        <f t="shared" si="18"/>
        <v>26525.359603616442</v>
      </c>
    </row>
    <row r="210" spans="1:19" s="1" customFormat="1" ht="15" hidden="1" customHeight="1" outlineLevel="1" x14ac:dyDescent="0.25">
      <c r="A210" s="2" t="s">
        <v>1277</v>
      </c>
      <c r="B210" s="2" t="s">
        <v>1278</v>
      </c>
      <c r="C210" s="13">
        <v>54.52</v>
      </c>
      <c r="D210" s="6">
        <v>93.65</v>
      </c>
      <c r="E210" s="6">
        <v>100</v>
      </c>
      <c r="F210" s="6">
        <v>5</v>
      </c>
      <c r="G210" s="6">
        <v>272.60000000000002</v>
      </c>
      <c r="H210" s="6">
        <v>55</v>
      </c>
      <c r="I210" s="6">
        <v>2998.6</v>
      </c>
      <c r="J210" s="6">
        <v>1019</v>
      </c>
      <c r="K210" s="6">
        <v>55555.88</v>
      </c>
      <c r="L210" s="6"/>
      <c r="M210" s="6"/>
      <c r="N210" s="6">
        <f t="shared" si="15"/>
        <v>1079</v>
      </c>
      <c r="O210" s="6">
        <f t="shared" si="16"/>
        <v>58827.08</v>
      </c>
      <c r="P210" s="6">
        <v>37</v>
      </c>
      <c r="Q210" s="6">
        <v>2126</v>
      </c>
      <c r="R210" s="6"/>
      <c r="S210" s="6"/>
    </row>
    <row r="211" spans="1:19" s="1" customFormat="1" ht="15" hidden="1" customHeight="1" outlineLevel="1" x14ac:dyDescent="0.25">
      <c r="A211" s="2" t="s">
        <v>504</v>
      </c>
      <c r="B211" s="2" t="s">
        <v>505</v>
      </c>
      <c r="C211" s="13">
        <v>141.9</v>
      </c>
      <c r="D211" s="6">
        <v>290.44</v>
      </c>
      <c r="E211" s="6">
        <v>73.12</v>
      </c>
      <c r="F211" s="6"/>
      <c r="G211" s="6"/>
      <c r="H211" s="6">
        <v>20</v>
      </c>
      <c r="I211" s="6">
        <v>2838</v>
      </c>
      <c r="J211" s="6">
        <v>155</v>
      </c>
      <c r="K211" s="6">
        <v>21994.5</v>
      </c>
      <c r="L211" s="6">
        <v>400</v>
      </c>
      <c r="M211" s="6">
        <v>56760</v>
      </c>
      <c r="N211" s="6">
        <f t="shared" si="15"/>
        <v>575</v>
      </c>
      <c r="O211" s="6">
        <f t="shared" si="16"/>
        <v>81592.5</v>
      </c>
      <c r="P211" s="6">
        <v>8</v>
      </c>
      <c r="Q211" s="6">
        <v>1216</v>
      </c>
      <c r="R211" s="6">
        <f t="shared" si="17"/>
        <v>58.938851397879084</v>
      </c>
      <c r="S211" s="6">
        <f t="shared" si="18"/>
        <v>8363.4230133590427</v>
      </c>
    </row>
    <row r="212" spans="1:19" s="1" customFormat="1" ht="15" hidden="1" customHeight="1" outlineLevel="1" x14ac:dyDescent="0.25">
      <c r="A212" s="2" t="s">
        <v>670</v>
      </c>
      <c r="B212" s="2" t="s">
        <v>671</v>
      </c>
      <c r="C212" s="13">
        <v>169.01</v>
      </c>
      <c r="D212" s="6">
        <v>311.7</v>
      </c>
      <c r="E212" s="6">
        <v>100</v>
      </c>
      <c r="F212" s="6">
        <v>5</v>
      </c>
      <c r="G212" s="6">
        <v>845.05</v>
      </c>
      <c r="H212" s="6">
        <v>7</v>
      </c>
      <c r="I212" s="6">
        <v>1183.07</v>
      </c>
      <c r="J212" s="6">
        <v>804</v>
      </c>
      <c r="K212" s="6">
        <v>135884.04</v>
      </c>
      <c r="L212" s="6"/>
      <c r="M212" s="6"/>
      <c r="N212" s="6">
        <f t="shared" si="15"/>
        <v>816</v>
      </c>
      <c r="O212" s="6">
        <f t="shared" si="16"/>
        <v>137912.16</v>
      </c>
      <c r="P212" s="6">
        <v>91</v>
      </c>
      <c r="Q212" s="6">
        <v>16057</v>
      </c>
      <c r="R212" s="6">
        <f t="shared" si="17"/>
        <v>339.7074109720885</v>
      </c>
      <c r="S212" s="6">
        <f t="shared" si="18"/>
        <v>57413.949528392674</v>
      </c>
    </row>
    <row r="213" spans="1:19" s="1" customFormat="1" ht="15" hidden="1" customHeight="1" outlineLevel="1" x14ac:dyDescent="0.25">
      <c r="A213" s="2" t="s">
        <v>500</v>
      </c>
      <c r="B213" s="2" t="s">
        <v>501</v>
      </c>
      <c r="C213" s="13">
        <v>79</v>
      </c>
      <c r="D213" s="6">
        <v>1548.75</v>
      </c>
      <c r="E213" s="6">
        <v>100</v>
      </c>
      <c r="F213" s="6"/>
      <c r="G213" s="6"/>
      <c r="H213" s="6"/>
      <c r="I213" s="6"/>
      <c r="J213" s="6">
        <v>647</v>
      </c>
      <c r="K213" s="6">
        <v>51113</v>
      </c>
      <c r="L213" s="6"/>
      <c r="M213" s="6"/>
      <c r="N213" s="6">
        <f t="shared" si="15"/>
        <v>647</v>
      </c>
      <c r="O213" s="6">
        <f t="shared" si="16"/>
        <v>51113</v>
      </c>
      <c r="P213" s="6">
        <v>18</v>
      </c>
      <c r="Q213" s="6">
        <v>1516</v>
      </c>
      <c r="R213" s="6">
        <f t="shared" si="17"/>
        <v>571.80387409200966</v>
      </c>
      <c r="S213" s="6">
        <f t="shared" si="18"/>
        <v>45172.506053268764</v>
      </c>
    </row>
    <row r="214" spans="1:19" s="1" customFormat="1" ht="15" hidden="1" customHeight="1" outlineLevel="1" x14ac:dyDescent="0.25">
      <c r="A214" s="2" t="s">
        <v>81</v>
      </c>
      <c r="B214" s="2" t="s">
        <v>82</v>
      </c>
      <c r="C214" s="13">
        <v>125.83</v>
      </c>
      <c r="D214" s="6">
        <v>246.78</v>
      </c>
      <c r="E214" s="6">
        <v>70.97</v>
      </c>
      <c r="F214" s="6"/>
      <c r="G214" s="6"/>
      <c r="H214" s="6">
        <v>10</v>
      </c>
      <c r="I214" s="6">
        <v>1258.3</v>
      </c>
      <c r="J214" s="6">
        <v>842</v>
      </c>
      <c r="K214" s="6">
        <v>105948.86</v>
      </c>
      <c r="L214" s="6"/>
      <c r="M214" s="6"/>
      <c r="N214" s="6">
        <f t="shared" si="15"/>
        <v>852</v>
      </c>
      <c r="O214" s="6">
        <f t="shared" si="16"/>
        <v>107207.16</v>
      </c>
      <c r="P214" s="6">
        <v>49</v>
      </c>
      <c r="Q214" s="6">
        <v>5940</v>
      </c>
      <c r="R214" s="6">
        <f t="shared" si="17"/>
        <v>227.84974471188914</v>
      </c>
      <c r="S214" s="6">
        <f t="shared" si="18"/>
        <v>28670.333377097009</v>
      </c>
    </row>
    <row r="215" spans="1:19" s="1" customFormat="1" ht="15" hidden="1" customHeight="1" outlineLevel="1" x14ac:dyDescent="0.25">
      <c r="A215" s="2" t="s">
        <v>173</v>
      </c>
      <c r="B215" s="2" t="s">
        <v>174</v>
      </c>
      <c r="C215" s="13">
        <v>1010.51</v>
      </c>
      <c r="D215" s="6">
        <v>766.56</v>
      </c>
      <c r="E215" s="6">
        <v>100</v>
      </c>
      <c r="F215" s="6"/>
      <c r="G215" s="6"/>
      <c r="H215" s="6"/>
      <c r="I215" s="6"/>
      <c r="J215" s="6">
        <v>169</v>
      </c>
      <c r="K215" s="6">
        <v>170776.19</v>
      </c>
      <c r="L215" s="6"/>
      <c r="M215" s="6"/>
      <c r="N215" s="6">
        <f t="shared" si="15"/>
        <v>169</v>
      </c>
      <c r="O215" s="6">
        <f t="shared" si="16"/>
        <v>170776.19</v>
      </c>
      <c r="P215" s="6">
        <v>3</v>
      </c>
      <c r="Q215" s="6">
        <v>3237</v>
      </c>
      <c r="R215" s="6">
        <f t="shared" si="17"/>
        <v>129.31621790857858</v>
      </c>
      <c r="S215" s="6">
        <f t="shared" si="18"/>
        <v>130675.33135879775</v>
      </c>
    </row>
    <row r="216" spans="1:19" s="1" customFormat="1" ht="15" hidden="1" customHeight="1" outlineLevel="1" x14ac:dyDescent="0.25">
      <c r="A216" s="2" t="s">
        <v>620</v>
      </c>
      <c r="B216" s="2" t="s">
        <v>621</v>
      </c>
      <c r="C216" s="13">
        <v>162.15</v>
      </c>
      <c r="D216" s="6">
        <v>247.29</v>
      </c>
      <c r="E216" s="6">
        <v>100</v>
      </c>
      <c r="F216" s="6"/>
      <c r="G216" s="6"/>
      <c r="H216" s="6">
        <v>2</v>
      </c>
      <c r="I216" s="6">
        <v>324.3</v>
      </c>
      <c r="J216" s="6">
        <v>466</v>
      </c>
      <c r="K216" s="6">
        <v>75561.899999999994</v>
      </c>
      <c r="L216" s="6"/>
      <c r="M216" s="6"/>
      <c r="N216" s="6">
        <f t="shared" si="15"/>
        <v>468</v>
      </c>
      <c r="O216" s="6">
        <f t="shared" si="16"/>
        <v>75886.2</v>
      </c>
      <c r="P216" s="6">
        <v>52</v>
      </c>
      <c r="Q216" s="6">
        <v>8478</v>
      </c>
      <c r="R216" s="6">
        <f t="shared" si="17"/>
        <v>126.80310566541307</v>
      </c>
      <c r="S216" s="6">
        <f t="shared" si="18"/>
        <v>20561.123583646731</v>
      </c>
    </row>
    <row r="217" spans="1:19" s="1" customFormat="1" ht="15" hidden="1" customHeight="1" outlineLevel="1" x14ac:dyDescent="0.25">
      <c r="A217" s="2" t="s">
        <v>381</v>
      </c>
      <c r="B217" s="2" t="s">
        <v>382</v>
      </c>
      <c r="C217" s="13">
        <v>137.76</v>
      </c>
      <c r="D217" s="6">
        <v>114.1</v>
      </c>
      <c r="E217" s="6">
        <v>100</v>
      </c>
      <c r="F217" s="6"/>
      <c r="G217" s="6"/>
      <c r="H217" s="6">
        <v>35</v>
      </c>
      <c r="I217" s="6">
        <v>4821.6000000000004</v>
      </c>
      <c r="J217" s="6">
        <v>579</v>
      </c>
      <c r="K217" s="6">
        <v>79763.039999999994</v>
      </c>
      <c r="L217" s="6"/>
      <c r="M217" s="6"/>
      <c r="N217" s="6">
        <f t="shared" si="15"/>
        <v>614</v>
      </c>
      <c r="O217" s="6">
        <f t="shared" si="16"/>
        <v>84584.639999999999</v>
      </c>
      <c r="P217" s="6">
        <v>100</v>
      </c>
      <c r="Q217" s="6">
        <v>13656</v>
      </c>
      <c r="R217" s="6"/>
      <c r="S217" s="6"/>
    </row>
    <row r="218" spans="1:19" s="1" customFormat="1" ht="15" hidden="1" customHeight="1" outlineLevel="1" x14ac:dyDescent="0.25">
      <c r="A218" s="2" t="s">
        <v>1181</v>
      </c>
      <c r="B218" s="2" t="s">
        <v>1182</v>
      </c>
      <c r="C218" s="13">
        <v>138.06</v>
      </c>
      <c r="D218" s="6">
        <v>311.88</v>
      </c>
      <c r="E218" s="6">
        <v>100</v>
      </c>
      <c r="F218" s="6"/>
      <c r="G218" s="6"/>
      <c r="H218" s="6"/>
      <c r="I218" s="6"/>
      <c r="J218" s="6">
        <v>276</v>
      </c>
      <c r="K218" s="6">
        <v>38104.559999999998</v>
      </c>
      <c r="L218" s="6"/>
      <c r="M218" s="6"/>
      <c r="N218" s="6">
        <f t="shared" si="15"/>
        <v>276</v>
      </c>
      <c r="O218" s="6">
        <f t="shared" si="16"/>
        <v>38104.559999999998</v>
      </c>
      <c r="P218" s="6">
        <v>34</v>
      </c>
      <c r="Q218" s="6">
        <v>4792</v>
      </c>
      <c r="R218" s="6">
        <f t="shared" si="17"/>
        <v>116.70796460176992</v>
      </c>
      <c r="S218" s="6">
        <f t="shared" si="18"/>
        <v>16112.701592920355</v>
      </c>
    </row>
    <row r="219" spans="1:19" s="1" customFormat="1" ht="15" hidden="1" customHeight="1" outlineLevel="1" x14ac:dyDescent="0.25">
      <c r="A219" s="2" t="s">
        <v>255</v>
      </c>
      <c r="B219" s="2" t="s">
        <v>256</v>
      </c>
      <c r="C219" s="13">
        <v>114.25</v>
      </c>
      <c r="D219" s="6">
        <v>229.18</v>
      </c>
      <c r="E219" s="6">
        <v>61.29</v>
      </c>
      <c r="F219" s="6"/>
      <c r="G219" s="6"/>
      <c r="H219" s="6">
        <v>23</v>
      </c>
      <c r="I219" s="6">
        <v>2627.75</v>
      </c>
      <c r="J219" s="6">
        <v>1512</v>
      </c>
      <c r="K219" s="6">
        <v>172746</v>
      </c>
      <c r="L219" s="6"/>
      <c r="M219" s="6"/>
      <c r="N219" s="6">
        <f t="shared" si="15"/>
        <v>1535</v>
      </c>
      <c r="O219" s="6">
        <f t="shared" si="16"/>
        <v>175373.75</v>
      </c>
      <c r="P219" s="6">
        <v>55</v>
      </c>
      <c r="Q219" s="6">
        <v>6201</v>
      </c>
      <c r="R219" s="6">
        <f t="shared" si="17"/>
        <v>324.4618204031766</v>
      </c>
      <c r="S219" s="6">
        <f t="shared" si="18"/>
        <v>37069.76298106293</v>
      </c>
    </row>
    <row r="220" spans="1:19" s="1" customFormat="1" ht="15" hidden="1" customHeight="1" outlineLevel="1" x14ac:dyDescent="0.25">
      <c r="A220" s="2" t="s">
        <v>41</v>
      </c>
      <c r="B220" s="2" t="s">
        <v>42</v>
      </c>
      <c r="C220" s="13">
        <v>54.93</v>
      </c>
      <c r="D220" s="6">
        <v>339.2</v>
      </c>
      <c r="E220" s="6">
        <v>100</v>
      </c>
      <c r="F220" s="6"/>
      <c r="G220" s="6"/>
      <c r="H220" s="6">
        <v>65</v>
      </c>
      <c r="I220" s="6">
        <v>3570.45</v>
      </c>
      <c r="J220" s="6">
        <v>844</v>
      </c>
      <c r="K220" s="6">
        <v>46360.92</v>
      </c>
      <c r="L220" s="6">
        <v>1000</v>
      </c>
      <c r="M220" s="6">
        <v>54930</v>
      </c>
      <c r="N220" s="6">
        <f t="shared" si="15"/>
        <v>1909</v>
      </c>
      <c r="O220" s="6">
        <f t="shared" si="16"/>
        <v>104861.37</v>
      </c>
      <c r="P220" s="6">
        <v>87</v>
      </c>
      <c r="Q220" s="6">
        <v>5026</v>
      </c>
      <c r="R220" s="6">
        <f t="shared" si="17"/>
        <v>396.12264150943395</v>
      </c>
      <c r="S220" s="6">
        <f t="shared" si="18"/>
        <v>21759.016698113206</v>
      </c>
    </row>
    <row r="221" spans="1:19" s="1" customFormat="1" ht="15" customHeight="1" collapsed="1" x14ac:dyDescent="0.25">
      <c r="A221" s="15" t="s">
        <v>407</v>
      </c>
      <c r="B221" s="16"/>
      <c r="C221" s="16"/>
      <c r="D221" s="15">
        <v>260.95</v>
      </c>
      <c r="E221" s="15">
        <v>89.6</v>
      </c>
      <c r="F221" s="15">
        <f t="shared" ref="F221:Q221" si="19">SUM(F222:F423)</f>
        <v>373</v>
      </c>
      <c r="G221" s="15">
        <f t="shared" si="19"/>
        <v>97887.220000000016</v>
      </c>
      <c r="H221" s="15">
        <f t="shared" si="19"/>
        <v>3691</v>
      </c>
      <c r="I221" s="15">
        <f t="shared" si="19"/>
        <v>442880.39999999985</v>
      </c>
      <c r="J221" s="15">
        <f t="shared" si="19"/>
        <v>121398</v>
      </c>
      <c r="K221" s="15">
        <f t="shared" si="19"/>
        <v>26632786.310000014</v>
      </c>
      <c r="L221" s="15">
        <f t="shared" si="19"/>
        <v>32338</v>
      </c>
      <c r="M221" s="15">
        <f t="shared" si="19"/>
        <v>6849929.2000000011</v>
      </c>
      <c r="N221" s="15">
        <f t="shared" si="19"/>
        <v>157800</v>
      </c>
      <c r="O221" s="15">
        <f t="shared" si="19"/>
        <v>34023483.129999995</v>
      </c>
      <c r="P221" s="15">
        <f t="shared" si="19"/>
        <v>5068</v>
      </c>
      <c r="Q221" s="15">
        <f t="shared" si="19"/>
        <v>897369</v>
      </c>
      <c r="R221" s="15">
        <f>SUM(R222:R423)</f>
        <v>67716.359593312649</v>
      </c>
      <c r="S221" s="15">
        <f t="shared" ref="S221" si="20">SUM(S222:S423)</f>
        <v>14963025.071436137</v>
      </c>
    </row>
    <row r="222" spans="1:19" s="1" customFormat="1" ht="15" hidden="1" customHeight="1" outlineLevel="1" x14ac:dyDescent="0.25">
      <c r="A222" s="2" t="s">
        <v>714</v>
      </c>
      <c r="B222" s="2" t="s">
        <v>715</v>
      </c>
      <c r="C222" s="13">
        <v>815.97</v>
      </c>
      <c r="D222" s="6">
        <v>2437.4</v>
      </c>
      <c r="E222" s="6">
        <v>100</v>
      </c>
      <c r="F222" s="6"/>
      <c r="G222" s="6"/>
      <c r="H222" s="6"/>
      <c r="I222" s="6"/>
      <c r="J222" s="6">
        <v>144</v>
      </c>
      <c r="K222" s="6">
        <v>117499.68</v>
      </c>
      <c r="L222" s="6"/>
      <c r="M222" s="6"/>
      <c r="N222" s="6">
        <f t="shared" ref="N222:N285" si="21">IF(J222+L222+H222+F222&lt;=0,"",J222+L222+H222+F222)</f>
        <v>144</v>
      </c>
      <c r="O222" s="6">
        <f t="shared" ref="O222:O285" si="22">IFERROR(C222*N222,"")</f>
        <v>117499.68000000001</v>
      </c>
      <c r="P222" s="6">
        <v>2</v>
      </c>
      <c r="Q222" s="6">
        <v>1422</v>
      </c>
      <c r="R222" s="6">
        <f t="shared" ref="R222:R285" si="23">J222/D222*(D222-180)</f>
        <v>133.36571756790022</v>
      </c>
      <c r="S222" s="6">
        <f t="shared" ref="S222:S285" si="24">R222*C222</f>
        <v>108822.42456387954</v>
      </c>
    </row>
    <row r="223" spans="1:19" s="1" customFormat="1" ht="15" hidden="1" customHeight="1" outlineLevel="1" x14ac:dyDescent="0.25">
      <c r="A223" s="2" t="s">
        <v>99</v>
      </c>
      <c r="B223" s="2" t="s">
        <v>100</v>
      </c>
      <c r="C223" s="13">
        <v>106.75</v>
      </c>
      <c r="D223" s="6">
        <v>3224.98</v>
      </c>
      <c r="E223" s="6">
        <v>100</v>
      </c>
      <c r="F223" s="6"/>
      <c r="G223" s="6"/>
      <c r="H223" s="6">
        <v>10</v>
      </c>
      <c r="I223" s="6">
        <v>1067.5</v>
      </c>
      <c r="J223" s="6">
        <v>3327</v>
      </c>
      <c r="K223" s="6">
        <v>355157.25</v>
      </c>
      <c r="L223" s="6">
        <v>2000</v>
      </c>
      <c r="M223" s="6">
        <v>213500</v>
      </c>
      <c r="N223" s="6">
        <f t="shared" si="21"/>
        <v>5337</v>
      </c>
      <c r="O223" s="6">
        <f t="shared" si="22"/>
        <v>569724.75</v>
      </c>
      <c r="P223" s="6">
        <v>26</v>
      </c>
      <c r="Q223" s="6">
        <v>2933</v>
      </c>
      <c r="R223" s="6">
        <f t="shared" si="23"/>
        <v>3141.3058251524039</v>
      </c>
      <c r="S223" s="6">
        <f t="shared" si="24"/>
        <v>335334.39683501911</v>
      </c>
    </row>
    <row r="224" spans="1:19" s="1" customFormat="1" ht="15" hidden="1" customHeight="1" outlineLevel="1" x14ac:dyDescent="0.25">
      <c r="A224" s="2" t="s">
        <v>93</v>
      </c>
      <c r="B224" s="2" t="s">
        <v>94</v>
      </c>
      <c r="C224" s="13">
        <v>220.79</v>
      </c>
      <c r="D224" s="6">
        <v>129.88999999999999</v>
      </c>
      <c r="E224" s="6">
        <v>97.85</v>
      </c>
      <c r="F224" s="6">
        <v>5</v>
      </c>
      <c r="G224" s="6">
        <v>1103.95</v>
      </c>
      <c r="H224" s="6">
        <v>22</v>
      </c>
      <c r="I224" s="6">
        <v>4857.38</v>
      </c>
      <c r="J224" s="6">
        <v>418</v>
      </c>
      <c r="K224" s="6">
        <v>92290.22</v>
      </c>
      <c r="L224" s="6"/>
      <c r="M224" s="6"/>
      <c r="N224" s="6">
        <f t="shared" si="21"/>
        <v>445</v>
      </c>
      <c r="O224" s="6">
        <f t="shared" si="22"/>
        <v>98251.55</v>
      </c>
      <c r="P224" s="6">
        <v>16</v>
      </c>
      <c r="Q224" s="6">
        <v>3645</v>
      </c>
      <c r="R224" s="6"/>
      <c r="S224" s="6"/>
    </row>
    <row r="225" spans="1:19" s="1" customFormat="1" ht="15" hidden="1" customHeight="1" outlineLevel="1" x14ac:dyDescent="0.25">
      <c r="A225" s="2" t="s">
        <v>1179</v>
      </c>
      <c r="B225" s="2" t="s">
        <v>1180</v>
      </c>
      <c r="C225" s="13">
        <v>153.4</v>
      </c>
      <c r="D225" s="6">
        <v>138.88999999999999</v>
      </c>
      <c r="E225" s="6">
        <v>29.03</v>
      </c>
      <c r="F225" s="6"/>
      <c r="G225" s="6"/>
      <c r="H225" s="6"/>
      <c r="I225" s="6"/>
      <c r="J225" s="6">
        <v>410</v>
      </c>
      <c r="K225" s="6">
        <v>62894</v>
      </c>
      <c r="L225" s="6">
        <v>1000</v>
      </c>
      <c r="M225" s="6">
        <v>153400</v>
      </c>
      <c r="N225" s="6">
        <f t="shared" si="21"/>
        <v>1410</v>
      </c>
      <c r="O225" s="6">
        <f t="shared" si="22"/>
        <v>216294</v>
      </c>
      <c r="P225" s="6">
        <v>30</v>
      </c>
      <c r="Q225" s="6">
        <v>4784</v>
      </c>
      <c r="R225" s="6"/>
      <c r="S225" s="6"/>
    </row>
    <row r="226" spans="1:19" s="1" customFormat="1" ht="15" hidden="1" customHeight="1" outlineLevel="1" x14ac:dyDescent="0.25">
      <c r="A226" s="2" t="s">
        <v>77</v>
      </c>
      <c r="B226" s="2" t="s">
        <v>78</v>
      </c>
      <c r="C226" s="13">
        <v>58.11</v>
      </c>
      <c r="D226" s="6">
        <v>235.67</v>
      </c>
      <c r="E226" s="6">
        <v>100</v>
      </c>
      <c r="F226" s="6"/>
      <c r="G226" s="6"/>
      <c r="H226" s="6">
        <v>50</v>
      </c>
      <c r="I226" s="6">
        <v>2905.5</v>
      </c>
      <c r="J226" s="6">
        <v>611</v>
      </c>
      <c r="K226" s="6">
        <v>35505.21</v>
      </c>
      <c r="L226" s="6">
        <v>5000</v>
      </c>
      <c r="M226" s="6">
        <v>290550</v>
      </c>
      <c r="N226" s="6">
        <f t="shared" si="21"/>
        <v>5661</v>
      </c>
      <c r="O226" s="6">
        <f t="shared" si="22"/>
        <v>328960.71000000002</v>
      </c>
      <c r="P226" s="6">
        <v>154</v>
      </c>
      <c r="Q226" s="6">
        <v>7541</v>
      </c>
      <c r="R226" s="6">
        <f t="shared" si="23"/>
        <v>144.33050451903082</v>
      </c>
      <c r="S226" s="6">
        <f t="shared" si="24"/>
        <v>8387.0456176008811</v>
      </c>
    </row>
    <row r="227" spans="1:19" s="1" customFormat="1" ht="15" hidden="1" customHeight="1" outlineLevel="1" x14ac:dyDescent="0.25">
      <c r="A227" s="2" t="s">
        <v>794</v>
      </c>
      <c r="B227" s="2" t="s">
        <v>795</v>
      </c>
      <c r="C227" s="13">
        <v>243.25</v>
      </c>
      <c r="D227" s="6">
        <v>145.29</v>
      </c>
      <c r="E227" s="6">
        <v>100</v>
      </c>
      <c r="F227" s="6">
        <v>10</v>
      </c>
      <c r="G227" s="6">
        <v>2432.5</v>
      </c>
      <c r="H227" s="6">
        <v>4</v>
      </c>
      <c r="I227" s="6">
        <v>973</v>
      </c>
      <c r="J227" s="6">
        <v>359</v>
      </c>
      <c r="K227" s="6">
        <v>87326.75</v>
      </c>
      <c r="L227" s="6"/>
      <c r="M227" s="6"/>
      <c r="N227" s="6">
        <f t="shared" si="21"/>
        <v>373</v>
      </c>
      <c r="O227" s="6">
        <f t="shared" si="22"/>
        <v>90732.25</v>
      </c>
      <c r="P227" s="6">
        <v>71</v>
      </c>
      <c r="Q227" s="6">
        <v>17625</v>
      </c>
      <c r="R227" s="6"/>
      <c r="S227" s="6"/>
    </row>
    <row r="228" spans="1:19" s="1" customFormat="1" ht="15" hidden="1" customHeight="1" outlineLevel="1" x14ac:dyDescent="0.25">
      <c r="A228" s="2" t="s">
        <v>1069</v>
      </c>
      <c r="B228" s="2" t="s">
        <v>1070</v>
      </c>
      <c r="C228" s="13">
        <v>68.510000000000005</v>
      </c>
      <c r="D228" s="6">
        <v>573.30999999999995</v>
      </c>
      <c r="E228" s="6">
        <v>100</v>
      </c>
      <c r="F228" s="6"/>
      <c r="G228" s="6"/>
      <c r="H228" s="6">
        <v>10</v>
      </c>
      <c r="I228" s="6">
        <v>685.1</v>
      </c>
      <c r="J228" s="6">
        <v>3438</v>
      </c>
      <c r="K228" s="6">
        <v>235537.38</v>
      </c>
      <c r="L228" s="6"/>
      <c r="M228" s="6"/>
      <c r="N228" s="6">
        <f t="shared" si="21"/>
        <v>3448</v>
      </c>
      <c r="O228" s="6">
        <f t="shared" si="22"/>
        <v>236222.48</v>
      </c>
      <c r="P228" s="6">
        <v>110</v>
      </c>
      <c r="Q228" s="6">
        <v>7772</v>
      </c>
      <c r="R228" s="6">
        <f t="shared" si="23"/>
        <v>2358.5839772548884</v>
      </c>
      <c r="S228" s="6">
        <f t="shared" si="24"/>
        <v>161586.5882817324</v>
      </c>
    </row>
    <row r="229" spans="1:19" s="1" customFormat="1" ht="15" hidden="1" customHeight="1" outlineLevel="1" x14ac:dyDescent="0.25">
      <c r="A229" s="2" t="s">
        <v>835</v>
      </c>
      <c r="B229" s="2" t="s">
        <v>836</v>
      </c>
      <c r="C229" s="13">
        <v>53.1</v>
      </c>
      <c r="D229" s="6">
        <v>115.48</v>
      </c>
      <c r="E229" s="6">
        <v>100</v>
      </c>
      <c r="F229" s="6"/>
      <c r="G229" s="6"/>
      <c r="H229" s="6">
        <v>160</v>
      </c>
      <c r="I229" s="6">
        <v>8496</v>
      </c>
      <c r="J229" s="6">
        <v>1716</v>
      </c>
      <c r="K229" s="6">
        <v>91119.6</v>
      </c>
      <c r="L229" s="6"/>
      <c r="M229" s="6"/>
      <c r="N229" s="6">
        <f t="shared" si="21"/>
        <v>1876</v>
      </c>
      <c r="O229" s="6">
        <f t="shared" si="22"/>
        <v>99615.6</v>
      </c>
      <c r="P229" s="6">
        <v>53</v>
      </c>
      <c r="Q229" s="6">
        <v>2928</v>
      </c>
      <c r="R229" s="6"/>
      <c r="S229" s="6"/>
    </row>
    <row r="230" spans="1:19" s="1" customFormat="1" ht="15" hidden="1" customHeight="1" outlineLevel="1" x14ac:dyDescent="0.25">
      <c r="A230" s="2" t="s">
        <v>708</v>
      </c>
      <c r="B230" s="2" t="s">
        <v>709</v>
      </c>
      <c r="C230" s="13">
        <v>573.58000000000004</v>
      </c>
      <c r="D230" s="6">
        <v>4174.1400000000003</v>
      </c>
      <c r="E230" s="6">
        <v>100</v>
      </c>
      <c r="F230" s="6"/>
      <c r="G230" s="6"/>
      <c r="H230" s="6"/>
      <c r="I230" s="6"/>
      <c r="J230" s="6">
        <v>581</v>
      </c>
      <c r="K230" s="6">
        <v>333249.98</v>
      </c>
      <c r="L230" s="6"/>
      <c r="M230" s="6"/>
      <c r="N230" s="6">
        <f t="shared" si="21"/>
        <v>581</v>
      </c>
      <c r="O230" s="6">
        <f t="shared" si="22"/>
        <v>333249.98000000004</v>
      </c>
      <c r="P230" s="6">
        <v>5</v>
      </c>
      <c r="Q230" s="6">
        <v>2800</v>
      </c>
      <c r="R230" s="6">
        <f t="shared" si="23"/>
        <v>555.94573732553295</v>
      </c>
      <c r="S230" s="6">
        <f t="shared" si="24"/>
        <v>318879.35601517919</v>
      </c>
    </row>
    <row r="231" spans="1:19" s="1" customFormat="1" ht="15" hidden="1" customHeight="1" outlineLevel="1" x14ac:dyDescent="0.25">
      <c r="A231" s="2" t="s">
        <v>1161</v>
      </c>
      <c r="B231" s="2" t="s">
        <v>1162</v>
      </c>
      <c r="C231" s="13">
        <v>271.20999999999998</v>
      </c>
      <c r="D231" s="6">
        <v>1636</v>
      </c>
      <c r="E231" s="6">
        <v>100</v>
      </c>
      <c r="F231" s="6"/>
      <c r="G231" s="6"/>
      <c r="H231" s="6">
        <v>5</v>
      </c>
      <c r="I231" s="6">
        <v>1356.05</v>
      </c>
      <c r="J231" s="6">
        <v>282</v>
      </c>
      <c r="K231" s="6">
        <v>76481.22</v>
      </c>
      <c r="L231" s="6"/>
      <c r="M231" s="6"/>
      <c r="N231" s="6">
        <f t="shared" si="21"/>
        <v>287</v>
      </c>
      <c r="O231" s="6">
        <f t="shared" si="22"/>
        <v>77837.26999999999</v>
      </c>
      <c r="P231" s="6">
        <v>3</v>
      </c>
      <c r="Q231" s="6">
        <v>727</v>
      </c>
      <c r="R231" s="6">
        <f t="shared" si="23"/>
        <v>250.97310513447431</v>
      </c>
      <c r="S231" s="6">
        <f t="shared" si="24"/>
        <v>68066.415843520779</v>
      </c>
    </row>
    <row r="232" spans="1:19" s="1" customFormat="1" ht="15" hidden="1" customHeight="1" outlineLevel="1" x14ac:dyDescent="0.25">
      <c r="A232" s="2" t="s">
        <v>418</v>
      </c>
      <c r="B232" s="2" t="s">
        <v>419</v>
      </c>
      <c r="C232" s="13">
        <v>106.36</v>
      </c>
      <c r="D232" s="6">
        <v>326.2</v>
      </c>
      <c r="E232" s="6">
        <v>45.16</v>
      </c>
      <c r="F232" s="6"/>
      <c r="G232" s="6"/>
      <c r="H232" s="6">
        <v>100</v>
      </c>
      <c r="I232" s="6">
        <v>10636</v>
      </c>
      <c r="J232" s="6">
        <v>1450</v>
      </c>
      <c r="K232" s="6">
        <v>154222</v>
      </c>
      <c r="L232" s="6"/>
      <c r="M232" s="6"/>
      <c r="N232" s="6">
        <f t="shared" si="21"/>
        <v>1550</v>
      </c>
      <c r="O232" s="6">
        <f t="shared" si="22"/>
        <v>164858</v>
      </c>
      <c r="P232" s="6">
        <v>17</v>
      </c>
      <c r="Q232" s="6">
        <v>1782</v>
      </c>
      <c r="R232" s="6">
        <f t="shared" si="23"/>
        <v>649.87737584304102</v>
      </c>
      <c r="S232" s="6">
        <f t="shared" si="24"/>
        <v>69120.957694665849</v>
      </c>
    </row>
    <row r="233" spans="1:19" s="1" customFormat="1" ht="15" hidden="1" customHeight="1" outlineLevel="1" x14ac:dyDescent="0.25">
      <c r="A233" s="2" t="s">
        <v>107</v>
      </c>
      <c r="B233" s="2" t="s">
        <v>108</v>
      </c>
      <c r="C233" s="13">
        <v>425</v>
      </c>
      <c r="D233" s="6">
        <v>755.55</v>
      </c>
      <c r="E233" s="6">
        <v>100</v>
      </c>
      <c r="F233" s="6"/>
      <c r="G233" s="6"/>
      <c r="H233" s="6">
        <v>13</v>
      </c>
      <c r="I233" s="6">
        <v>5525</v>
      </c>
      <c r="J233" s="6">
        <v>146</v>
      </c>
      <c r="K233" s="6">
        <v>62050</v>
      </c>
      <c r="L233" s="6"/>
      <c r="M233" s="6"/>
      <c r="N233" s="6">
        <f t="shared" si="21"/>
        <v>159</v>
      </c>
      <c r="O233" s="6">
        <f t="shared" si="22"/>
        <v>67575</v>
      </c>
      <c r="P233" s="6">
        <v>9</v>
      </c>
      <c r="Q233" s="6">
        <v>4207</v>
      </c>
      <c r="R233" s="6">
        <f t="shared" si="23"/>
        <v>111.21739130434783</v>
      </c>
      <c r="S233" s="6">
        <f t="shared" si="24"/>
        <v>47267.391304347824</v>
      </c>
    </row>
    <row r="234" spans="1:19" s="1" customFormat="1" ht="15" hidden="1" customHeight="1" outlineLevel="1" x14ac:dyDescent="0.25">
      <c r="A234" s="2" t="s">
        <v>365</v>
      </c>
      <c r="B234" s="2" t="s">
        <v>366</v>
      </c>
      <c r="C234" s="13">
        <v>253.52</v>
      </c>
      <c r="D234" s="6">
        <v>122.24</v>
      </c>
      <c r="E234" s="6">
        <v>29.03</v>
      </c>
      <c r="F234" s="6"/>
      <c r="G234" s="6"/>
      <c r="H234" s="6">
        <v>6</v>
      </c>
      <c r="I234" s="6">
        <v>1521.12</v>
      </c>
      <c r="J234" s="6">
        <v>840</v>
      </c>
      <c r="K234" s="6">
        <v>212956.79999999999</v>
      </c>
      <c r="L234" s="6"/>
      <c r="M234" s="6"/>
      <c r="N234" s="6">
        <f t="shared" si="21"/>
        <v>846</v>
      </c>
      <c r="O234" s="6">
        <f t="shared" si="22"/>
        <v>214477.92</v>
      </c>
      <c r="P234" s="6">
        <v>17</v>
      </c>
      <c r="Q234" s="6">
        <v>4395</v>
      </c>
      <c r="R234" s="6"/>
      <c r="S234" s="6"/>
    </row>
    <row r="235" spans="1:19" s="1" customFormat="1" ht="15" hidden="1" customHeight="1" outlineLevel="1" x14ac:dyDescent="0.25">
      <c r="A235" s="2" t="s">
        <v>45</v>
      </c>
      <c r="B235" s="2" t="s">
        <v>46</v>
      </c>
      <c r="C235" s="13">
        <v>82.29</v>
      </c>
      <c r="D235" s="6">
        <v>379.22</v>
      </c>
      <c r="E235" s="6">
        <v>61.29</v>
      </c>
      <c r="F235" s="6"/>
      <c r="G235" s="6"/>
      <c r="H235" s="6"/>
      <c r="I235" s="6"/>
      <c r="J235" s="6">
        <v>321</v>
      </c>
      <c r="K235" s="6">
        <v>26415.09</v>
      </c>
      <c r="L235" s="6">
        <v>400</v>
      </c>
      <c r="M235" s="6">
        <v>32916</v>
      </c>
      <c r="N235" s="6">
        <f t="shared" si="21"/>
        <v>721</v>
      </c>
      <c r="O235" s="6">
        <f t="shared" si="22"/>
        <v>59331.090000000004</v>
      </c>
      <c r="P235" s="6">
        <v>26</v>
      </c>
      <c r="Q235" s="6">
        <v>2229</v>
      </c>
      <c r="R235" s="6">
        <f t="shared" si="23"/>
        <v>168.63461842729814</v>
      </c>
      <c r="S235" s="6">
        <f t="shared" si="24"/>
        <v>13876.942750382364</v>
      </c>
    </row>
    <row r="236" spans="1:19" s="1" customFormat="1" ht="15" hidden="1" customHeight="1" outlineLevel="1" x14ac:dyDescent="0.25">
      <c r="A236" s="2" t="s">
        <v>387</v>
      </c>
      <c r="B236" s="2" t="s">
        <v>388</v>
      </c>
      <c r="C236" s="13">
        <v>258.48</v>
      </c>
      <c r="D236" s="6">
        <v>94.31</v>
      </c>
      <c r="E236" s="6">
        <v>100</v>
      </c>
      <c r="F236" s="6"/>
      <c r="G236" s="6"/>
      <c r="H236" s="6">
        <v>10</v>
      </c>
      <c r="I236" s="6">
        <v>2584.8000000000002</v>
      </c>
      <c r="J236" s="6">
        <v>119</v>
      </c>
      <c r="K236" s="6">
        <v>30759.119999999999</v>
      </c>
      <c r="L236" s="6">
        <v>1056</v>
      </c>
      <c r="M236" s="6">
        <v>272954.88</v>
      </c>
      <c r="N236" s="6">
        <f t="shared" si="21"/>
        <v>1185</v>
      </c>
      <c r="O236" s="6">
        <f t="shared" si="22"/>
        <v>306298.80000000005</v>
      </c>
      <c r="P236" s="6">
        <v>67</v>
      </c>
      <c r="Q236" s="6">
        <v>17688</v>
      </c>
      <c r="R236" s="6"/>
      <c r="S236" s="6"/>
    </row>
    <row r="237" spans="1:19" s="17" customFormat="1" ht="14.1" hidden="1" customHeight="1" outlineLevel="1" x14ac:dyDescent="0.2">
      <c r="A237" s="2" t="s">
        <v>812</v>
      </c>
      <c r="B237" s="2" t="s">
        <v>813</v>
      </c>
      <c r="C237" s="13">
        <v>141.31</v>
      </c>
      <c r="D237" s="6">
        <v>246.12</v>
      </c>
      <c r="E237" s="6">
        <v>29.03</v>
      </c>
      <c r="F237" s="6"/>
      <c r="G237" s="6"/>
      <c r="H237" s="6">
        <v>7</v>
      </c>
      <c r="I237" s="6">
        <v>989.17</v>
      </c>
      <c r="J237" s="6">
        <v>950</v>
      </c>
      <c r="K237" s="6">
        <v>134244.5</v>
      </c>
      <c r="L237" s="6"/>
      <c r="M237" s="6"/>
      <c r="N237" s="6">
        <f t="shared" si="21"/>
        <v>957</v>
      </c>
      <c r="O237" s="6">
        <f t="shared" si="22"/>
        <v>135233.67000000001</v>
      </c>
      <c r="P237" s="6">
        <v>14</v>
      </c>
      <c r="Q237" s="6">
        <v>2119</v>
      </c>
      <c r="R237" s="6">
        <f t="shared" si="23"/>
        <v>255.21696733300831</v>
      </c>
      <c r="S237" s="6">
        <f t="shared" si="24"/>
        <v>36064.709653827405</v>
      </c>
    </row>
    <row r="238" spans="1:19" s="1" customFormat="1" ht="15" hidden="1" customHeight="1" outlineLevel="1" x14ac:dyDescent="0.25">
      <c r="A238" s="2" t="s">
        <v>706</v>
      </c>
      <c r="B238" s="2" t="s">
        <v>707</v>
      </c>
      <c r="C238" s="13">
        <v>348.7</v>
      </c>
      <c r="D238" s="6">
        <v>51.67</v>
      </c>
      <c r="E238" s="6">
        <v>58.06</v>
      </c>
      <c r="F238" s="6"/>
      <c r="G238" s="6"/>
      <c r="H238" s="6">
        <v>10</v>
      </c>
      <c r="I238" s="6">
        <v>3487</v>
      </c>
      <c r="J238" s="6">
        <v>1065</v>
      </c>
      <c r="K238" s="6">
        <v>371365.5</v>
      </c>
      <c r="L238" s="6"/>
      <c r="M238" s="6"/>
      <c r="N238" s="6">
        <f t="shared" si="21"/>
        <v>1075</v>
      </c>
      <c r="O238" s="6">
        <f t="shared" si="22"/>
        <v>374852.5</v>
      </c>
      <c r="P238" s="6">
        <v>25</v>
      </c>
      <c r="Q238" s="6">
        <v>9077</v>
      </c>
      <c r="R238" s="6"/>
      <c r="S238" s="6"/>
    </row>
    <row r="239" spans="1:19" s="1" customFormat="1" ht="15" hidden="1" customHeight="1" outlineLevel="1" x14ac:dyDescent="0.25">
      <c r="A239" s="2" t="s">
        <v>1313</v>
      </c>
      <c r="B239" s="2" t="s">
        <v>1314</v>
      </c>
      <c r="C239" s="13">
        <v>590</v>
      </c>
      <c r="D239" s="6">
        <v>4317.75</v>
      </c>
      <c r="E239" s="6">
        <v>100</v>
      </c>
      <c r="F239" s="6"/>
      <c r="G239" s="6"/>
      <c r="H239" s="6">
        <v>30</v>
      </c>
      <c r="I239" s="6">
        <v>17700</v>
      </c>
      <c r="J239" s="6">
        <v>883</v>
      </c>
      <c r="K239" s="6">
        <v>520970</v>
      </c>
      <c r="L239" s="6"/>
      <c r="M239" s="6"/>
      <c r="N239" s="6">
        <f t="shared" si="21"/>
        <v>913</v>
      </c>
      <c r="O239" s="6">
        <f t="shared" si="22"/>
        <v>538670</v>
      </c>
      <c r="P239" s="6">
        <v>6</v>
      </c>
      <c r="Q239" s="6">
        <v>3865</v>
      </c>
      <c r="R239" s="6">
        <f t="shared" si="23"/>
        <v>846.18916102136529</v>
      </c>
      <c r="S239" s="6">
        <f t="shared" si="24"/>
        <v>499251.60500260553</v>
      </c>
    </row>
    <row r="240" spans="1:19" s="1" customFormat="1" ht="15" hidden="1" customHeight="1" outlineLevel="1" x14ac:dyDescent="0.25">
      <c r="A240" s="2" t="s">
        <v>1051</v>
      </c>
      <c r="B240" s="2" t="s">
        <v>1052</v>
      </c>
      <c r="C240" s="13">
        <v>704.5</v>
      </c>
      <c r="D240" s="6"/>
      <c r="E240" s="6">
        <v>5.38</v>
      </c>
      <c r="F240" s="6"/>
      <c r="G240" s="6"/>
      <c r="H240" s="6"/>
      <c r="I240" s="6"/>
      <c r="J240" s="6">
        <v>180</v>
      </c>
      <c r="K240" s="6">
        <v>126810</v>
      </c>
      <c r="L240" s="6"/>
      <c r="M240" s="6"/>
      <c r="N240" s="6">
        <f t="shared" si="21"/>
        <v>180</v>
      </c>
      <c r="O240" s="6">
        <f t="shared" si="22"/>
        <v>126810</v>
      </c>
      <c r="P240" s="6"/>
      <c r="Q240" s="6"/>
      <c r="R240" s="6"/>
      <c r="S240" s="6"/>
    </row>
    <row r="241" spans="1:19" s="1" customFormat="1" ht="15" hidden="1" customHeight="1" outlineLevel="1" x14ac:dyDescent="0.25">
      <c r="A241" s="2" t="s">
        <v>1001</v>
      </c>
      <c r="B241" s="2" t="s">
        <v>1002</v>
      </c>
      <c r="C241" s="13">
        <v>201.05</v>
      </c>
      <c r="D241" s="6">
        <v>964.93</v>
      </c>
      <c r="E241" s="6">
        <v>100</v>
      </c>
      <c r="F241" s="6"/>
      <c r="G241" s="6"/>
      <c r="H241" s="6">
        <v>6</v>
      </c>
      <c r="I241" s="6">
        <v>1206.3</v>
      </c>
      <c r="J241" s="6">
        <v>1152</v>
      </c>
      <c r="K241" s="6">
        <v>231609.60000000001</v>
      </c>
      <c r="L241" s="6"/>
      <c r="M241" s="6"/>
      <c r="N241" s="6">
        <f t="shared" si="21"/>
        <v>1158</v>
      </c>
      <c r="O241" s="6">
        <f t="shared" si="22"/>
        <v>232815.90000000002</v>
      </c>
      <c r="P241" s="6">
        <v>31</v>
      </c>
      <c r="Q241" s="6">
        <v>6416</v>
      </c>
      <c r="R241" s="6">
        <f t="shared" si="23"/>
        <v>937.10358264330057</v>
      </c>
      <c r="S241" s="6">
        <f t="shared" si="24"/>
        <v>188404.67529043558</v>
      </c>
    </row>
    <row r="242" spans="1:19" s="1" customFormat="1" ht="15" hidden="1" customHeight="1" outlineLevel="1" x14ac:dyDescent="0.25">
      <c r="A242" s="2" t="s">
        <v>640</v>
      </c>
      <c r="B242" s="2" t="s">
        <v>641</v>
      </c>
      <c r="C242" s="13">
        <v>249.65</v>
      </c>
      <c r="D242" s="6">
        <v>258.38</v>
      </c>
      <c r="E242" s="6">
        <v>100</v>
      </c>
      <c r="F242" s="6"/>
      <c r="G242" s="6"/>
      <c r="H242" s="6">
        <v>13</v>
      </c>
      <c r="I242" s="6">
        <v>3245.45</v>
      </c>
      <c r="J242" s="6">
        <v>930</v>
      </c>
      <c r="K242" s="6">
        <v>232174.5</v>
      </c>
      <c r="L242" s="6"/>
      <c r="M242" s="6"/>
      <c r="N242" s="6">
        <f t="shared" si="21"/>
        <v>943</v>
      </c>
      <c r="O242" s="6">
        <f t="shared" si="22"/>
        <v>235419.95</v>
      </c>
      <c r="P242" s="6">
        <v>44</v>
      </c>
      <c r="Q242" s="6">
        <v>11491</v>
      </c>
      <c r="R242" s="6">
        <f t="shared" si="23"/>
        <v>282.11703692236239</v>
      </c>
      <c r="S242" s="6">
        <f t="shared" si="24"/>
        <v>70430.518267667765</v>
      </c>
    </row>
    <row r="243" spans="1:19" s="1" customFormat="1" ht="15" hidden="1" customHeight="1" outlineLevel="1" x14ac:dyDescent="0.25">
      <c r="A243" s="2" t="s">
        <v>626</v>
      </c>
      <c r="B243" s="2" t="s">
        <v>627</v>
      </c>
      <c r="C243" s="13">
        <v>69.739999999999995</v>
      </c>
      <c r="D243" s="6">
        <v>732.92</v>
      </c>
      <c r="E243" s="6">
        <v>100</v>
      </c>
      <c r="F243" s="6"/>
      <c r="G243" s="6"/>
      <c r="H243" s="6">
        <v>32</v>
      </c>
      <c r="I243" s="6">
        <v>2231.6799999999998</v>
      </c>
      <c r="J243" s="6">
        <v>1308</v>
      </c>
      <c r="K243" s="6">
        <v>91219.92</v>
      </c>
      <c r="L243" s="6"/>
      <c r="M243" s="6"/>
      <c r="N243" s="6">
        <f t="shared" si="21"/>
        <v>1340</v>
      </c>
      <c r="O243" s="6">
        <f t="shared" si="22"/>
        <v>93451.599999999991</v>
      </c>
      <c r="P243" s="6">
        <v>41</v>
      </c>
      <c r="Q243" s="6">
        <v>2995</v>
      </c>
      <c r="R243" s="6">
        <f t="shared" si="23"/>
        <v>986.76439447688699</v>
      </c>
      <c r="S243" s="6">
        <f t="shared" si="24"/>
        <v>68816.948870818087</v>
      </c>
    </row>
    <row r="244" spans="1:19" s="1" customFormat="1" ht="15" hidden="1" customHeight="1" outlineLevel="1" x14ac:dyDescent="0.25">
      <c r="A244" s="2" t="s">
        <v>9</v>
      </c>
      <c r="B244" s="2" t="s">
        <v>10</v>
      </c>
      <c r="C244" s="13">
        <v>106.36</v>
      </c>
      <c r="D244" s="6">
        <v>177.15</v>
      </c>
      <c r="E244" s="6">
        <v>100</v>
      </c>
      <c r="F244" s="6"/>
      <c r="G244" s="6"/>
      <c r="H244" s="6">
        <v>100</v>
      </c>
      <c r="I244" s="6">
        <v>10636</v>
      </c>
      <c r="J244" s="6">
        <v>420</v>
      </c>
      <c r="K244" s="6">
        <v>44671.199999999997</v>
      </c>
      <c r="L244" s="6"/>
      <c r="M244" s="6"/>
      <c r="N244" s="6">
        <f t="shared" si="21"/>
        <v>520</v>
      </c>
      <c r="O244" s="6">
        <f t="shared" si="22"/>
        <v>55307.199999999997</v>
      </c>
      <c r="P244" s="6">
        <v>45</v>
      </c>
      <c r="Q244" s="6">
        <v>5043</v>
      </c>
      <c r="R244" s="6"/>
      <c r="S244" s="6"/>
    </row>
    <row r="245" spans="1:19" s="1" customFormat="1" ht="15" hidden="1" customHeight="1" outlineLevel="1" x14ac:dyDescent="0.25">
      <c r="A245" s="2" t="s">
        <v>3</v>
      </c>
      <c r="B245" s="2" t="s">
        <v>4</v>
      </c>
      <c r="C245" s="13">
        <v>113.87</v>
      </c>
      <c r="D245" s="6">
        <v>284.37</v>
      </c>
      <c r="E245" s="6">
        <v>100</v>
      </c>
      <c r="F245" s="6"/>
      <c r="G245" s="6"/>
      <c r="H245" s="6">
        <v>175</v>
      </c>
      <c r="I245" s="6">
        <v>19927.25</v>
      </c>
      <c r="J245" s="6">
        <v>545</v>
      </c>
      <c r="K245" s="6">
        <v>62059.15</v>
      </c>
      <c r="L245" s="6"/>
      <c r="M245" s="6"/>
      <c r="N245" s="6">
        <f t="shared" si="21"/>
        <v>720</v>
      </c>
      <c r="O245" s="6">
        <f t="shared" si="22"/>
        <v>81986.400000000009</v>
      </c>
      <c r="P245" s="6">
        <v>89</v>
      </c>
      <c r="Q245" s="6">
        <v>10384</v>
      </c>
      <c r="R245" s="6">
        <f t="shared" si="23"/>
        <v>200.02690157189576</v>
      </c>
      <c r="S245" s="6">
        <f t="shared" si="24"/>
        <v>22777.06328199177</v>
      </c>
    </row>
    <row r="246" spans="1:19" s="1" customFormat="1" ht="15" hidden="1" customHeight="1" outlineLevel="1" x14ac:dyDescent="0.25">
      <c r="A246" s="2" t="s">
        <v>845</v>
      </c>
      <c r="B246" s="2" t="s">
        <v>846</v>
      </c>
      <c r="C246" s="13">
        <v>24.5</v>
      </c>
      <c r="D246" s="6">
        <v>69.069999999999993</v>
      </c>
      <c r="E246" s="6">
        <v>100</v>
      </c>
      <c r="F246" s="6"/>
      <c r="G246" s="6"/>
      <c r="H246" s="6">
        <v>200</v>
      </c>
      <c r="I246" s="6">
        <v>4900</v>
      </c>
      <c r="J246" s="6">
        <v>151</v>
      </c>
      <c r="K246" s="6">
        <v>3699.5</v>
      </c>
      <c r="L246" s="6"/>
      <c r="M246" s="6"/>
      <c r="N246" s="6">
        <f t="shared" si="21"/>
        <v>351</v>
      </c>
      <c r="O246" s="6">
        <f t="shared" si="22"/>
        <v>8599.5</v>
      </c>
      <c r="P246" s="6">
        <v>238</v>
      </c>
      <c r="Q246" s="6">
        <v>6123</v>
      </c>
      <c r="R246" s="6"/>
      <c r="S246" s="6"/>
    </row>
    <row r="247" spans="1:19" s="1" customFormat="1" ht="15" hidden="1" customHeight="1" outlineLevel="1" x14ac:dyDescent="0.25">
      <c r="A247" s="2" t="s">
        <v>225</v>
      </c>
      <c r="B247" s="2" t="s">
        <v>226</v>
      </c>
      <c r="C247" s="13">
        <v>705</v>
      </c>
      <c r="D247" s="6">
        <v>9914.5</v>
      </c>
      <c r="E247" s="6">
        <v>100</v>
      </c>
      <c r="F247" s="6">
        <v>10</v>
      </c>
      <c r="G247" s="6">
        <v>7050</v>
      </c>
      <c r="H247" s="6"/>
      <c r="I247" s="6"/>
      <c r="J247" s="6">
        <v>203</v>
      </c>
      <c r="K247" s="6">
        <v>143115</v>
      </c>
      <c r="L247" s="6"/>
      <c r="M247" s="6"/>
      <c r="N247" s="6">
        <f t="shared" si="21"/>
        <v>213</v>
      </c>
      <c r="O247" s="6">
        <f t="shared" si="22"/>
        <v>150165</v>
      </c>
      <c r="P247" s="6"/>
      <c r="Q247" s="6"/>
      <c r="R247" s="6">
        <f t="shared" si="23"/>
        <v>199.31448887992332</v>
      </c>
      <c r="S247" s="6">
        <f t="shared" si="24"/>
        <v>140516.71466034593</v>
      </c>
    </row>
    <row r="248" spans="1:19" s="1" customFormat="1" ht="15" hidden="1" customHeight="1" outlineLevel="1" x14ac:dyDescent="0.25">
      <c r="A248" s="2" t="s">
        <v>73</v>
      </c>
      <c r="B248" s="2" t="s">
        <v>74</v>
      </c>
      <c r="C248" s="13">
        <v>261.52999999999997</v>
      </c>
      <c r="D248" s="6">
        <v>706.03</v>
      </c>
      <c r="E248" s="6">
        <v>100</v>
      </c>
      <c r="F248" s="6"/>
      <c r="G248" s="6"/>
      <c r="H248" s="6">
        <v>10</v>
      </c>
      <c r="I248" s="6">
        <v>2615.3000000000002</v>
      </c>
      <c r="J248" s="6">
        <v>614</v>
      </c>
      <c r="K248" s="6">
        <v>160579.42000000001</v>
      </c>
      <c r="L248" s="6"/>
      <c r="M248" s="6"/>
      <c r="N248" s="6">
        <f t="shared" si="21"/>
        <v>624</v>
      </c>
      <c r="O248" s="6">
        <f t="shared" si="22"/>
        <v>163194.71999999997</v>
      </c>
      <c r="P248" s="6">
        <v>30</v>
      </c>
      <c r="Q248" s="6">
        <v>8042</v>
      </c>
      <c r="R248" s="6">
        <f t="shared" si="23"/>
        <v>457.46274237638625</v>
      </c>
      <c r="S248" s="6">
        <f t="shared" si="24"/>
        <v>119640.23101369628</v>
      </c>
    </row>
    <row r="249" spans="1:19" s="1" customFormat="1" ht="15" hidden="1" customHeight="1" outlineLevel="1" x14ac:dyDescent="0.25">
      <c r="A249" s="2" t="s">
        <v>1323</v>
      </c>
      <c r="B249" s="2" t="s">
        <v>1324</v>
      </c>
      <c r="C249" s="13">
        <v>196.24</v>
      </c>
      <c r="D249" s="6">
        <v>290.24</v>
      </c>
      <c r="E249" s="6">
        <v>100</v>
      </c>
      <c r="F249" s="6"/>
      <c r="G249" s="6"/>
      <c r="H249" s="6">
        <v>11</v>
      </c>
      <c r="I249" s="6">
        <v>2158.64</v>
      </c>
      <c r="J249" s="6">
        <v>1026</v>
      </c>
      <c r="K249" s="6">
        <v>201342.24</v>
      </c>
      <c r="L249" s="6"/>
      <c r="M249" s="6"/>
      <c r="N249" s="6">
        <f t="shared" si="21"/>
        <v>1037</v>
      </c>
      <c r="O249" s="6">
        <f t="shared" si="22"/>
        <v>203500.88</v>
      </c>
      <c r="P249" s="6">
        <v>27</v>
      </c>
      <c r="Q249" s="6">
        <v>5509</v>
      </c>
      <c r="R249" s="6">
        <f t="shared" si="23"/>
        <v>389.69900771775082</v>
      </c>
      <c r="S249" s="6">
        <f t="shared" si="24"/>
        <v>76474.533274531423</v>
      </c>
    </row>
    <row r="250" spans="1:19" s="1" customFormat="1" ht="15" hidden="1" customHeight="1" outlineLevel="1" x14ac:dyDescent="0.25">
      <c r="A250" s="2" t="s">
        <v>712</v>
      </c>
      <c r="B250" s="2" t="s">
        <v>713</v>
      </c>
      <c r="C250" s="13">
        <v>562.1</v>
      </c>
      <c r="D250" s="6"/>
      <c r="E250" s="6">
        <v>100</v>
      </c>
      <c r="F250" s="6"/>
      <c r="G250" s="6"/>
      <c r="H250" s="6"/>
      <c r="I250" s="6"/>
      <c r="J250" s="6">
        <v>219</v>
      </c>
      <c r="K250" s="6">
        <v>123099.9</v>
      </c>
      <c r="L250" s="6"/>
      <c r="M250" s="6"/>
      <c r="N250" s="6">
        <f t="shared" si="21"/>
        <v>219</v>
      </c>
      <c r="O250" s="6">
        <f t="shared" si="22"/>
        <v>123099.90000000001</v>
      </c>
      <c r="P250" s="6"/>
      <c r="Q250" s="6"/>
      <c r="R250" s="6"/>
      <c r="S250" s="6"/>
    </row>
    <row r="251" spans="1:19" s="1" customFormat="1" ht="15" hidden="1" customHeight="1" outlineLevel="1" x14ac:dyDescent="0.25">
      <c r="A251" s="2" t="s">
        <v>680</v>
      </c>
      <c r="B251" s="2" t="s">
        <v>681</v>
      </c>
      <c r="C251" s="13">
        <v>233.8</v>
      </c>
      <c r="D251" s="6">
        <v>1025.52</v>
      </c>
      <c r="E251" s="6">
        <v>100</v>
      </c>
      <c r="F251" s="6"/>
      <c r="G251" s="6"/>
      <c r="H251" s="6">
        <v>10</v>
      </c>
      <c r="I251" s="6">
        <v>2338</v>
      </c>
      <c r="J251" s="6">
        <v>339</v>
      </c>
      <c r="K251" s="6">
        <v>79258.2</v>
      </c>
      <c r="L251" s="6">
        <v>1200</v>
      </c>
      <c r="M251" s="6">
        <v>280560</v>
      </c>
      <c r="N251" s="6">
        <f t="shared" si="21"/>
        <v>1549</v>
      </c>
      <c r="O251" s="6">
        <f t="shared" si="22"/>
        <v>362156.2</v>
      </c>
      <c r="P251" s="6">
        <v>11</v>
      </c>
      <c r="Q251" s="6">
        <v>2666</v>
      </c>
      <c r="R251" s="6">
        <f t="shared" si="23"/>
        <v>279.49847882050085</v>
      </c>
      <c r="S251" s="6">
        <f t="shared" si="24"/>
        <v>65346.7443482331</v>
      </c>
    </row>
    <row r="252" spans="1:19" s="1" customFormat="1" ht="15" hidden="1" customHeight="1" outlineLevel="1" x14ac:dyDescent="0.25">
      <c r="A252" s="2" t="s">
        <v>363</v>
      </c>
      <c r="B252" s="2" t="s">
        <v>364</v>
      </c>
      <c r="C252" s="13">
        <v>552.11</v>
      </c>
      <c r="D252" s="6">
        <v>172.73</v>
      </c>
      <c r="E252" s="6">
        <v>66.67</v>
      </c>
      <c r="F252" s="6">
        <v>20</v>
      </c>
      <c r="G252" s="6">
        <v>11042.2</v>
      </c>
      <c r="H252" s="6"/>
      <c r="I252" s="6"/>
      <c r="J252" s="6">
        <v>157</v>
      </c>
      <c r="K252" s="6">
        <v>86681.27</v>
      </c>
      <c r="L252" s="6"/>
      <c r="M252" s="6"/>
      <c r="N252" s="6">
        <f t="shared" si="21"/>
        <v>177</v>
      </c>
      <c r="O252" s="6">
        <f t="shared" si="22"/>
        <v>97723.47</v>
      </c>
      <c r="P252" s="6">
        <v>47</v>
      </c>
      <c r="Q252" s="6">
        <v>27178</v>
      </c>
      <c r="R252" s="6"/>
      <c r="S252" s="6"/>
    </row>
    <row r="253" spans="1:19" s="1" customFormat="1" ht="15" hidden="1" customHeight="1" outlineLevel="1" x14ac:dyDescent="0.25">
      <c r="A253" s="2" t="s">
        <v>586</v>
      </c>
      <c r="B253" s="2" t="s">
        <v>587</v>
      </c>
      <c r="C253" s="13">
        <v>490.01</v>
      </c>
      <c r="D253" s="6">
        <v>229.18</v>
      </c>
      <c r="E253" s="6">
        <v>100</v>
      </c>
      <c r="F253" s="6"/>
      <c r="G253" s="6"/>
      <c r="H253" s="6">
        <v>7</v>
      </c>
      <c r="I253" s="6">
        <v>3430.07</v>
      </c>
      <c r="J253" s="6">
        <v>125</v>
      </c>
      <c r="K253" s="6">
        <v>61251.25</v>
      </c>
      <c r="L253" s="6"/>
      <c r="M253" s="6"/>
      <c r="N253" s="6">
        <f t="shared" si="21"/>
        <v>132</v>
      </c>
      <c r="O253" s="6">
        <f t="shared" si="22"/>
        <v>64681.32</v>
      </c>
      <c r="P253" s="6">
        <v>8</v>
      </c>
      <c r="Q253" s="6">
        <v>4265</v>
      </c>
      <c r="R253" s="6">
        <f t="shared" si="23"/>
        <v>26.82389388253775</v>
      </c>
      <c r="S253" s="6">
        <f t="shared" si="24"/>
        <v>13143.976241382323</v>
      </c>
    </row>
    <row r="254" spans="1:19" s="1" customFormat="1" ht="15" hidden="1" customHeight="1" outlineLevel="1" x14ac:dyDescent="0.25">
      <c r="A254" s="2" t="s">
        <v>556</v>
      </c>
      <c r="B254" s="2" t="s">
        <v>557</v>
      </c>
      <c r="C254" s="13">
        <v>99.78</v>
      </c>
      <c r="D254" s="6">
        <v>228.94</v>
      </c>
      <c r="E254" s="6">
        <v>53.76</v>
      </c>
      <c r="F254" s="6"/>
      <c r="G254" s="6"/>
      <c r="H254" s="6">
        <v>10</v>
      </c>
      <c r="I254" s="6">
        <v>997.8</v>
      </c>
      <c r="J254" s="6">
        <v>420</v>
      </c>
      <c r="K254" s="6">
        <v>41907.599999999999</v>
      </c>
      <c r="L254" s="6">
        <v>500</v>
      </c>
      <c r="M254" s="6">
        <v>49890</v>
      </c>
      <c r="N254" s="6">
        <f t="shared" si="21"/>
        <v>930</v>
      </c>
      <c r="O254" s="6">
        <f t="shared" si="22"/>
        <v>92795.4</v>
      </c>
      <c r="P254" s="6">
        <v>23</v>
      </c>
      <c r="Q254" s="6">
        <v>2041</v>
      </c>
      <c r="R254" s="6">
        <f t="shared" si="23"/>
        <v>89.782475757840487</v>
      </c>
      <c r="S254" s="6">
        <f t="shared" si="24"/>
        <v>8958.4954311173242</v>
      </c>
    </row>
    <row r="255" spans="1:19" s="1" customFormat="1" ht="15" hidden="1" customHeight="1" outlineLevel="1" x14ac:dyDescent="0.25">
      <c r="A255" s="2" t="s">
        <v>704</v>
      </c>
      <c r="B255" s="2" t="s">
        <v>705</v>
      </c>
      <c r="C255" s="13">
        <v>271.20999999999998</v>
      </c>
      <c r="D255" s="6">
        <v>1125.71</v>
      </c>
      <c r="E255" s="6">
        <v>100</v>
      </c>
      <c r="F255" s="6"/>
      <c r="G255" s="6"/>
      <c r="H255" s="6">
        <v>1</v>
      </c>
      <c r="I255" s="6">
        <v>271.20999999999998</v>
      </c>
      <c r="J255" s="6">
        <v>322</v>
      </c>
      <c r="K255" s="6">
        <v>87329.62</v>
      </c>
      <c r="L255" s="6"/>
      <c r="M255" s="6"/>
      <c r="N255" s="6">
        <f t="shared" si="21"/>
        <v>323</v>
      </c>
      <c r="O255" s="6">
        <f t="shared" si="22"/>
        <v>87600.829999999987</v>
      </c>
      <c r="P255" s="6">
        <v>6</v>
      </c>
      <c r="Q255" s="6">
        <v>1567</v>
      </c>
      <c r="R255" s="6">
        <f t="shared" si="23"/>
        <v>270.51249433690737</v>
      </c>
      <c r="S255" s="6">
        <f t="shared" si="24"/>
        <v>73365.693589112634</v>
      </c>
    </row>
    <row r="256" spans="1:19" s="1" customFormat="1" ht="15" hidden="1" customHeight="1" outlineLevel="1" x14ac:dyDescent="0.25">
      <c r="A256" s="2" t="s">
        <v>722</v>
      </c>
      <c r="B256" s="2" t="s">
        <v>723</v>
      </c>
      <c r="C256" s="13">
        <v>951.95</v>
      </c>
      <c r="D256" s="6">
        <v>6783.67</v>
      </c>
      <c r="E256" s="6">
        <v>100</v>
      </c>
      <c r="F256" s="6"/>
      <c r="G256" s="6"/>
      <c r="H256" s="6">
        <v>2</v>
      </c>
      <c r="I256" s="6">
        <v>1903.9</v>
      </c>
      <c r="J256" s="6">
        <v>432</v>
      </c>
      <c r="K256" s="6">
        <v>411242.4</v>
      </c>
      <c r="L256" s="6"/>
      <c r="M256" s="6"/>
      <c r="N256" s="6">
        <f t="shared" si="21"/>
        <v>434</v>
      </c>
      <c r="O256" s="6">
        <f t="shared" si="22"/>
        <v>413146.30000000005</v>
      </c>
      <c r="P256" s="6">
        <v>2</v>
      </c>
      <c r="Q256" s="6">
        <v>1774</v>
      </c>
      <c r="R256" s="6">
        <f t="shared" si="23"/>
        <v>420.5371782530695</v>
      </c>
      <c r="S256" s="6">
        <f t="shared" si="24"/>
        <v>400330.3668380095</v>
      </c>
    </row>
    <row r="257" spans="1:19" s="1" customFormat="1" ht="15" hidden="1" customHeight="1" outlineLevel="1" x14ac:dyDescent="0.25">
      <c r="A257" s="2" t="s">
        <v>95</v>
      </c>
      <c r="B257" s="2" t="s">
        <v>96</v>
      </c>
      <c r="C257" s="13">
        <v>342.72</v>
      </c>
      <c r="D257" s="6">
        <v>55.97</v>
      </c>
      <c r="E257" s="6">
        <v>100</v>
      </c>
      <c r="F257" s="6"/>
      <c r="G257" s="6"/>
      <c r="H257" s="6">
        <v>21</v>
      </c>
      <c r="I257" s="6">
        <v>7197.12</v>
      </c>
      <c r="J257" s="6">
        <v>242</v>
      </c>
      <c r="K257" s="6">
        <v>82938.239999999991</v>
      </c>
      <c r="L257" s="6"/>
      <c r="M257" s="6"/>
      <c r="N257" s="6">
        <f t="shared" si="21"/>
        <v>263</v>
      </c>
      <c r="O257" s="6">
        <f t="shared" si="22"/>
        <v>90135.360000000001</v>
      </c>
      <c r="P257" s="6">
        <v>17</v>
      </c>
      <c r="Q257" s="6">
        <v>5932</v>
      </c>
      <c r="R257" s="6"/>
      <c r="S257" s="6"/>
    </row>
    <row r="258" spans="1:19" s="1" customFormat="1" ht="15" hidden="1" customHeight="1" outlineLevel="1" x14ac:dyDescent="0.25">
      <c r="A258" s="2" t="s">
        <v>634</v>
      </c>
      <c r="B258" s="2" t="s">
        <v>635</v>
      </c>
      <c r="C258" s="13">
        <v>178.34</v>
      </c>
      <c r="D258" s="6">
        <v>186.22</v>
      </c>
      <c r="E258" s="6">
        <v>100</v>
      </c>
      <c r="F258" s="6"/>
      <c r="G258" s="6"/>
      <c r="H258" s="6">
        <v>12</v>
      </c>
      <c r="I258" s="6">
        <v>2140.08</v>
      </c>
      <c r="J258" s="6">
        <v>1054</v>
      </c>
      <c r="K258" s="6">
        <v>187970.36</v>
      </c>
      <c r="L258" s="6"/>
      <c r="M258" s="6"/>
      <c r="N258" s="6">
        <f t="shared" si="21"/>
        <v>1066</v>
      </c>
      <c r="O258" s="6">
        <f t="shared" si="22"/>
        <v>190110.44</v>
      </c>
      <c r="P258" s="6">
        <v>64</v>
      </c>
      <c r="Q258" s="6">
        <v>11948</v>
      </c>
      <c r="R258" s="6">
        <f t="shared" si="23"/>
        <v>35.205026312963156</v>
      </c>
      <c r="S258" s="6">
        <f t="shared" si="24"/>
        <v>6278.4643926538492</v>
      </c>
    </row>
    <row r="259" spans="1:19" s="1" customFormat="1" ht="15" hidden="1" customHeight="1" outlineLevel="1" x14ac:dyDescent="0.25">
      <c r="A259" s="2" t="s">
        <v>654</v>
      </c>
      <c r="B259" s="2" t="s">
        <v>655</v>
      </c>
      <c r="C259" s="13">
        <v>556.05999999999995</v>
      </c>
      <c r="D259" s="6">
        <v>102.26</v>
      </c>
      <c r="E259" s="6">
        <v>86.02</v>
      </c>
      <c r="F259" s="6">
        <v>10</v>
      </c>
      <c r="G259" s="6">
        <v>5560.6</v>
      </c>
      <c r="H259" s="6"/>
      <c r="I259" s="6"/>
      <c r="J259" s="6">
        <v>20</v>
      </c>
      <c r="K259" s="6">
        <v>11121.2</v>
      </c>
      <c r="L259" s="6">
        <v>180</v>
      </c>
      <c r="M259" s="6">
        <v>100090.8</v>
      </c>
      <c r="N259" s="6">
        <f t="shared" si="21"/>
        <v>210</v>
      </c>
      <c r="O259" s="6">
        <f t="shared" si="22"/>
        <v>116772.59999999999</v>
      </c>
      <c r="P259" s="6">
        <v>8</v>
      </c>
      <c r="Q259" s="6">
        <v>4408</v>
      </c>
      <c r="R259" s="6"/>
      <c r="S259" s="6"/>
    </row>
    <row r="260" spans="1:19" s="1" customFormat="1" ht="15" hidden="1" customHeight="1" outlineLevel="1" x14ac:dyDescent="0.25">
      <c r="A260" s="2" t="s">
        <v>698</v>
      </c>
      <c r="B260" s="2" t="s">
        <v>699</v>
      </c>
      <c r="C260" s="13">
        <v>525.27</v>
      </c>
      <c r="D260" s="6">
        <v>440.21</v>
      </c>
      <c r="E260" s="6">
        <v>66.67</v>
      </c>
      <c r="F260" s="6"/>
      <c r="G260" s="6"/>
      <c r="H260" s="6">
        <v>11</v>
      </c>
      <c r="I260" s="6">
        <v>5777.97</v>
      </c>
      <c r="J260" s="6">
        <v>15</v>
      </c>
      <c r="K260" s="6">
        <v>7879.05</v>
      </c>
      <c r="L260" s="6">
        <v>500</v>
      </c>
      <c r="M260" s="6">
        <v>262635</v>
      </c>
      <c r="N260" s="6">
        <f t="shared" si="21"/>
        <v>526</v>
      </c>
      <c r="O260" s="6">
        <f t="shared" si="22"/>
        <v>276292.02</v>
      </c>
      <c r="P260" s="6">
        <v>5</v>
      </c>
      <c r="Q260" s="6">
        <v>2519</v>
      </c>
      <c r="R260" s="6">
        <f t="shared" si="23"/>
        <v>8.8665636855137304</v>
      </c>
      <c r="S260" s="6">
        <f t="shared" si="24"/>
        <v>4657.3399070897967</v>
      </c>
    </row>
    <row r="261" spans="1:19" s="1" customFormat="1" ht="15" hidden="1" customHeight="1" outlineLevel="1" x14ac:dyDescent="0.25">
      <c r="A261" s="2" t="s">
        <v>305</v>
      </c>
      <c r="B261" s="2" t="s">
        <v>306</v>
      </c>
      <c r="C261" s="13">
        <v>1050</v>
      </c>
      <c r="D261" s="6">
        <v>865.73</v>
      </c>
      <c r="E261" s="6">
        <v>100</v>
      </c>
      <c r="F261" s="6"/>
      <c r="G261" s="6"/>
      <c r="H261" s="6"/>
      <c r="I261" s="6"/>
      <c r="J261" s="6">
        <v>597</v>
      </c>
      <c r="K261" s="6">
        <v>626850</v>
      </c>
      <c r="L261" s="6"/>
      <c r="M261" s="6"/>
      <c r="N261" s="6">
        <f t="shared" si="21"/>
        <v>597</v>
      </c>
      <c r="O261" s="6">
        <f t="shared" si="22"/>
        <v>626850</v>
      </c>
      <c r="P261" s="6">
        <v>2</v>
      </c>
      <c r="Q261" s="6">
        <v>2171</v>
      </c>
      <c r="R261" s="6">
        <f t="shared" si="23"/>
        <v>472.87354024926941</v>
      </c>
      <c r="S261" s="6">
        <f t="shared" si="24"/>
        <v>496517.21726173291</v>
      </c>
    </row>
    <row r="262" spans="1:19" s="1" customFormat="1" ht="15" hidden="1" customHeight="1" outlineLevel="1" x14ac:dyDescent="0.25">
      <c r="A262" s="2" t="s">
        <v>1287</v>
      </c>
      <c r="B262" s="2" t="s">
        <v>1288</v>
      </c>
      <c r="C262" s="13">
        <v>74.09</v>
      </c>
      <c r="D262" s="6">
        <v>194.4</v>
      </c>
      <c r="E262" s="6">
        <v>100</v>
      </c>
      <c r="F262" s="6"/>
      <c r="G262" s="6"/>
      <c r="H262" s="6">
        <v>25</v>
      </c>
      <c r="I262" s="6">
        <v>1852.25</v>
      </c>
      <c r="J262" s="6">
        <v>129</v>
      </c>
      <c r="K262" s="6">
        <v>9557.61</v>
      </c>
      <c r="L262" s="6"/>
      <c r="M262" s="6"/>
      <c r="N262" s="6">
        <f t="shared" si="21"/>
        <v>154</v>
      </c>
      <c r="O262" s="6">
        <f t="shared" si="22"/>
        <v>11409.86</v>
      </c>
      <c r="P262" s="6">
        <v>27</v>
      </c>
      <c r="Q262" s="6">
        <v>2139</v>
      </c>
      <c r="R262" s="6">
        <f t="shared" si="23"/>
        <v>9.5555555555555589</v>
      </c>
      <c r="S262" s="6">
        <f t="shared" si="24"/>
        <v>707.97111111111144</v>
      </c>
    </row>
    <row r="263" spans="1:19" s="1" customFormat="1" ht="15" hidden="1" customHeight="1" outlineLevel="1" x14ac:dyDescent="0.25">
      <c r="A263" s="2" t="s">
        <v>1309</v>
      </c>
      <c r="B263" s="2" t="s">
        <v>1310</v>
      </c>
      <c r="C263" s="13">
        <v>103.28</v>
      </c>
      <c r="D263" s="6">
        <v>494.1</v>
      </c>
      <c r="E263" s="6">
        <v>100</v>
      </c>
      <c r="F263" s="6">
        <v>5</v>
      </c>
      <c r="G263" s="6">
        <v>516.4</v>
      </c>
      <c r="H263" s="6">
        <v>18</v>
      </c>
      <c r="I263" s="6">
        <v>1859.04</v>
      </c>
      <c r="J263" s="6">
        <v>419</v>
      </c>
      <c r="K263" s="6">
        <v>43274.32</v>
      </c>
      <c r="L263" s="6"/>
      <c r="M263" s="6"/>
      <c r="N263" s="6">
        <f t="shared" si="21"/>
        <v>442</v>
      </c>
      <c r="O263" s="6">
        <f t="shared" si="22"/>
        <v>45649.760000000002</v>
      </c>
      <c r="P263" s="6">
        <v>27</v>
      </c>
      <c r="Q263" s="6">
        <v>2955</v>
      </c>
      <c r="R263" s="6">
        <f t="shared" si="23"/>
        <v>266.35883424408019</v>
      </c>
      <c r="S263" s="6">
        <f t="shared" si="24"/>
        <v>27509.540400728602</v>
      </c>
    </row>
    <row r="264" spans="1:19" s="1" customFormat="1" ht="15" hidden="1" customHeight="1" outlineLevel="1" x14ac:dyDescent="0.25">
      <c r="A264" s="2" t="s">
        <v>604</v>
      </c>
      <c r="B264" s="2" t="s">
        <v>605</v>
      </c>
      <c r="C264" s="13">
        <v>549.46</v>
      </c>
      <c r="D264" s="6">
        <v>253.62</v>
      </c>
      <c r="E264" s="6">
        <v>100</v>
      </c>
      <c r="F264" s="6"/>
      <c r="G264" s="6"/>
      <c r="H264" s="6">
        <v>3</v>
      </c>
      <c r="I264" s="6">
        <v>1648.38</v>
      </c>
      <c r="J264" s="6">
        <v>89</v>
      </c>
      <c r="K264" s="6">
        <v>48901.94</v>
      </c>
      <c r="L264" s="6"/>
      <c r="M264" s="6"/>
      <c r="N264" s="6">
        <f t="shared" si="21"/>
        <v>92</v>
      </c>
      <c r="O264" s="6">
        <f t="shared" si="22"/>
        <v>50550.320000000007</v>
      </c>
      <c r="P264" s="6">
        <v>10</v>
      </c>
      <c r="Q264" s="6">
        <v>4911</v>
      </c>
      <c r="R264" s="6">
        <f t="shared" si="23"/>
        <v>25.834634492547906</v>
      </c>
      <c r="S264" s="6">
        <f t="shared" si="24"/>
        <v>14195.098268275373</v>
      </c>
    </row>
    <row r="265" spans="1:19" s="1" customFormat="1" ht="15" hidden="1" customHeight="1" outlineLevel="1" x14ac:dyDescent="0.25">
      <c r="A265" s="2" t="s">
        <v>19</v>
      </c>
      <c r="B265" s="2" t="s">
        <v>20</v>
      </c>
      <c r="C265" s="13">
        <v>604.30999999999995</v>
      </c>
      <c r="D265" s="6">
        <v>430.94</v>
      </c>
      <c r="E265" s="6">
        <v>100</v>
      </c>
      <c r="F265" s="6"/>
      <c r="G265" s="6"/>
      <c r="H265" s="6">
        <v>1</v>
      </c>
      <c r="I265" s="6">
        <v>604.30999999999995</v>
      </c>
      <c r="J265" s="6">
        <v>278</v>
      </c>
      <c r="K265" s="6">
        <v>167998.18</v>
      </c>
      <c r="L265" s="6"/>
      <c r="M265" s="6"/>
      <c r="N265" s="6">
        <f t="shared" si="21"/>
        <v>279</v>
      </c>
      <c r="O265" s="6">
        <f t="shared" si="22"/>
        <v>168602.49</v>
      </c>
      <c r="P265" s="6">
        <v>21</v>
      </c>
      <c r="Q265" s="6">
        <v>13309</v>
      </c>
      <c r="R265" s="6">
        <f t="shared" si="23"/>
        <v>161.88174687891583</v>
      </c>
      <c r="S265" s="6">
        <f t="shared" si="24"/>
        <v>97826.758456397612</v>
      </c>
    </row>
    <row r="266" spans="1:19" s="1" customFormat="1" ht="15" hidden="1" customHeight="1" outlineLevel="1" x14ac:dyDescent="0.25">
      <c r="A266" s="2" t="s">
        <v>941</v>
      </c>
      <c r="B266" s="2" t="s">
        <v>942</v>
      </c>
      <c r="C266" s="13">
        <v>313.83</v>
      </c>
      <c r="D266" s="6">
        <v>80.61</v>
      </c>
      <c r="E266" s="6">
        <v>43.01</v>
      </c>
      <c r="F266" s="6"/>
      <c r="G266" s="6"/>
      <c r="H266" s="6"/>
      <c r="I266" s="6"/>
      <c r="J266" s="6">
        <v>39</v>
      </c>
      <c r="K266" s="6">
        <v>12239.37</v>
      </c>
      <c r="L266" s="6">
        <v>100</v>
      </c>
      <c r="M266" s="6">
        <v>31383</v>
      </c>
      <c r="N266" s="6">
        <f t="shared" si="21"/>
        <v>139</v>
      </c>
      <c r="O266" s="6">
        <f t="shared" si="22"/>
        <v>43622.369999999995</v>
      </c>
      <c r="P266" s="6">
        <v>20</v>
      </c>
      <c r="Q266" s="6">
        <v>6651</v>
      </c>
      <c r="R266" s="6"/>
      <c r="S266" s="6"/>
    </row>
    <row r="267" spans="1:19" s="1" customFormat="1" ht="15" hidden="1" customHeight="1" outlineLevel="1" x14ac:dyDescent="0.25">
      <c r="A267" s="2" t="s">
        <v>502</v>
      </c>
      <c r="B267" s="2" t="s">
        <v>503</v>
      </c>
      <c r="C267" s="13">
        <v>94</v>
      </c>
      <c r="D267" s="6">
        <v>416.27</v>
      </c>
      <c r="E267" s="6">
        <v>100</v>
      </c>
      <c r="F267" s="6"/>
      <c r="G267" s="6"/>
      <c r="H267" s="6"/>
      <c r="I267" s="6"/>
      <c r="J267" s="6">
        <v>748</v>
      </c>
      <c r="K267" s="6">
        <v>70312</v>
      </c>
      <c r="L267" s="6"/>
      <c r="M267" s="6"/>
      <c r="N267" s="6">
        <f t="shared" si="21"/>
        <v>748</v>
      </c>
      <c r="O267" s="6">
        <f t="shared" si="22"/>
        <v>70312</v>
      </c>
      <c r="P267" s="6">
        <v>51</v>
      </c>
      <c r="Q267" s="6">
        <v>4985</v>
      </c>
      <c r="R267" s="6">
        <f t="shared" si="23"/>
        <v>424.55608138948276</v>
      </c>
      <c r="S267" s="6">
        <f t="shared" si="24"/>
        <v>39908.271650611379</v>
      </c>
    </row>
    <row r="268" spans="1:19" s="1" customFormat="1" ht="15" hidden="1" customHeight="1" outlineLevel="1" x14ac:dyDescent="0.25">
      <c r="A268" s="2" t="s">
        <v>389</v>
      </c>
      <c r="B268" s="2" t="s">
        <v>390</v>
      </c>
      <c r="C268" s="13">
        <v>320.18</v>
      </c>
      <c r="D268" s="6">
        <v>60.14</v>
      </c>
      <c r="E268" s="6">
        <v>26.88</v>
      </c>
      <c r="F268" s="6">
        <v>10</v>
      </c>
      <c r="G268" s="6">
        <v>3201.8</v>
      </c>
      <c r="H268" s="6">
        <v>12</v>
      </c>
      <c r="I268" s="6">
        <v>3842.16</v>
      </c>
      <c r="J268" s="6">
        <v>110</v>
      </c>
      <c r="K268" s="6">
        <v>35219.800000000003</v>
      </c>
      <c r="L268" s="6">
        <v>1536</v>
      </c>
      <c r="M268" s="6">
        <v>491796.47999999998</v>
      </c>
      <c r="N268" s="6">
        <f t="shared" si="21"/>
        <v>1668</v>
      </c>
      <c r="O268" s="6">
        <f t="shared" si="22"/>
        <v>534060.24</v>
      </c>
      <c r="P268" s="6">
        <v>23</v>
      </c>
      <c r="Q268" s="6">
        <v>7613</v>
      </c>
      <c r="R268" s="6"/>
      <c r="S268" s="6"/>
    </row>
    <row r="269" spans="1:19" s="1" customFormat="1" ht="15" hidden="1" customHeight="1" outlineLevel="1" x14ac:dyDescent="0.25">
      <c r="A269" s="2" t="s">
        <v>1003</v>
      </c>
      <c r="B269" s="2" t="s">
        <v>1004</v>
      </c>
      <c r="C269" s="13">
        <v>69.739999999999995</v>
      </c>
      <c r="D269" s="6">
        <v>698.72</v>
      </c>
      <c r="E269" s="6">
        <v>100</v>
      </c>
      <c r="F269" s="6">
        <v>30</v>
      </c>
      <c r="G269" s="6">
        <v>2092.1999999999998</v>
      </c>
      <c r="H269" s="6">
        <v>45</v>
      </c>
      <c r="I269" s="6">
        <v>3138.3</v>
      </c>
      <c r="J269" s="6">
        <v>726</v>
      </c>
      <c r="K269" s="6">
        <v>50631.24</v>
      </c>
      <c r="L269" s="6"/>
      <c r="M269" s="6"/>
      <c r="N269" s="6">
        <f t="shared" si="21"/>
        <v>801</v>
      </c>
      <c r="O269" s="6">
        <f t="shared" si="22"/>
        <v>55861.74</v>
      </c>
      <c r="P269" s="6">
        <v>35</v>
      </c>
      <c r="Q269" s="6">
        <v>2533</v>
      </c>
      <c r="R269" s="6">
        <f t="shared" si="23"/>
        <v>538.97229219143583</v>
      </c>
      <c r="S269" s="6">
        <f t="shared" si="24"/>
        <v>37587.92765743073</v>
      </c>
    </row>
    <row r="270" spans="1:19" s="1" customFormat="1" ht="15" hidden="1" customHeight="1" outlineLevel="1" x14ac:dyDescent="0.25">
      <c r="A270" s="2" t="s">
        <v>889</v>
      </c>
      <c r="B270" s="2" t="s">
        <v>890</v>
      </c>
      <c r="C270" s="13">
        <v>165</v>
      </c>
      <c r="D270" s="6">
        <v>390.44</v>
      </c>
      <c r="E270" s="6">
        <v>100</v>
      </c>
      <c r="F270" s="6"/>
      <c r="G270" s="6"/>
      <c r="H270" s="6"/>
      <c r="I270" s="6"/>
      <c r="J270" s="6">
        <v>130</v>
      </c>
      <c r="K270" s="6">
        <v>21450</v>
      </c>
      <c r="L270" s="6"/>
      <c r="M270" s="6"/>
      <c r="N270" s="6">
        <f t="shared" si="21"/>
        <v>130</v>
      </c>
      <c r="O270" s="6">
        <f t="shared" si="22"/>
        <v>21450</v>
      </c>
      <c r="P270" s="6">
        <v>13</v>
      </c>
      <c r="Q270" s="6">
        <v>2186</v>
      </c>
      <c r="R270" s="6">
        <f t="shared" si="23"/>
        <v>70.067616022948471</v>
      </c>
      <c r="S270" s="6">
        <f t="shared" si="24"/>
        <v>11561.156643786499</v>
      </c>
    </row>
    <row r="271" spans="1:19" s="1" customFormat="1" ht="15" hidden="1" customHeight="1" outlineLevel="1" x14ac:dyDescent="0.25">
      <c r="A271" s="2" t="s">
        <v>843</v>
      </c>
      <c r="B271" s="2" t="s">
        <v>844</v>
      </c>
      <c r="C271" s="13">
        <v>58.52</v>
      </c>
      <c r="D271" s="6">
        <v>169.77</v>
      </c>
      <c r="E271" s="6">
        <v>76.34</v>
      </c>
      <c r="F271" s="6"/>
      <c r="G271" s="6"/>
      <c r="H271" s="6">
        <v>130</v>
      </c>
      <c r="I271" s="6">
        <v>7607.6</v>
      </c>
      <c r="J271" s="6">
        <v>1040</v>
      </c>
      <c r="K271" s="6">
        <v>60860.800000000003</v>
      </c>
      <c r="L271" s="6"/>
      <c r="M271" s="6"/>
      <c r="N271" s="6">
        <f t="shared" si="21"/>
        <v>1170</v>
      </c>
      <c r="O271" s="6">
        <f t="shared" si="22"/>
        <v>68468.400000000009</v>
      </c>
      <c r="P271" s="6">
        <v>25</v>
      </c>
      <c r="Q271" s="6">
        <v>1537</v>
      </c>
      <c r="R271" s="6"/>
      <c r="S271" s="6"/>
    </row>
    <row r="272" spans="1:19" s="1" customFormat="1" ht="15" hidden="1" customHeight="1" outlineLevel="1" x14ac:dyDescent="0.25">
      <c r="A272" s="2" t="s">
        <v>778</v>
      </c>
      <c r="B272" s="2" t="s">
        <v>779</v>
      </c>
      <c r="C272" s="13">
        <v>303.29000000000002</v>
      </c>
      <c r="D272" s="6">
        <v>66.63</v>
      </c>
      <c r="E272" s="6">
        <v>29.03</v>
      </c>
      <c r="F272" s="6"/>
      <c r="G272" s="6"/>
      <c r="H272" s="6">
        <v>1</v>
      </c>
      <c r="I272" s="6">
        <v>303.29000000000002</v>
      </c>
      <c r="J272" s="6">
        <v>126</v>
      </c>
      <c r="K272" s="6">
        <v>38214.54</v>
      </c>
      <c r="L272" s="6"/>
      <c r="M272" s="6"/>
      <c r="N272" s="6">
        <f t="shared" si="21"/>
        <v>127</v>
      </c>
      <c r="O272" s="6">
        <f t="shared" si="22"/>
        <v>38517.83</v>
      </c>
      <c r="P272" s="6">
        <v>22</v>
      </c>
      <c r="Q272" s="6">
        <v>6651</v>
      </c>
      <c r="R272" s="6"/>
      <c r="S272" s="6"/>
    </row>
    <row r="273" spans="1:19" s="1" customFormat="1" ht="15" hidden="1" customHeight="1" outlineLevel="1" x14ac:dyDescent="0.25">
      <c r="A273" s="2" t="s">
        <v>686</v>
      </c>
      <c r="B273" s="2" t="s">
        <v>687</v>
      </c>
      <c r="C273" s="13">
        <v>870</v>
      </c>
      <c r="D273" s="6"/>
      <c r="E273" s="6">
        <v>100</v>
      </c>
      <c r="F273" s="6"/>
      <c r="G273" s="6"/>
      <c r="H273" s="6"/>
      <c r="I273" s="6"/>
      <c r="J273" s="6">
        <v>262</v>
      </c>
      <c r="K273" s="6">
        <v>227940</v>
      </c>
      <c r="L273" s="6"/>
      <c r="M273" s="6"/>
      <c r="N273" s="6">
        <f t="shared" si="21"/>
        <v>262</v>
      </c>
      <c r="O273" s="6">
        <f t="shared" si="22"/>
        <v>227940</v>
      </c>
      <c r="P273" s="6"/>
      <c r="Q273" s="6"/>
      <c r="R273" s="6"/>
      <c r="S273" s="6"/>
    </row>
    <row r="274" spans="1:19" s="1" customFormat="1" ht="15" hidden="1" customHeight="1" outlineLevel="1" x14ac:dyDescent="0.25">
      <c r="A274" s="2" t="s">
        <v>1289</v>
      </c>
      <c r="B274" s="2" t="s">
        <v>1290</v>
      </c>
      <c r="C274" s="13">
        <v>78.25</v>
      </c>
      <c r="D274" s="6">
        <v>53.85</v>
      </c>
      <c r="E274" s="6">
        <v>98.92</v>
      </c>
      <c r="F274" s="6"/>
      <c r="G274" s="6"/>
      <c r="H274" s="6"/>
      <c r="I274" s="6"/>
      <c r="J274" s="6"/>
      <c r="K274" s="6"/>
      <c r="L274" s="6"/>
      <c r="M274" s="6"/>
      <c r="N274" s="6" t="str">
        <f t="shared" si="21"/>
        <v/>
      </c>
      <c r="O274" s="6" t="str">
        <f t="shared" si="22"/>
        <v/>
      </c>
      <c r="P274" s="6">
        <v>11</v>
      </c>
      <c r="Q274" s="6">
        <v>894</v>
      </c>
      <c r="R274" s="6"/>
      <c r="S274" s="6"/>
    </row>
    <row r="275" spans="1:19" s="1" customFormat="1" ht="15" hidden="1" customHeight="1" outlineLevel="1" x14ac:dyDescent="0.25">
      <c r="A275" s="2" t="s">
        <v>1045</v>
      </c>
      <c r="B275" s="2" t="s">
        <v>1046</v>
      </c>
      <c r="C275" s="13">
        <v>198.46</v>
      </c>
      <c r="D275" s="6">
        <v>987.55</v>
      </c>
      <c r="E275" s="6">
        <v>66.67</v>
      </c>
      <c r="F275" s="6">
        <v>12</v>
      </c>
      <c r="G275" s="6">
        <v>2381.52</v>
      </c>
      <c r="H275" s="6"/>
      <c r="I275" s="6"/>
      <c r="J275" s="6">
        <v>1069</v>
      </c>
      <c r="K275" s="6">
        <v>212153.74</v>
      </c>
      <c r="L275" s="6"/>
      <c r="M275" s="6"/>
      <c r="N275" s="6">
        <f t="shared" si="21"/>
        <v>1081</v>
      </c>
      <c r="O275" s="6">
        <f t="shared" si="22"/>
        <v>214535.26</v>
      </c>
      <c r="P275" s="6">
        <v>24</v>
      </c>
      <c r="Q275" s="6">
        <v>4882</v>
      </c>
      <c r="R275" s="6">
        <f t="shared" si="23"/>
        <v>874.15416940914395</v>
      </c>
      <c r="S275" s="6">
        <f t="shared" si="24"/>
        <v>173484.63646093872</v>
      </c>
    </row>
    <row r="276" spans="1:19" s="1" customFormat="1" ht="15" hidden="1" customHeight="1" outlineLevel="1" x14ac:dyDescent="0.25">
      <c r="A276" s="2" t="s">
        <v>265</v>
      </c>
      <c r="B276" s="2" t="s">
        <v>266</v>
      </c>
      <c r="C276" s="13">
        <v>495.9</v>
      </c>
      <c r="D276" s="6">
        <v>44.53</v>
      </c>
      <c r="E276" s="6">
        <v>29.03</v>
      </c>
      <c r="F276" s="6">
        <v>10</v>
      </c>
      <c r="G276" s="6">
        <v>4959</v>
      </c>
      <c r="H276" s="6">
        <v>4</v>
      </c>
      <c r="I276" s="6">
        <v>1983.6</v>
      </c>
      <c r="J276" s="6">
        <v>91</v>
      </c>
      <c r="K276" s="6">
        <v>45126.9</v>
      </c>
      <c r="L276" s="6">
        <v>1000</v>
      </c>
      <c r="M276" s="6">
        <v>495900</v>
      </c>
      <c r="N276" s="6">
        <f t="shared" si="21"/>
        <v>1105</v>
      </c>
      <c r="O276" s="6">
        <f t="shared" si="22"/>
        <v>547969.5</v>
      </c>
      <c r="P276" s="6">
        <v>32</v>
      </c>
      <c r="Q276" s="6">
        <v>16314</v>
      </c>
      <c r="R276" s="6"/>
      <c r="S276" s="6"/>
    </row>
    <row r="277" spans="1:19" s="1" customFormat="1" ht="15" hidden="1" customHeight="1" outlineLevel="1" x14ac:dyDescent="0.25">
      <c r="A277" s="2" t="s">
        <v>530</v>
      </c>
      <c r="B277" s="2" t="s">
        <v>531</v>
      </c>
      <c r="C277" s="13">
        <v>63</v>
      </c>
      <c r="D277" s="6">
        <v>582.14</v>
      </c>
      <c r="E277" s="6">
        <v>100</v>
      </c>
      <c r="F277" s="6"/>
      <c r="G277" s="6"/>
      <c r="H277" s="6">
        <v>100</v>
      </c>
      <c r="I277" s="6">
        <v>6300</v>
      </c>
      <c r="J277" s="6">
        <v>2039</v>
      </c>
      <c r="K277" s="6">
        <v>128457</v>
      </c>
      <c r="L277" s="6"/>
      <c r="M277" s="6"/>
      <c r="N277" s="6">
        <f t="shared" si="21"/>
        <v>2139</v>
      </c>
      <c r="O277" s="6">
        <f t="shared" si="22"/>
        <v>134757</v>
      </c>
      <c r="P277" s="6">
        <v>115</v>
      </c>
      <c r="Q277" s="6">
        <v>7575</v>
      </c>
      <c r="R277" s="6">
        <f t="shared" si="23"/>
        <v>1408.5331020029546</v>
      </c>
      <c r="S277" s="6">
        <f t="shared" si="24"/>
        <v>88737.585426186139</v>
      </c>
    </row>
    <row r="278" spans="1:19" s="1" customFormat="1" ht="15" hidden="1" customHeight="1" outlineLevel="1" x14ac:dyDescent="0.25">
      <c r="A278" s="2" t="s">
        <v>806</v>
      </c>
      <c r="B278" s="2" t="s">
        <v>807</v>
      </c>
      <c r="C278" s="13">
        <v>177.89</v>
      </c>
      <c r="D278" s="6">
        <v>58.54</v>
      </c>
      <c r="E278" s="6">
        <v>100</v>
      </c>
      <c r="F278" s="6">
        <v>40</v>
      </c>
      <c r="G278" s="6">
        <v>7115.6</v>
      </c>
      <c r="H278" s="6">
        <v>16</v>
      </c>
      <c r="I278" s="6">
        <v>2846.24</v>
      </c>
      <c r="J278" s="6">
        <v>18</v>
      </c>
      <c r="K278" s="6">
        <v>3202.02</v>
      </c>
      <c r="L278" s="6"/>
      <c r="M278" s="6"/>
      <c r="N278" s="6">
        <f t="shared" si="21"/>
        <v>74</v>
      </c>
      <c r="O278" s="6">
        <f t="shared" si="22"/>
        <v>13163.859999999999</v>
      </c>
      <c r="P278" s="6">
        <v>66</v>
      </c>
      <c r="Q278" s="6">
        <v>12108</v>
      </c>
      <c r="R278" s="6"/>
      <c r="S278" s="6"/>
    </row>
    <row r="279" spans="1:19" s="1" customFormat="1" ht="15" hidden="1" customHeight="1" outlineLevel="1" x14ac:dyDescent="0.25">
      <c r="A279" s="2" t="s">
        <v>534</v>
      </c>
      <c r="B279" s="2" t="s">
        <v>535</v>
      </c>
      <c r="C279" s="13">
        <v>217.44</v>
      </c>
      <c r="D279" s="6">
        <v>946.92</v>
      </c>
      <c r="E279" s="6">
        <v>100</v>
      </c>
      <c r="F279" s="6"/>
      <c r="G279" s="6"/>
      <c r="H279" s="6"/>
      <c r="I279" s="6"/>
      <c r="J279" s="6">
        <v>590</v>
      </c>
      <c r="K279" s="6">
        <v>128289.60000000001</v>
      </c>
      <c r="L279" s="6"/>
      <c r="M279" s="6"/>
      <c r="N279" s="6">
        <f t="shared" si="21"/>
        <v>590</v>
      </c>
      <c r="O279" s="6">
        <f t="shared" si="22"/>
        <v>128289.60000000001</v>
      </c>
      <c r="P279" s="6">
        <v>18</v>
      </c>
      <c r="Q279" s="6">
        <v>4273</v>
      </c>
      <c r="R279" s="6">
        <f t="shared" si="23"/>
        <v>477.84691420605753</v>
      </c>
      <c r="S279" s="6">
        <f t="shared" si="24"/>
        <v>103903.03302496515</v>
      </c>
    </row>
    <row r="280" spans="1:19" s="1" customFormat="1" ht="15" hidden="1" customHeight="1" outlineLevel="1" x14ac:dyDescent="0.25">
      <c r="A280" s="2" t="s">
        <v>780</v>
      </c>
      <c r="B280" s="2" t="s">
        <v>781</v>
      </c>
      <c r="C280" s="13">
        <v>338.97</v>
      </c>
      <c r="D280" s="6">
        <v>154.03</v>
      </c>
      <c r="E280" s="6">
        <v>29.03</v>
      </c>
      <c r="F280" s="6"/>
      <c r="G280" s="6"/>
      <c r="H280" s="6"/>
      <c r="I280" s="6"/>
      <c r="J280" s="6">
        <v>2068</v>
      </c>
      <c r="K280" s="6">
        <v>700989.96</v>
      </c>
      <c r="L280" s="6"/>
      <c r="M280" s="6"/>
      <c r="N280" s="6">
        <f t="shared" si="21"/>
        <v>2068</v>
      </c>
      <c r="O280" s="6">
        <f t="shared" si="22"/>
        <v>700989.96000000008</v>
      </c>
      <c r="P280" s="6">
        <v>11</v>
      </c>
      <c r="Q280" s="6">
        <v>3763</v>
      </c>
      <c r="R280" s="6"/>
      <c r="S280" s="6"/>
    </row>
    <row r="281" spans="1:19" s="1" customFormat="1" ht="15" hidden="1" customHeight="1" outlineLevel="1" x14ac:dyDescent="0.25">
      <c r="A281" s="2" t="s">
        <v>87</v>
      </c>
      <c r="B281" s="2" t="s">
        <v>88</v>
      </c>
      <c r="C281" s="13">
        <v>148.08000000000001</v>
      </c>
      <c r="D281" s="6">
        <v>21</v>
      </c>
      <c r="E281" s="6">
        <v>69.89</v>
      </c>
      <c r="F281" s="6"/>
      <c r="G281" s="6"/>
      <c r="H281" s="6"/>
      <c r="I281" s="6"/>
      <c r="J281" s="6">
        <v>1000</v>
      </c>
      <c r="K281" s="6">
        <v>148080</v>
      </c>
      <c r="L281" s="6"/>
      <c r="M281" s="6"/>
      <c r="N281" s="6">
        <f t="shared" si="21"/>
        <v>1000</v>
      </c>
      <c r="O281" s="6">
        <f t="shared" si="22"/>
        <v>148080</v>
      </c>
      <c r="P281" s="6">
        <v>41</v>
      </c>
      <c r="Q281" s="6">
        <v>6272</v>
      </c>
      <c r="R281" s="6"/>
      <c r="S281" s="6"/>
    </row>
    <row r="282" spans="1:19" s="1" customFormat="1" ht="15" hidden="1" customHeight="1" outlineLevel="1" x14ac:dyDescent="0.25">
      <c r="A282" s="2" t="s">
        <v>752</v>
      </c>
      <c r="B282" s="2" t="s">
        <v>753</v>
      </c>
      <c r="C282" s="13">
        <v>154.05000000000001</v>
      </c>
      <c r="D282" s="6">
        <v>552.88</v>
      </c>
      <c r="E282" s="6">
        <v>100</v>
      </c>
      <c r="F282" s="6"/>
      <c r="G282" s="6"/>
      <c r="H282" s="6">
        <v>2</v>
      </c>
      <c r="I282" s="6">
        <v>308.10000000000002</v>
      </c>
      <c r="J282" s="6">
        <v>761</v>
      </c>
      <c r="K282" s="6">
        <v>117232.05</v>
      </c>
      <c r="L282" s="6"/>
      <c r="M282" s="6"/>
      <c r="N282" s="6">
        <f t="shared" si="21"/>
        <v>763</v>
      </c>
      <c r="O282" s="6">
        <f t="shared" si="22"/>
        <v>117540.15000000001</v>
      </c>
      <c r="P282" s="6">
        <v>31</v>
      </c>
      <c r="Q282" s="6">
        <v>4980</v>
      </c>
      <c r="R282" s="6">
        <f t="shared" si="23"/>
        <v>513.24280133121113</v>
      </c>
      <c r="S282" s="6">
        <f t="shared" si="24"/>
        <v>79065.053545073082</v>
      </c>
    </row>
    <row r="283" spans="1:19" s="1" customFormat="1" ht="15" hidden="1" customHeight="1" outlineLevel="1" x14ac:dyDescent="0.25">
      <c r="A283" s="2" t="s">
        <v>450</v>
      </c>
      <c r="B283" s="2" t="s">
        <v>451</v>
      </c>
      <c r="C283" s="13">
        <v>126.84</v>
      </c>
      <c r="D283" s="6">
        <v>41.76</v>
      </c>
      <c r="E283" s="6">
        <v>95.7</v>
      </c>
      <c r="F283" s="6"/>
      <c r="G283" s="6"/>
      <c r="H283" s="6"/>
      <c r="I283" s="6"/>
      <c r="J283" s="6">
        <v>750</v>
      </c>
      <c r="K283" s="6">
        <v>95130</v>
      </c>
      <c r="L283" s="6"/>
      <c r="M283" s="6"/>
      <c r="N283" s="6">
        <f t="shared" si="21"/>
        <v>750</v>
      </c>
      <c r="O283" s="6">
        <f t="shared" si="22"/>
        <v>95130</v>
      </c>
      <c r="P283" s="6">
        <v>47</v>
      </c>
      <c r="Q283" s="6">
        <v>6137</v>
      </c>
      <c r="R283" s="6"/>
      <c r="S283" s="6"/>
    </row>
    <row r="284" spans="1:19" s="1" customFormat="1" ht="15" hidden="1" customHeight="1" outlineLevel="1" x14ac:dyDescent="0.25">
      <c r="A284" s="2" t="s">
        <v>291</v>
      </c>
      <c r="B284" s="2" t="s">
        <v>292</v>
      </c>
      <c r="C284" s="13">
        <v>437.32</v>
      </c>
      <c r="D284" s="6">
        <v>1792.43</v>
      </c>
      <c r="E284" s="6">
        <v>100</v>
      </c>
      <c r="F284" s="6"/>
      <c r="G284" s="6"/>
      <c r="H284" s="6">
        <v>11</v>
      </c>
      <c r="I284" s="6">
        <v>4810.5200000000004</v>
      </c>
      <c r="J284" s="6">
        <v>2137</v>
      </c>
      <c r="K284" s="6">
        <v>934552.84</v>
      </c>
      <c r="L284" s="6"/>
      <c r="M284" s="6"/>
      <c r="N284" s="6">
        <f t="shared" si="21"/>
        <v>2148</v>
      </c>
      <c r="O284" s="6">
        <f t="shared" si="22"/>
        <v>939363.36</v>
      </c>
      <c r="P284" s="6">
        <v>35</v>
      </c>
      <c r="Q284" s="6">
        <v>14170</v>
      </c>
      <c r="R284" s="6">
        <f t="shared" si="23"/>
        <v>1922.397477167867</v>
      </c>
      <c r="S284" s="6">
        <f t="shared" si="24"/>
        <v>840702.8647150516</v>
      </c>
    </row>
    <row r="285" spans="1:19" s="1" customFormat="1" ht="15" hidden="1" customHeight="1" outlineLevel="1" x14ac:dyDescent="0.25">
      <c r="A285" s="2" t="s">
        <v>1047</v>
      </c>
      <c r="B285" s="2" t="s">
        <v>1048</v>
      </c>
      <c r="C285" s="13">
        <v>228.17</v>
      </c>
      <c r="D285" s="6">
        <v>2474.69</v>
      </c>
      <c r="E285" s="6">
        <v>66.67</v>
      </c>
      <c r="F285" s="6">
        <v>12</v>
      </c>
      <c r="G285" s="6">
        <v>2738.04</v>
      </c>
      <c r="H285" s="6"/>
      <c r="I285" s="6"/>
      <c r="J285" s="6">
        <v>1111</v>
      </c>
      <c r="K285" s="6">
        <v>253496.87</v>
      </c>
      <c r="L285" s="6"/>
      <c r="M285" s="6"/>
      <c r="N285" s="6">
        <f t="shared" si="21"/>
        <v>1123</v>
      </c>
      <c r="O285" s="6">
        <f t="shared" si="22"/>
        <v>256234.90999999997</v>
      </c>
      <c r="P285" s="6">
        <v>10</v>
      </c>
      <c r="Q285" s="6">
        <v>2294</v>
      </c>
      <c r="R285" s="6">
        <f t="shared" si="23"/>
        <v>1030.1898783281947</v>
      </c>
      <c r="S285" s="6">
        <f t="shared" si="24"/>
        <v>235058.42453814417</v>
      </c>
    </row>
    <row r="286" spans="1:19" s="1" customFormat="1" ht="15" hidden="1" customHeight="1" outlineLevel="1" x14ac:dyDescent="0.25">
      <c r="A286" s="2" t="s">
        <v>371</v>
      </c>
      <c r="B286" s="2" t="s">
        <v>372</v>
      </c>
      <c r="C286" s="13">
        <v>516.42999999999995</v>
      </c>
      <c r="D286" s="6">
        <v>16580</v>
      </c>
      <c r="E286" s="6">
        <v>58.06</v>
      </c>
      <c r="F286" s="6"/>
      <c r="G286" s="6"/>
      <c r="H286" s="6"/>
      <c r="I286" s="6"/>
      <c r="J286" s="6">
        <v>399</v>
      </c>
      <c r="K286" s="6">
        <v>206055.57</v>
      </c>
      <c r="L286" s="6"/>
      <c r="M286" s="6"/>
      <c r="N286" s="6">
        <f t="shared" ref="N286:N349" si="25">IF(J286+L286+H286+F286&lt;=0,"",J286+L286+H286+F286)</f>
        <v>399</v>
      </c>
      <c r="O286" s="6">
        <f t="shared" ref="O286:O349" si="26">IFERROR(C286*N286,"")</f>
        <v>206055.56999999998</v>
      </c>
      <c r="P286" s="6">
        <v>0</v>
      </c>
      <c r="Q286" s="6">
        <v>180</v>
      </c>
      <c r="R286" s="6">
        <f t="shared" ref="R286:R347" si="27">J286/D286*(D286-180)</f>
        <v>394.66827503015679</v>
      </c>
      <c r="S286" s="6">
        <f t="shared" ref="S286:S347" si="28">R286*C286</f>
        <v>203818.53727382387</v>
      </c>
    </row>
    <row r="287" spans="1:19" s="1" customFormat="1" ht="15" hidden="1" customHeight="1" outlineLevel="1" x14ac:dyDescent="0.25">
      <c r="A287" s="2" t="s">
        <v>452</v>
      </c>
      <c r="B287" s="2" t="s">
        <v>453</v>
      </c>
      <c r="C287" s="13">
        <v>148.91</v>
      </c>
      <c r="D287" s="6">
        <v>55.87</v>
      </c>
      <c r="E287" s="6">
        <v>62.37</v>
      </c>
      <c r="F287" s="6">
        <v>20</v>
      </c>
      <c r="G287" s="6">
        <v>2978.2</v>
      </c>
      <c r="H287" s="6"/>
      <c r="I287" s="6"/>
      <c r="J287" s="6">
        <v>800</v>
      </c>
      <c r="K287" s="6">
        <v>119128</v>
      </c>
      <c r="L287" s="6"/>
      <c r="M287" s="6"/>
      <c r="N287" s="6">
        <f t="shared" si="25"/>
        <v>820</v>
      </c>
      <c r="O287" s="6">
        <f t="shared" si="26"/>
        <v>122106.2</v>
      </c>
      <c r="P287" s="6">
        <v>50</v>
      </c>
      <c r="Q287" s="6">
        <v>7714</v>
      </c>
      <c r="R287" s="6"/>
      <c r="S287" s="6"/>
    </row>
    <row r="288" spans="1:19" s="1" customFormat="1" ht="15" hidden="1" customHeight="1" outlineLevel="1" x14ac:dyDescent="0.25">
      <c r="A288" s="2" t="s">
        <v>873</v>
      </c>
      <c r="B288" s="2" t="s">
        <v>874</v>
      </c>
      <c r="C288" s="13">
        <v>210.68</v>
      </c>
      <c r="D288" s="6">
        <v>1674.11</v>
      </c>
      <c r="E288" s="6">
        <v>100</v>
      </c>
      <c r="F288" s="6"/>
      <c r="G288" s="6"/>
      <c r="H288" s="6"/>
      <c r="I288" s="6"/>
      <c r="J288" s="6">
        <v>133</v>
      </c>
      <c r="K288" s="6">
        <v>28020.44</v>
      </c>
      <c r="L288" s="6"/>
      <c r="M288" s="6"/>
      <c r="N288" s="6">
        <f t="shared" si="25"/>
        <v>133</v>
      </c>
      <c r="O288" s="6">
        <f t="shared" si="26"/>
        <v>28020.440000000002</v>
      </c>
      <c r="P288" s="6">
        <v>3</v>
      </c>
      <c r="Q288" s="6">
        <v>652</v>
      </c>
      <c r="R288" s="6">
        <f t="shared" si="27"/>
        <v>118.69986440556474</v>
      </c>
      <c r="S288" s="6">
        <f t="shared" si="28"/>
        <v>25007.68743296438</v>
      </c>
    </row>
    <row r="289" spans="1:19" s="1" customFormat="1" ht="15" hidden="1" customHeight="1" outlineLevel="1" x14ac:dyDescent="0.25">
      <c r="A289" s="2" t="s">
        <v>1193</v>
      </c>
      <c r="B289" s="2" t="s">
        <v>1194</v>
      </c>
      <c r="C289" s="13">
        <v>153.4</v>
      </c>
      <c r="D289" s="6"/>
      <c r="E289" s="6">
        <v>100</v>
      </c>
      <c r="F289" s="6"/>
      <c r="G289" s="6"/>
      <c r="H289" s="6"/>
      <c r="I289" s="6"/>
      <c r="J289" s="6">
        <v>317</v>
      </c>
      <c r="K289" s="6">
        <v>48627.8</v>
      </c>
      <c r="L289" s="6"/>
      <c r="M289" s="6"/>
      <c r="N289" s="6">
        <f t="shared" si="25"/>
        <v>317</v>
      </c>
      <c r="O289" s="6">
        <f t="shared" si="26"/>
        <v>48627.8</v>
      </c>
      <c r="P289" s="6"/>
      <c r="Q289" s="6"/>
      <c r="R289" s="6"/>
      <c r="S289" s="6"/>
    </row>
    <row r="290" spans="1:19" s="1" customFormat="1" ht="15" hidden="1" customHeight="1" outlineLevel="1" x14ac:dyDescent="0.25">
      <c r="A290" s="2" t="s">
        <v>424</v>
      </c>
      <c r="B290" s="2" t="s">
        <v>425</v>
      </c>
      <c r="C290" s="13">
        <v>174.64</v>
      </c>
      <c r="D290" s="6">
        <v>154.08000000000001</v>
      </c>
      <c r="E290" s="6">
        <v>66.67</v>
      </c>
      <c r="F290" s="6"/>
      <c r="G290" s="6"/>
      <c r="H290" s="6">
        <v>10</v>
      </c>
      <c r="I290" s="6">
        <v>1746.4</v>
      </c>
      <c r="J290" s="6">
        <v>55</v>
      </c>
      <c r="K290" s="6">
        <v>9605.2000000000007</v>
      </c>
      <c r="L290" s="6"/>
      <c r="M290" s="6"/>
      <c r="N290" s="6">
        <f t="shared" si="25"/>
        <v>65</v>
      </c>
      <c r="O290" s="6">
        <f t="shared" si="26"/>
        <v>11351.599999999999</v>
      </c>
      <c r="P290" s="6">
        <v>28</v>
      </c>
      <c r="Q290" s="6">
        <v>5080</v>
      </c>
      <c r="R290" s="6"/>
      <c r="S290" s="6"/>
    </row>
    <row r="291" spans="1:19" s="1" customFormat="1" ht="15" hidden="1" customHeight="1" outlineLevel="1" x14ac:dyDescent="0.25">
      <c r="A291" s="2" t="s">
        <v>414</v>
      </c>
      <c r="B291" s="2" t="s">
        <v>415</v>
      </c>
      <c r="C291" s="13">
        <v>58.52</v>
      </c>
      <c r="D291" s="6">
        <v>152.72999999999999</v>
      </c>
      <c r="E291" s="6">
        <v>40.86</v>
      </c>
      <c r="F291" s="6"/>
      <c r="G291" s="6"/>
      <c r="H291" s="6">
        <v>160</v>
      </c>
      <c r="I291" s="6">
        <v>9363.2000000000007</v>
      </c>
      <c r="J291" s="6">
        <v>1240</v>
      </c>
      <c r="K291" s="6">
        <v>72564.800000000003</v>
      </c>
      <c r="L291" s="6"/>
      <c r="M291" s="6"/>
      <c r="N291" s="6">
        <f t="shared" si="25"/>
        <v>1400</v>
      </c>
      <c r="O291" s="6">
        <f t="shared" si="26"/>
        <v>81928</v>
      </c>
      <c r="P291" s="6">
        <v>33</v>
      </c>
      <c r="Q291" s="6">
        <v>1999</v>
      </c>
      <c r="R291" s="6"/>
      <c r="S291" s="6"/>
    </row>
    <row r="292" spans="1:19" s="1" customFormat="1" ht="15" hidden="1" customHeight="1" outlineLevel="1" x14ac:dyDescent="0.25">
      <c r="A292" s="2" t="s">
        <v>440</v>
      </c>
      <c r="B292" s="2" t="s">
        <v>441</v>
      </c>
      <c r="C292" s="13">
        <v>79.8</v>
      </c>
      <c r="D292" s="6">
        <v>174.73</v>
      </c>
      <c r="E292" s="6">
        <v>79.569999999999993</v>
      </c>
      <c r="F292" s="6"/>
      <c r="G292" s="6"/>
      <c r="H292" s="6">
        <v>100</v>
      </c>
      <c r="I292" s="6">
        <v>7980</v>
      </c>
      <c r="J292" s="6">
        <v>1100</v>
      </c>
      <c r="K292" s="6">
        <v>87780</v>
      </c>
      <c r="L292" s="6"/>
      <c r="M292" s="6"/>
      <c r="N292" s="6">
        <f t="shared" si="25"/>
        <v>1200</v>
      </c>
      <c r="O292" s="6">
        <f t="shared" si="26"/>
        <v>95760</v>
      </c>
      <c r="P292" s="6">
        <v>33</v>
      </c>
      <c r="Q292" s="6">
        <v>2745</v>
      </c>
      <c r="R292" s="6"/>
      <c r="S292" s="6"/>
    </row>
    <row r="293" spans="1:19" s="1" customFormat="1" ht="15" hidden="1" customHeight="1" outlineLevel="1" x14ac:dyDescent="0.25">
      <c r="A293" s="2" t="s">
        <v>808</v>
      </c>
      <c r="B293" s="2" t="s">
        <v>809</v>
      </c>
      <c r="C293" s="13">
        <v>213.45</v>
      </c>
      <c r="D293" s="6">
        <v>148.22</v>
      </c>
      <c r="E293" s="6">
        <v>73.12</v>
      </c>
      <c r="F293" s="6"/>
      <c r="G293" s="6"/>
      <c r="H293" s="6"/>
      <c r="I293" s="6"/>
      <c r="J293" s="6"/>
      <c r="K293" s="6"/>
      <c r="L293" s="6">
        <v>1056</v>
      </c>
      <c r="M293" s="6">
        <v>225403.2</v>
      </c>
      <c r="N293" s="6">
        <f t="shared" si="25"/>
        <v>1056</v>
      </c>
      <c r="O293" s="6">
        <f t="shared" si="26"/>
        <v>225403.19999999998</v>
      </c>
      <c r="P293" s="6">
        <v>48</v>
      </c>
      <c r="Q293" s="6">
        <v>10549</v>
      </c>
      <c r="R293" s="6"/>
      <c r="S293" s="6"/>
    </row>
    <row r="294" spans="1:19" s="1" customFormat="1" ht="15" hidden="1" customHeight="1" outlineLevel="1" x14ac:dyDescent="0.25">
      <c r="A294" s="2" t="s">
        <v>295</v>
      </c>
      <c r="B294" s="2" t="s">
        <v>296</v>
      </c>
      <c r="C294" s="13">
        <v>502.65</v>
      </c>
      <c r="D294" s="6">
        <v>56.15</v>
      </c>
      <c r="E294" s="6">
        <v>40.86</v>
      </c>
      <c r="F294" s="6"/>
      <c r="G294" s="6"/>
      <c r="H294" s="6"/>
      <c r="I294" s="6"/>
      <c r="J294" s="6">
        <v>780</v>
      </c>
      <c r="K294" s="6">
        <v>392067</v>
      </c>
      <c r="L294" s="6"/>
      <c r="M294" s="6"/>
      <c r="N294" s="6">
        <f t="shared" si="25"/>
        <v>780</v>
      </c>
      <c r="O294" s="6">
        <f t="shared" si="26"/>
        <v>392067</v>
      </c>
      <c r="P294" s="6">
        <v>6</v>
      </c>
      <c r="Q294" s="6">
        <v>2680</v>
      </c>
      <c r="R294" s="6"/>
      <c r="S294" s="6"/>
    </row>
    <row r="295" spans="1:19" s="1" customFormat="1" ht="15" hidden="1" customHeight="1" outlineLevel="1" x14ac:dyDescent="0.25">
      <c r="A295" s="2" t="s">
        <v>696</v>
      </c>
      <c r="B295" s="2" t="s">
        <v>697</v>
      </c>
      <c r="C295" s="13">
        <v>530.03</v>
      </c>
      <c r="D295" s="6">
        <v>267.83</v>
      </c>
      <c r="E295" s="6">
        <v>100</v>
      </c>
      <c r="F295" s="6"/>
      <c r="G295" s="6"/>
      <c r="H295" s="6">
        <v>5</v>
      </c>
      <c r="I295" s="6">
        <v>2650.15</v>
      </c>
      <c r="J295" s="6">
        <v>32</v>
      </c>
      <c r="K295" s="6">
        <v>16960.96</v>
      </c>
      <c r="L295" s="6"/>
      <c r="M295" s="6"/>
      <c r="N295" s="6">
        <f t="shared" si="25"/>
        <v>37</v>
      </c>
      <c r="O295" s="6">
        <f t="shared" si="26"/>
        <v>19611.11</v>
      </c>
      <c r="P295" s="6">
        <v>5</v>
      </c>
      <c r="Q295" s="6">
        <v>2705</v>
      </c>
      <c r="R295" s="6">
        <f t="shared" si="27"/>
        <v>10.493820707164991</v>
      </c>
      <c r="S295" s="6">
        <f t="shared" si="28"/>
        <v>5562.0397894186599</v>
      </c>
    </row>
    <row r="296" spans="1:19" s="1" customFormat="1" ht="15" hidden="1" customHeight="1" outlineLevel="1" x14ac:dyDescent="0.25">
      <c r="A296" s="2" t="s">
        <v>37</v>
      </c>
      <c r="B296" s="2" t="s">
        <v>38</v>
      </c>
      <c r="C296" s="13">
        <v>76.88</v>
      </c>
      <c r="D296" s="6">
        <v>180.85</v>
      </c>
      <c r="E296" s="6">
        <v>61.29</v>
      </c>
      <c r="F296" s="6"/>
      <c r="G296" s="6"/>
      <c r="H296" s="6">
        <v>235</v>
      </c>
      <c r="I296" s="6">
        <v>18066.8</v>
      </c>
      <c r="J296" s="6">
        <v>644</v>
      </c>
      <c r="K296" s="6">
        <v>49510.720000000001</v>
      </c>
      <c r="L296" s="6">
        <v>2000</v>
      </c>
      <c r="M296" s="6">
        <v>153760</v>
      </c>
      <c r="N296" s="6">
        <f t="shared" si="25"/>
        <v>2879</v>
      </c>
      <c r="O296" s="6">
        <f t="shared" si="26"/>
        <v>221337.52</v>
      </c>
      <c r="P296" s="6">
        <v>207</v>
      </c>
      <c r="Q296" s="6">
        <v>15731</v>
      </c>
      <c r="R296" s="6">
        <f t="shared" si="27"/>
        <v>3.0268178048105967</v>
      </c>
      <c r="S296" s="6">
        <f t="shared" si="28"/>
        <v>232.70175283383867</v>
      </c>
    </row>
    <row r="297" spans="1:19" s="1" customFormat="1" ht="15" hidden="1" customHeight="1" outlineLevel="1" x14ac:dyDescent="0.25">
      <c r="A297" s="2" t="s">
        <v>442</v>
      </c>
      <c r="B297" s="2" t="s">
        <v>443</v>
      </c>
      <c r="C297" s="13">
        <v>77</v>
      </c>
      <c r="D297" s="6">
        <v>822</v>
      </c>
      <c r="E297" s="6">
        <v>29.03</v>
      </c>
      <c r="F297" s="6"/>
      <c r="G297" s="6"/>
      <c r="H297" s="6">
        <v>100</v>
      </c>
      <c r="I297" s="6">
        <v>7700</v>
      </c>
      <c r="J297" s="6">
        <v>1370</v>
      </c>
      <c r="K297" s="6">
        <v>105490</v>
      </c>
      <c r="L297" s="6"/>
      <c r="M297" s="6"/>
      <c r="N297" s="6">
        <f t="shared" si="25"/>
        <v>1470</v>
      </c>
      <c r="O297" s="6">
        <f t="shared" si="26"/>
        <v>113190</v>
      </c>
      <c r="P297" s="6">
        <v>10</v>
      </c>
      <c r="Q297" s="6">
        <v>806</v>
      </c>
      <c r="R297" s="6">
        <f t="shared" si="27"/>
        <v>1070</v>
      </c>
      <c r="S297" s="6">
        <f t="shared" si="28"/>
        <v>82390</v>
      </c>
    </row>
    <row r="298" spans="1:19" s="1" customFormat="1" ht="15" hidden="1" customHeight="1" outlineLevel="1" x14ac:dyDescent="0.25">
      <c r="A298" s="2" t="s">
        <v>796</v>
      </c>
      <c r="B298" s="2" t="s">
        <v>797</v>
      </c>
      <c r="C298" s="13">
        <v>91.61</v>
      </c>
      <c r="D298" s="6">
        <v>35.99</v>
      </c>
      <c r="E298" s="6">
        <v>100</v>
      </c>
      <c r="F298" s="6"/>
      <c r="G298" s="6"/>
      <c r="H298" s="6">
        <v>115</v>
      </c>
      <c r="I298" s="6">
        <v>10535.15</v>
      </c>
      <c r="J298" s="6">
        <v>195</v>
      </c>
      <c r="K298" s="6">
        <v>17863.95</v>
      </c>
      <c r="L298" s="6">
        <v>2000</v>
      </c>
      <c r="M298" s="6">
        <v>183220</v>
      </c>
      <c r="N298" s="6">
        <f t="shared" si="25"/>
        <v>2310</v>
      </c>
      <c r="O298" s="6">
        <f t="shared" si="26"/>
        <v>211619.1</v>
      </c>
      <c r="P298" s="6">
        <v>76</v>
      </c>
      <c r="Q298" s="6">
        <v>6898</v>
      </c>
      <c r="R298" s="6"/>
      <c r="S298" s="6"/>
    </row>
    <row r="299" spans="1:19" s="1" customFormat="1" ht="15" hidden="1" customHeight="1" outlineLevel="1" x14ac:dyDescent="0.25">
      <c r="A299" s="2" t="s">
        <v>548</v>
      </c>
      <c r="B299" s="2" t="s">
        <v>549</v>
      </c>
      <c r="C299" s="13">
        <v>534.51</v>
      </c>
      <c r="D299" s="6">
        <v>254.22</v>
      </c>
      <c r="E299" s="6">
        <v>100</v>
      </c>
      <c r="F299" s="6"/>
      <c r="G299" s="6"/>
      <c r="H299" s="6">
        <v>5</v>
      </c>
      <c r="I299" s="6">
        <v>2672.55</v>
      </c>
      <c r="J299" s="6">
        <v>229</v>
      </c>
      <c r="K299" s="6">
        <v>122402.79</v>
      </c>
      <c r="L299" s="6">
        <v>1460</v>
      </c>
      <c r="M299" s="6">
        <v>780384.6</v>
      </c>
      <c r="N299" s="6">
        <f t="shared" si="25"/>
        <v>1694</v>
      </c>
      <c r="O299" s="6">
        <f t="shared" si="26"/>
        <v>905459.94</v>
      </c>
      <c r="P299" s="6">
        <v>18</v>
      </c>
      <c r="Q299" s="6">
        <v>8512</v>
      </c>
      <c r="R299" s="6">
        <f t="shared" si="27"/>
        <v>66.856974274250646</v>
      </c>
      <c r="S299" s="6">
        <f t="shared" si="28"/>
        <v>35735.721319329714</v>
      </c>
    </row>
    <row r="300" spans="1:19" s="1" customFormat="1" ht="15" hidden="1" customHeight="1" outlineLevel="1" x14ac:dyDescent="0.25">
      <c r="A300" s="2" t="s">
        <v>610</v>
      </c>
      <c r="B300" s="2" t="s">
        <v>611</v>
      </c>
      <c r="C300" s="13">
        <v>385.23</v>
      </c>
      <c r="D300" s="6">
        <v>473.73</v>
      </c>
      <c r="E300" s="6">
        <v>58.06</v>
      </c>
      <c r="F300" s="6"/>
      <c r="G300" s="6"/>
      <c r="H300" s="6"/>
      <c r="I300" s="6"/>
      <c r="J300" s="6">
        <v>467</v>
      </c>
      <c r="K300" s="6">
        <v>179902.41</v>
      </c>
      <c r="L300" s="6"/>
      <c r="M300" s="6"/>
      <c r="N300" s="6">
        <f t="shared" si="25"/>
        <v>467</v>
      </c>
      <c r="O300" s="6">
        <f t="shared" si="26"/>
        <v>179902.41</v>
      </c>
      <c r="P300" s="6">
        <v>11</v>
      </c>
      <c r="Q300" s="6">
        <v>4209</v>
      </c>
      <c r="R300" s="6">
        <f t="shared" si="27"/>
        <v>289.55715280856185</v>
      </c>
      <c r="S300" s="6">
        <f t="shared" si="28"/>
        <v>111546.10197644228</v>
      </c>
    </row>
    <row r="301" spans="1:19" s="1" customFormat="1" ht="15" hidden="1" customHeight="1" outlineLevel="1" x14ac:dyDescent="0.25">
      <c r="A301" s="2" t="s">
        <v>247</v>
      </c>
      <c r="B301" s="2" t="s">
        <v>248</v>
      </c>
      <c r="C301" s="13">
        <v>232.01</v>
      </c>
      <c r="D301" s="6">
        <v>1179.21</v>
      </c>
      <c r="E301" s="6">
        <v>61.29</v>
      </c>
      <c r="F301" s="6"/>
      <c r="G301" s="6"/>
      <c r="H301" s="6">
        <v>5</v>
      </c>
      <c r="I301" s="6">
        <v>1160.05</v>
      </c>
      <c r="J301" s="6">
        <v>462</v>
      </c>
      <c r="K301" s="6">
        <v>107188.62</v>
      </c>
      <c r="L301" s="6"/>
      <c r="M301" s="6"/>
      <c r="N301" s="6">
        <f t="shared" si="25"/>
        <v>467</v>
      </c>
      <c r="O301" s="6">
        <f t="shared" si="26"/>
        <v>108348.67</v>
      </c>
      <c r="P301" s="6">
        <v>11</v>
      </c>
      <c r="Q301" s="6">
        <v>2716</v>
      </c>
      <c r="R301" s="6">
        <f t="shared" si="27"/>
        <v>391.47820998804286</v>
      </c>
      <c r="S301" s="6">
        <f t="shared" si="28"/>
        <v>90826.859499325816</v>
      </c>
    </row>
    <row r="302" spans="1:19" s="1" customFormat="1" ht="15" hidden="1" customHeight="1" outlineLevel="1" x14ac:dyDescent="0.25">
      <c r="A302" s="2" t="s">
        <v>758</v>
      </c>
      <c r="B302" s="2" t="s">
        <v>759</v>
      </c>
      <c r="C302" s="13">
        <v>39.57</v>
      </c>
      <c r="D302" s="6">
        <v>358.81</v>
      </c>
      <c r="E302" s="6">
        <v>100</v>
      </c>
      <c r="F302" s="6"/>
      <c r="G302" s="6"/>
      <c r="H302" s="6">
        <v>94</v>
      </c>
      <c r="I302" s="6">
        <v>3719.58</v>
      </c>
      <c r="J302" s="6">
        <v>2739</v>
      </c>
      <c r="K302" s="6">
        <v>108382.23</v>
      </c>
      <c r="L302" s="6">
        <v>2160</v>
      </c>
      <c r="M302" s="6">
        <v>85471.2</v>
      </c>
      <c r="N302" s="6">
        <f t="shared" si="25"/>
        <v>4993</v>
      </c>
      <c r="O302" s="6">
        <f t="shared" si="26"/>
        <v>197573.01</v>
      </c>
      <c r="P302" s="6">
        <v>266</v>
      </c>
      <c r="Q302" s="6">
        <v>10788</v>
      </c>
      <c r="R302" s="6">
        <f t="shared" si="27"/>
        <v>1364.9580279256431</v>
      </c>
      <c r="S302" s="6">
        <f t="shared" si="28"/>
        <v>54011.389165017703</v>
      </c>
    </row>
    <row r="303" spans="1:19" s="1" customFormat="1" ht="15" hidden="1" customHeight="1" outlineLevel="1" x14ac:dyDescent="0.25">
      <c r="A303" s="2" t="s">
        <v>490</v>
      </c>
      <c r="B303" s="2" t="s">
        <v>491</v>
      </c>
      <c r="C303" s="13">
        <v>83.34</v>
      </c>
      <c r="D303" s="6">
        <v>139.05000000000001</v>
      </c>
      <c r="E303" s="6">
        <v>100</v>
      </c>
      <c r="F303" s="6"/>
      <c r="G303" s="6"/>
      <c r="H303" s="6">
        <v>15</v>
      </c>
      <c r="I303" s="6">
        <v>1250.0999999999999</v>
      </c>
      <c r="J303" s="6">
        <v>234</v>
      </c>
      <c r="K303" s="6">
        <v>19501.560000000001</v>
      </c>
      <c r="L303" s="6"/>
      <c r="M303" s="6"/>
      <c r="N303" s="6">
        <f t="shared" si="25"/>
        <v>249</v>
      </c>
      <c r="O303" s="6">
        <f t="shared" si="26"/>
        <v>20751.66</v>
      </c>
      <c r="P303" s="6">
        <v>88</v>
      </c>
      <c r="Q303" s="6">
        <v>7670</v>
      </c>
      <c r="R303" s="6"/>
      <c r="S303" s="6"/>
    </row>
    <row r="304" spans="1:19" s="1" customFormat="1" ht="15" hidden="1" customHeight="1" outlineLevel="1" x14ac:dyDescent="0.25">
      <c r="A304" s="2" t="s">
        <v>494</v>
      </c>
      <c r="B304" s="2" t="s">
        <v>495</v>
      </c>
      <c r="C304" s="13">
        <v>106.17</v>
      </c>
      <c r="D304" s="6">
        <v>138.6</v>
      </c>
      <c r="E304" s="6">
        <v>61.29</v>
      </c>
      <c r="F304" s="6"/>
      <c r="G304" s="6"/>
      <c r="H304" s="6">
        <v>20</v>
      </c>
      <c r="I304" s="6">
        <v>2123.4</v>
      </c>
      <c r="J304" s="6">
        <v>30</v>
      </c>
      <c r="K304" s="6">
        <v>3185.1</v>
      </c>
      <c r="L304" s="6">
        <v>500</v>
      </c>
      <c r="M304" s="6">
        <v>53085</v>
      </c>
      <c r="N304" s="6">
        <f t="shared" si="25"/>
        <v>550</v>
      </c>
      <c r="O304" s="6">
        <f t="shared" si="26"/>
        <v>58393.5</v>
      </c>
      <c r="P304" s="6">
        <v>17</v>
      </c>
      <c r="Q304" s="6">
        <v>1808</v>
      </c>
      <c r="R304" s="6"/>
      <c r="S304" s="6"/>
    </row>
    <row r="305" spans="1:19" s="1" customFormat="1" ht="15" hidden="1" customHeight="1" outlineLevel="1" x14ac:dyDescent="0.25">
      <c r="A305" s="2" t="s">
        <v>121</v>
      </c>
      <c r="B305" s="2" t="s">
        <v>122</v>
      </c>
      <c r="C305" s="13">
        <v>159.62</v>
      </c>
      <c r="D305" s="6">
        <v>806.33</v>
      </c>
      <c r="E305" s="6">
        <v>100</v>
      </c>
      <c r="F305" s="6">
        <v>30</v>
      </c>
      <c r="G305" s="6">
        <v>4788.6000000000004</v>
      </c>
      <c r="H305" s="6">
        <v>8</v>
      </c>
      <c r="I305" s="6">
        <v>1276.96</v>
      </c>
      <c r="J305" s="6">
        <v>734</v>
      </c>
      <c r="K305" s="6">
        <v>117161.08</v>
      </c>
      <c r="L305" s="6"/>
      <c r="M305" s="6"/>
      <c r="N305" s="6">
        <f t="shared" si="25"/>
        <v>772</v>
      </c>
      <c r="O305" s="6">
        <f t="shared" si="26"/>
        <v>123226.64</v>
      </c>
      <c r="P305" s="6">
        <v>23</v>
      </c>
      <c r="Q305" s="6">
        <v>3736</v>
      </c>
      <c r="R305" s="6">
        <f t="shared" si="27"/>
        <v>570.14649089082639</v>
      </c>
      <c r="S305" s="6">
        <f t="shared" si="28"/>
        <v>91006.782875993711</v>
      </c>
    </row>
    <row r="306" spans="1:19" s="1" customFormat="1" ht="15" hidden="1" customHeight="1" outlineLevel="1" x14ac:dyDescent="0.25">
      <c r="A306" s="2" t="s">
        <v>957</v>
      </c>
      <c r="B306" s="2" t="s">
        <v>958</v>
      </c>
      <c r="C306" s="13">
        <v>75.5</v>
      </c>
      <c r="D306" s="6">
        <v>185.94</v>
      </c>
      <c r="E306" s="6">
        <v>43.01</v>
      </c>
      <c r="F306" s="6"/>
      <c r="G306" s="6"/>
      <c r="H306" s="6">
        <v>10</v>
      </c>
      <c r="I306" s="6">
        <v>755</v>
      </c>
      <c r="J306" s="6">
        <v>358</v>
      </c>
      <c r="K306" s="6">
        <v>27029</v>
      </c>
      <c r="L306" s="6">
        <v>500</v>
      </c>
      <c r="M306" s="6">
        <v>37750</v>
      </c>
      <c r="N306" s="6">
        <f t="shared" si="25"/>
        <v>868</v>
      </c>
      <c r="O306" s="6">
        <f t="shared" si="26"/>
        <v>65534</v>
      </c>
      <c r="P306" s="6">
        <v>44</v>
      </c>
      <c r="Q306" s="6">
        <v>2906</v>
      </c>
      <c r="R306" s="6">
        <f t="shared" si="27"/>
        <v>11.43659244917715</v>
      </c>
      <c r="S306" s="6">
        <f t="shared" si="28"/>
        <v>863.46272991287481</v>
      </c>
    </row>
    <row r="307" spans="1:19" s="1" customFormat="1" ht="15" hidden="1" customHeight="1" outlineLevel="1" x14ac:dyDescent="0.25">
      <c r="A307" s="2" t="s">
        <v>748</v>
      </c>
      <c r="B307" s="2" t="s">
        <v>749</v>
      </c>
      <c r="C307" s="13">
        <v>182.16</v>
      </c>
      <c r="D307" s="6">
        <v>1153.6300000000001</v>
      </c>
      <c r="E307" s="6">
        <v>100</v>
      </c>
      <c r="F307" s="6"/>
      <c r="G307" s="6"/>
      <c r="H307" s="6"/>
      <c r="I307" s="6"/>
      <c r="J307" s="6">
        <v>2355</v>
      </c>
      <c r="K307" s="6">
        <v>428986.8</v>
      </c>
      <c r="L307" s="6"/>
      <c r="M307" s="6"/>
      <c r="N307" s="6">
        <f t="shared" si="25"/>
        <v>2355</v>
      </c>
      <c r="O307" s="6">
        <f t="shared" si="26"/>
        <v>428986.8</v>
      </c>
      <c r="P307" s="6">
        <v>30</v>
      </c>
      <c r="Q307" s="6">
        <v>5779</v>
      </c>
      <c r="R307" s="6">
        <f t="shared" si="27"/>
        <v>1987.5511645848321</v>
      </c>
      <c r="S307" s="6">
        <f t="shared" si="28"/>
        <v>362052.32014077302</v>
      </c>
    </row>
    <row r="308" spans="1:19" s="1" customFormat="1" ht="15" hidden="1" customHeight="1" outlineLevel="1" x14ac:dyDescent="0.25">
      <c r="A308" s="2" t="s">
        <v>578</v>
      </c>
      <c r="B308" s="2" t="s">
        <v>579</v>
      </c>
      <c r="C308" s="13">
        <v>203.41</v>
      </c>
      <c r="D308" s="6">
        <v>314</v>
      </c>
      <c r="E308" s="6">
        <v>100</v>
      </c>
      <c r="F308" s="6"/>
      <c r="G308" s="6"/>
      <c r="H308" s="6">
        <v>10</v>
      </c>
      <c r="I308" s="6">
        <v>2034.1</v>
      </c>
      <c r="J308" s="6">
        <v>92</v>
      </c>
      <c r="K308" s="6">
        <v>18713.72</v>
      </c>
      <c r="L308" s="6"/>
      <c r="M308" s="6"/>
      <c r="N308" s="6">
        <f t="shared" si="25"/>
        <v>102</v>
      </c>
      <c r="O308" s="6">
        <f t="shared" si="26"/>
        <v>20747.82</v>
      </c>
      <c r="P308" s="6">
        <v>3</v>
      </c>
      <c r="Q308" s="6">
        <v>657</v>
      </c>
      <c r="R308" s="6">
        <f t="shared" si="27"/>
        <v>39.261146496815286</v>
      </c>
      <c r="S308" s="6">
        <f t="shared" si="28"/>
        <v>7986.1098089171974</v>
      </c>
    </row>
    <row r="309" spans="1:19" s="1" customFormat="1" ht="15" hidden="1" customHeight="1" outlineLevel="1" x14ac:dyDescent="0.25">
      <c r="A309" s="2" t="s">
        <v>552</v>
      </c>
      <c r="B309" s="2" t="s">
        <v>553</v>
      </c>
      <c r="C309" s="13">
        <v>189.85</v>
      </c>
      <c r="D309" s="6">
        <v>283.89999999999998</v>
      </c>
      <c r="E309" s="6">
        <v>98.92</v>
      </c>
      <c r="F309" s="6"/>
      <c r="G309" s="6"/>
      <c r="H309" s="6">
        <v>51</v>
      </c>
      <c r="I309" s="6">
        <v>9682.35</v>
      </c>
      <c r="J309" s="6">
        <v>73</v>
      </c>
      <c r="K309" s="6">
        <v>13859.05</v>
      </c>
      <c r="L309" s="6">
        <v>1000</v>
      </c>
      <c r="M309" s="6">
        <v>189850</v>
      </c>
      <c r="N309" s="6">
        <f t="shared" si="25"/>
        <v>1124</v>
      </c>
      <c r="O309" s="6">
        <f t="shared" si="26"/>
        <v>213391.4</v>
      </c>
      <c r="P309" s="6">
        <v>17</v>
      </c>
      <c r="Q309" s="6">
        <v>3367</v>
      </c>
      <c r="R309" s="6">
        <f t="shared" si="27"/>
        <v>26.716097217330045</v>
      </c>
      <c r="S309" s="6">
        <f t="shared" si="28"/>
        <v>5072.0510567101092</v>
      </c>
    </row>
    <row r="310" spans="1:19" s="1" customFormat="1" ht="15" hidden="1" customHeight="1" outlineLevel="1" x14ac:dyDescent="0.25">
      <c r="A310" s="2" t="s">
        <v>1307</v>
      </c>
      <c r="B310" s="2" t="s">
        <v>1308</v>
      </c>
      <c r="C310" s="13">
        <v>93.95</v>
      </c>
      <c r="D310" s="6">
        <v>838.9</v>
      </c>
      <c r="E310" s="6">
        <v>100</v>
      </c>
      <c r="F310" s="6">
        <v>5</v>
      </c>
      <c r="G310" s="6">
        <v>469.75</v>
      </c>
      <c r="H310" s="6">
        <v>3</v>
      </c>
      <c r="I310" s="6">
        <v>281.85000000000002</v>
      </c>
      <c r="J310" s="6">
        <v>408</v>
      </c>
      <c r="K310" s="6">
        <v>38331.599999999999</v>
      </c>
      <c r="L310" s="6"/>
      <c r="M310" s="6"/>
      <c r="N310" s="6">
        <f t="shared" si="25"/>
        <v>416</v>
      </c>
      <c r="O310" s="6">
        <f t="shared" si="26"/>
        <v>39083.200000000004</v>
      </c>
      <c r="P310" s="6">
        <v>15</v>
      </c>
      <c r="Q310" s="6">
        <v>1507</v>
      </c>
      <c r="R310" s="6">
        <f t="shared" si="27"/>
        <v>320.45678865180594</v>
      </c>
      <c r="S310" s="6">
        <f t="shared" si="28"/>
        <v>30106.91529383717</v>
      </c>
    </row>
    <row r="311" spans="1:19" s="1" customFormat="1" ht="15" hidden="1" customHeight="1" outlineLevel="1" x14ac:dyDescent="0.25">
      <c r="A311" s="2" t="s">
        <v>379</v>
      </c>
      <c r="B311" s="2" t="s">
        <v>380</v>
      </c>
      <c r="C311" s="13">
        <v>322.29000000000002</v>
      </c>
      <c r="D311" s="6">
        <v>488.47</v>
      </c>
      <c r="E311" s="6">
        <v>100</v>
      </c>
      <c r="F311" s="6"/>
      <c r="G311" s="6"/>
      <c r="H311" s="6">
        <v>1</v>
      </c>
      <c r="I311" s="6">
        <v>322.29000000000002</v>
      </c>
      <c r="J311" s="6">
        <v>383</v>
      </c>
      <c r="K311" s="6">
        <v>123437.07</v>
      </c>
      <c r="L311" s="6"/>
      <c r="M311" s="6"/>
      <c r="N311" s="6">
        <f t="shared" si="25"/>
        <v>384</v>
      </c>
      <c r="O311" s="6">
        <f t="shared" si="26"/>
        <v>123759.36000000002</v>
      </c>
      <c r="P311" s="6">
        <v>17</v>
      </c>
      <c r="Q311" s="6">
        <v>5816</v>
      </c>
      <c r="R311" s="6">
        <f t="shared" si="27"/>
        <v>241.8654369766823</v>
      </c>
      <c r="S311" s="6">
        <f t="shared" si="28"/>
        <v>77950.811683214939</v>
      </c>
    </row>
    <row r="312" spans="1:19" s="1" customFormat="1" ht="15" hidden="1" customHeight="1" outlineLevel="1" x14ac:dyDescent="0.25">
      <c r="A312" s="2" t="s">
        <v>672</v>
      </c>
      <c r="B312" s="2" t="s">
        <v>673</v>
      </c>
      <c r="C312" s="13">
        <v>256.73</v>
      </c>
      <c r="D312" s="6">
        <v>331.83</v>
      </c>
      <c r="E312" s="6">
        <v>99.14</v>
      </c>
      <c r="F312" s="6">
        <v>5</v>
      </c>
      <c r="G312" s="6">
        <v>1283.6500000000001</v>
      </c>
      <c r="H312" s="6"/>
      <c r="I312" s="6"/>
      <c r="J312" s="6">
        <v>237</v>
      </c>
      <c r="K312" s="6">
        <v>60845.01</v>
      </c>
      <c r="L312" s="6"/>
      <c r="M312" s="6"/>
      <c r="N312" s="6">
        <f t="shared" si="25"/>
        <v>242</v>
      </c>
      <c r="O312" s="6">
        <f t="shared" si="26"/>
        <v>62128.66</v>
      </c>
      <c r="P312" s="6">
        <v>8</v>
      </c>
      <c r="Q312" s="6">
        <v>1990</v>
      </c>
      <c r="R312" s="6">
        <f t="shared" si="27"/>
        <v>108.44019528071603</v>
      </c>
      <c r="S312" s="6">
        <f t="shared" si="28"/>
        <v>27839.851334418228</v>
      </c>
    </row>
    <row r="313" spans="1:19" s="1" customFormat="1" ht="15" hidden="1" customHeight="1" outlineLevel="1" x14ac:dyDescent="0.25">
      <c r="A313" s="2" t="s">
        <v>7</v>
      </c>
      <c r="B313" s="2" t="s">
        <v>8</v>
      </c>
      <c r="C313" s="13">
        <v>276.69</v>
      </c>
      <c r="D313" s="6">
        <v>2997.5</v>
      </c>
      <c r="E313" s="6">
        <v>100</v>
      </c>
      <c r="F313" s="6"/>
      <c r="G313" s="6"/>
      <c r="H313" s="6">
        <v>5</v>
      </c>
      <c r="I313" s="6">
        <v>1383.45</v>
      </c>
      <c r="J313" s="6">
        <v>1516</v>
      </c>
      <c r="K313" s="6">
        <v>419462.04</v>
      </c>
      <c r="L313" s="6"/>
      <c r="M313" s="6"/>
      <c r="N313" s="6">
        <f t="shared" si="25"/>
        <v>1521</v>
      </c>
      <c r="O313" s="6">
        <f t="shared" si="26"/>
        <v>420845.49</v>
      </c>
      <c r="P313" s="6">
        <v>14</v>
      </c>
      <c r="Q313" s="6">
        <v>4205</v>
      </c>
      <c r="R313" s="6">
        <f t="shared" si="27"/>
        <v>1424.9641367806507</v>
      </c>
      <c r="S313" s="6">
        <f t="shared" si="28"/>
        <v>394273.32700583828</v>
      </c>
    </row>
    <row r="314" spans="1:19" s="1" customFormat="1" ht="15" hidden="1" customHeight="1" outlineLevel="1" x14ac:dyDescent="0.25">
      <c r="A314" s="2" t="s">
        <v>434</v>
      </c>
      <c r="B314" s="2" t="s">
        <v>435</v>
      </c>
      <c r="C314" s="13">
        <v>240.23</v>
      </c>
      <c r="D314" s="6">
        <v>4437.42</v>
      </c>
      <c r="E314" s="6">
        <v>100</v>
      </c>
      <c r="F314" s="6">
        <v>5</v>
      </c>
      <c r="G314" s="6">
        <v>1201.1500000000001</v>
      </c>
      <c r="H314" s="6">
        <v>5</v>
      </c>
      <c r="I314" s="6">
        <v>1201.1500000000001</v>
      </c>
      <c r="J314" s="6">
        <v>2121</v>
      </c>
      <c r="K314" s="6">
        <v>509527.83</v>
      </c>
      <c r="L314" s="6"/>
      <c r="M314" s="6"/>
      <c r="N314" s="6">
        <f t="shared" si="25"/>
        <v>2131</v>
      </c>
      <c r="O314" s="6">
        <f t="shared" si="26"/>
        <v>511930.13</v>
      </c>
      <c r="P314" s="6">
        <v>12</v>
      </c>
      <c r="Q314" s="6">
        <v>2877</v>
      </c>
      <c r="R314" s="6">
        <f t="shared" si="27"/>
        <v>2034.9635193423205</v>
      </c>
      <c r="S314" s="6">
        <f t="shared" si="28"/>
        <v>488859.28625160566</v>
      </c>
    </row>
    <row r="315" spans="1:19" s="1" customFormat="1" ht="15" hidden="1" customHeight="1" outlineLevel="1" x14ac:dyDescent="0.25">
      <c r="A315" s="2" t="s">
        <v>420</v>
      </c>
      <c r="B315" s="2" t="s">
        <v>421</v>
      </c>
      <c r="C315" s="13">
        <v>105.75</v>
      </c>
      <c r="D315" s="6">
        <v>849</v>
      </c>
      <c r="E315" s="6">
        <v>100</v>
      </c>
      <c r="F315" s="6"/>
      <c r="G315" s="6"/>
      <c r="H315" s="6">
        <v>120</v>
      </c>
      <c r="I315" s="6">
        <v>12690</v>
      </c>
      <c r="J315" s="6">
        <v>1265</v>
      </c>
      <c r="K315" s="6">
        <v>133773.75</v>
      </c>
      <c r="L315" s="6"/>
      <c r="M315" s="6"/>
      <c r="N315" s="6">
        <f t="shared" si="25"/>
        <v>1385</v>
      </c>
      <c r="O315" s="6">
        <f t="shared" si="26"/>
        <v>146463.75</v>
      </c>
      <c r="P315" s="6">
        <v>7</v>
      </c>
      <c r="Q315" s="6">
        <v>745</v>
      </c>
      <c r="R315" s="6">
        <f t="shared" si="27"/>
        <v>996.8021201413427</v>
      </c>
      <c r="S315" s="6">
        <f t="shared" si="28"/>
        <v>105411.82420494698</v>
      </c>
    </row>
    <row r="316" spans="1:19" s="1" customFormat="1" ht="15" hidden="1" customHeight="1" outlineLevel="1" x14ac:dyDescent="0.25">
      <c r="A316" s="2" t="s">
        <v>1303</v>
      </c>
      <c r="B316" s="2" t="s">
        <v>1304</v>
      </c>
      <c r="C316" s="13">
        <v>149.38</v>
      </c>
      <c r="D316" s="6">
        <v>145.93</v>
      </c>
      <c r="E316" s="6">
        <v>100</v>
      </c>
      <c r="F316" s="6"/>
      <c r="G316" s="6"/>
      <c r="H316" s="6">
        <v>5</v>
      </c>
      <c r="I316" s="6">
        <v>746.9</v>
      </c>
      <c r="J316" s="6">
        <v>107</v>
      </c>
      <c r="K316" s="6">
        <v>15983.66</v>
      </c>
      <c r="L316" s="6"/>
      <c r="M316" s="6"/>
      <c r="N316" s="6">
        <f t="shared" si="25"/>
        <v>112</v>
      </c>
      <c r="O316" s="6">
        <f t="shared" si="26"/>
        <v>16730.559999999998</v>
      </c>
      <c r="P316" s="6">
        <v>27</v>
      </c>
      <c r="Q316" s="6">
        <v>4210</v>
      </c>
      <c r="R316" s="6"/>
      <c r="S316" s="6"/>
    </row>
    <row r="317" spans="1:19" s="1" customFormat="1" ht="15" hidden="1" customHeight="1" outlineLevel="1" x14ac:dyDescent="0.25">
      <c r="A317" s="2" t="s">
        <v>694</v>
      </c>
      <c r="B317" s="2" t="s">
        <v>695</v>
      </c>
      <c r="C317" s="13">
        <v>450.89</v>
      </c>
      <c r="D317" s="6">
        <v>186.82</v>
      </c>
      <c r="E317" s="6">
        <v>66.67</v>
      </c>
      <c r="F317" s="6"/>
      <c r="G317" s="6"/>
      <c r="H317" s="6">
        <v>10</v>
      </c>
      <c r="I317" s="6">
        <v>4508.8999999999996</v>
      </c>
      <c r="J317" s="6">
        <v>6</v>
      </c>
      <c r="K317" s="6">
        <v>2705.34</v>
      </c>
      <c r="L317" s="6">
        <v>500</v>
      </c>
      <c r="M317" s="6">
        <v>225445</v>
      </c>
      <c r="N317" s="6">
        <f t="shared" si="25"/>
        <v>516</v>
      </c>
      <c r="O317" s="6">
        <f t="shared" si="26"/>
        <v>232659.24</v>
      </c>
      <c r="P317" s="6">
        <v>11</v>
      </c>
      <c r="Q317" s="6">
        <v>5593</v>
      </c>
      <c r="R317" s="6"/>
      <c r="S317" s="6"/>
    </row>
    <row r="318" spans="1:19" s="1" customFormat="1" ht="15" hidden="1" customHeight="1" outlineLevel="1" x14ac:dyDescent="0.25">
      <c r="A318" s="2" t="s">
        <v>744</v>
      </c>
      <c r="B318" s="2" t="s">
        <v>745</v>
      </c>
      <c r="C318" s="13">
        <v>309.67</v>
      </c>
      <c r="D318" s="6">
        <v>1870.17</v>
      </c>
      <c r="E318" s="6">
        <v>100</v>
      </c>
      <c r="F318" s="6"/>
      <c r="G318" s="6"/>
      <c r="H318" s="6"/>
      <c r="I318" s="6"/>
      <c r="J318" s="6">
        <v>1059</v>
      </c>
      <c r="K318" s="6">
        <v>327940.53000000003</v>
      </c>
      <c r="L318" s="6"/>
      <c r="M318" s="6"/>
      <c r="N318" s="6">
        <f t="shared" si="25"/>
        <v>1059</v>
      </c>
      <c r="O318" s="6">
        <f t="shared" si="26"/>
        <v>327940.53000000003</v>
      </c>
      <c r="P318" s="6">
        <v>18</v>
      </c>
      <c r="Q318" s="6">
        <v>5747</v>
      </c>
      <c r="R318" s="6">
        <f t="shared" si="27"/>
        <v>957.07343717416074</v>
      </c>
      <c r="S318" s="6">
        <f t="shared" si="28"/>
        <v>296376.93128972239</v>
      </c>
    </row>
    <row r="319" spans="1:19" s="1" customFormat="1" ht="15" hidden="1" customHeight="1" outlineLevel="1" x14ac:dyDescent="0.25">
      <c r="A319" s="2" t="s">
        <v>478</v>
      </c>
      <c r="B319" s="2" t="s">
        <v>479</v>
      </c>
      <c r="C319" s="13">
        <v>46.12</v>
      </c>
      <c r="D319" s="6">
        <v>2263.33</v>
      </c>
      <c r="E319" s="6">
        <v>100</v>
      </c>
      <c r="F319" s="6"/>
      <c r="G319" s="6"/>
      <c r="H319" s="6">
        <v>65</v>
      </c>
      <c r="I319" s="6">
        <v>2997.8</v>
      </c>
      <c r="J319" s="6">
        <v>1610</v>
      </c>
      <c r="K319" s="6">
        <v>74253.2</v>
      </c>
      <c r="L319" s="6"/>
      <c r="M319" s="6"/>
      <c r="N319" s="6">
        <f t="shared" si="25"/>
        <v>1675</v>
      </c>
      <c r="O319" s="6">
        <f t="shared" si="26"/>
        <v>77251</v>
      </c>
      <c r="P319" s="6">
        <v>18</v>
      </c>
      <c r="Q319" s="6">
        <v>899</v>
      </c>
      <c r="R319" s="6">
        <f t="shared" si="27"/>
        <v>1481.9585743130697</v>
      </c>
      <c r="S319" s="6">
        <f t="shared" si="28"/>
        <v>68347.929447318777</v>
      </c>
    </row>
    <row r="320" spans="1:19" s="1" customFormat="1" ht="15" hidden="1" customHeight="1" outlineLevel="1" x14ac:dyDescent="0.25">
      <c r="A320" s="2" t="s">
        <v>1157</v>
      </c>
      <c r="B320" s="2" t="s">
        <v>1158</v>
      </c>
      <c r="C320" s="13">
        <v>232.01</v>
      </c>
      <c r="D320" s="6">
        <v>1062.8900000000001</v>
      </c>
      <c r="E320" s="6">
        <v>61.29</v>
      </c>
      <c r="F320" s="6"/>
      <c r="G320" s="6"/>
      <c r="H320" s="6"/>
      <c r="I320" s="6"/>
      <c r="J320" s="6">
        <v>181</v>
      </c>
      <c r="K320" s="6">
        <v>41993.81</v>
      </c>
      <c r="L320" s="6"/>
      <c r="M320" s="6"/>
      <c r="N320" s="6">
        <f t="shared" si="25"/>
        <v>181</v>
      </c>
      <c r="O320" s="6">
        <f t="shared" si="26"/>
        <v>41993.81</v>
      </c>
      <c r="P320" s="6">
        <v>6</v>
      </c>
      <c r="Q320" s="6">
        <v>1549</v>
      </c>
      <c r="R320" s="6">
        <f t="shared" si="27"/>
        <v>150.34772177741817</v>
      </c>
      <c r="S320" s="6">
        <f t="shared" si="28"/>
        <v>34882.174929578789</v>
      </c>
    </row>
    <row r="321" spans="1:19" s="1" customFormat="1" ht="15" hidden="1" customHeight="1" outlineLevel="1" x14ac:dyDescent="0.25">
      <c r="A321" s="2" t="s">
        <v>456</v>
      </c>
      <c r="B321" s="2" t="s">
        <v>457</v>
      </c>
      <c r="C321" s="13">
        <v>604.30999999999995</v>
      </c>
      <c r="D321" s="6">
        <v>673.49</v>
      </c>
      <c r="E321" s="6">
        <v>66.67</v>
      </c>
      <c r="F321" s="6">
        <v>3</v>
      </c>
      <c r="G321" s="6">
        <v>1812.93</v>
      </c>
      <c r="H321" s="6">
        <v>5</v>
      </c>
      <c r="I321" s="6">
        <v>3021.55</v>
      </c>
      <c r="J321" s="6">
        <v>309</v>
      </c>
      <c r="K321" s="6">
        <v>186731.79</v>
      </c>
      <c r="L321" s="6"/>
      <c r="M321" s="6"/>
      <c r="N321" s="6">
        <f t="shared" si="25"/>
        <v>317</v>
      </c>
      <c r="O321" s="6">
        <f t="shared" si="26"/>
        <v>191566.27</v>
      </c>
      <c r="P321" s="6">
        <v>14</v>
      </c>
      <c r="Q321" s="6">
        <v>8988</v>
      </c>
      <c r="R321" s="6">
        <f t="shared" si="27"/>
        <v>226.41525486644196</v>
      </c>
      <c r="S321" s="6">
        <f t="shared" si="28"/>
        <v>136825.00266833953</v>
      </c>
    </row>
    <row r="322" spans="1:19" s="1" customFormat="1" ht="15" hidden="1" customHeight="1" outlineLevel="1" x14ac:dyDescent="0.25">
      <c r="A322" s="2" t="s">
        <v>520</v>
      </c>
      <c r="B322" s="2" t="s">
        <v>521</v>
      </c>
      <c r="C322" s="13">
        <v>298.11</v>
      </c>
      <c r="D322" s="6">
        <v>476.32</v>
      </c>
      <c r="E322" s="6">
        <v>100</v>
      </c>
      <c r="F322" s="6"/>
      <c r="G322" s="6"/>
      <c r="H322" s="6">
        <v>5</v>
      </c>
      <c r="I322" s="6">
        <v>1490.55</v>
      </c>
      <c r="J322" s="6">
        <v>112</v>
      </c>
      <c r="K322" s="6">
        <v>33388.32</v>
      </c>
      <c r="L322" s="6"/>
      <c r="M322" s="6"/>
      <c r="N322" s="6">
        <f t="shared" si="25"/>
        <v>117</v>
      </c>
      <c r="O322" s="6">
        <f t="shared" si="26"/>
        <v>34878.870000000003</v>
      </c>
      <c r="P322" s="6">
        <v>9</v>
      </c>
      <c r="Q322" s="6">
        <v>2883</v>
      </c>
      <c r="R322" s="6">
        <f t="shared" si="27"/>
        <v>69.675512260665101</v>
      </c>
      <c r="S322" s="6">
        <f t="shared" si="28"/>
        <v>20770.966960026875</v>
      </c>
    </row>
    <row r="323" spans="1:19" s="1" customFormat="1" ht="15" hidden="1" customHeight="1" outlineLevel="1" x14ac:dyDescent="0.25">
      <c r="A323" s="2" t="s">
        <v>939</v>
      </c>
      <c r="B323" s="2" t="s">
        <v>940</v>
      </c>
      <c r="C323" s="13">
        <v>248.45</v>
      </c>
      <c r="D323" s="6">
        <v>152.29</v>
      </c>
      <c r="E323" s="6">
        <v>100</v>
      </c>
      <c r="F323" s="6"/>
      <c r="G323" s="6"/>
      <c r="H323" s="6"/>
      <c r="I323" s="6"/>
      <c r="J323" s="6">
        <v>48</v>
      </c>
      <c r="K323" s="6">
        <v>11925.6</v>
      </c>
      <c r="L323" s="6"/>
      <c r="M323" s="6"/>
      <c r="N323" s="6">
        <f t="shared" si="25"/>
        <v>48</v>
      </c>
      <c r="O323" s="6">
        <f t="shared" si="26"/>
        <v>11925.599999999999</v>
      </c>
      <c r="P323" s="6">
        <v>19</v>
      </c>
      <c r="Q323" s="6">
        <v>4925</v>
      </c>
      <c r="R323" s="6"/>
      <c r="S323" s="6"/>
    </row>
    <row r="324" spans="1:19" s="1" customFormat="1" ht="15" hidden="1" customHeight="1" outlineLevel="1" x14ac:dyDescent="0.25">
      <c r="A324" s="2" t="s">
        <v>393</v>
      </c>
      <c r="B324" s="2" t="s">
        <v>394</v>
      </c>
      <c r="C324" s="13">
        <v>405.01</v>
      </c>
      <c r="D324" s="6">
        <v>35.08</v>
      </c>
      <c r="E324" s="6">
        <v>76.34</v>
      </c>
      <c r="F324" s="6">
        <v>8</v>
      </c>
      <c r="G324" s="6">
        <v>3240.08</v>
      </c>
      <c r="H324" s="6"/>
      <c r="I324" s="6"/>
      <c r="J324" s="6">
        <v>0</v>
      </c>
      <c r="K324" s="6">
        <v>0</v>
      </c>
      <c r="L324" s="6">
        <v>1440</v>
      </c>
      <c r="M324" s="6">
        <v>583214.4</v>
      </c>
      <c r="N324" s="6">
        <f t="shared" si="25"/>
        <v>1448</v>
      </c>
      <c r="O324" s="6">
        <f t="shared" si="26"/>
        <v>586454.48</v>
      </c>
      <c r="P324" s="6">
        <v>53</v>
      </c>
      <c r="Q324" s="6">
        <v>22040</v>
      </c>
      <c r="R324" s="6"/>
      <c r="S324" s="6"/>
    </row>
    <row r="325" spans="1:19" s="1" customFormat="1" ht="15" hidden="1" customHeight="1" outlineLevel="1" x14ac:dyDescent="0.25">
      <c r="A325" s="2" t="s">
        <v>891</v>
      </c>
      <c r="B325" s="2" t="s">
        <v>892</v>
      </c>
      <c r="C325" s="13">
        <v>280</v>
      </c>
      <c r="D325" s="6">
        <v>798.55</v>
      </c>
      <c r="E325" s="6">
        <v>100</v>
      </c>
      <c r="F325" s="6"/>
      <c r="G325" s="6"/>
      <c r="H325" s="6"/>
      <c r="I325" s="6"/>
      <c r="J325" s="6">
        <v>88</v>
      </c>
      <c r="K325" s="6">
        <v>24640</v>
      </c>
      <c r="L325" s="6">
        <v>300</v>
      </c>
      <c r="M325" s="6">
        <v>84000</v>
      </c>
      <c r="N325" s="6">
        <f t="shared" si="25"/>
        <v>388</v>
      </c>
      <c r="O325" s="6">
        <f t="shared" si="26"/>
        <v>108640</v>
      </c>
      <c r="P325" s="6">
        <v>4</v>
      </c>
      <c r="Q325" s="6">
        <v>1044</v>
      </c>
      <c r="R325" s="6">
        <f t="shared" si="27"/>
        <v>68.164047335796127</v>
      </c>
      <c r="S325" s="6">
        <f t="shared" si="28"/>
        <v>19085.933254022915</v>
      </c>
    </row>
    <row r="326" spans="1:19" s="1" customFormat="1" ht="15" hidden="1" customHeight="1" outlineLevel="1" x14ac:dyDescent="0.25">
      <c r="A326" s="2" t="s">
        <v>736</v>
      </c>
      <c r="B326" s="2" t="s">
        <v>737</v>
      </c>
      <c r="C326" s="13">
        <v>242.16</v>
      </c>
      <c r="D326" s="6">
        <v>433.63</v>
      </c>
      <c r="E326" s="6">
        <v>100</v>
      </c>
      <c r="F326" s="6"/>
      <c r="G326" s="6"/>
      <c r="H326" s="6"/>
      <c r="I326" s="6"/>
      <c r="J326" s="6">
        <v>830</v>
      </c>
      <c r="K326" s="6">
        <v>200992.8</v>
      </c>
      <c r="L326" s="6"/>
      <c r="M326" s="6"/>
      <c r="N326" s="6">
        <f t="shared" si="25"/>
        <v>830</v>
      </c>
      <c r="O326" s="6">
        <f t="shared" si="26"/>
        <v>200992.8</v>
      </c>
      <c r="P326" s="6">
        <v>58</v>
      </c>
      <c r="Q326" s="6">
        <v>13301</v>
      </c>
      <c r="R326" s="6">
        <f t="shared" si="27"/>
        <v>485.46664206812261</v>
      </c>
      <c r="S326" s="6">
        <f t="shared" si="28"/>
        <v>117560.60204321657</v>
      </c>
    </row>
    <row r="327" spans="1:19" s="1" customFormat="1" ht="15" hidden="1" customHeight="1" outlineLevel="1" x14ac:dyDescent="0.25">
      <c r="A327" s="2" t="s">
        <v>269</v>
      </c>
      <c r="B327" s="2" t="s">
        <v>270</v>
      </c>
      <c r="C327" s="13">
        <v>381.6</v>
      </c>
      <c r="D327" s="6">
        <v>472.71</v>
      </c>
      <c r="E327" s="6">
        <v>100</v>
      </c>
      <c r="F327" s="6"/>
      <c r="G327" s="6"/>
      <c r="H327" s="6"/>
      <c r="I327" s="6"/>
      <c r="J327" s="6">
        <v>426</v>
      </c>
      <c r="K327" s="6">
        <v>162561.60000000001</v>
      </c>
      <c r="L327" s="6"/>
      <c r="M327" s="6"/>
      <c r="N327" s="6">
        <f t="shared" si="25"/>
        <v>426</v>
      </c>
      <c r="O327" s="6">
        <f t="shared" si="26"/>
        <v>162561.60000000001</v>
      </c>
      <c r="P327" s="6">
        <v>40</v>
      </c>
      <c r="Q327" s="6">
        <v>15760</v>
      </c>
      <c r="R327" s="6">
        <f t="shared" si="27"/>
        <v>263.78638065621629</v>
      </c>
      <c r="S327" s="6">
        <f t="shared" si="28"/>
        <v>100660.88285841215</v>
      </c>
    </row>
    <row r="328" spans="1:19" s="1" customFormat="1" ht="15" hidden="1" customHeight="1" outlineLevel="1" x14ac:dyDescent="0.25">
      <c r="A328" s="2" t="s">
        <v>652</v>
      </c>
      <c r="B328" s="2" t="s">
        <v>653</v>
      </c>
      <c r="C328" s="13">
        <v>556.05999999999995</v>
      </c>
      <c r="D328" s="6">
        <v>101.46</v>
      </c>
      <c r="E328" s="6">
        <v>100</v>
      </c>
      <c r="F328" s="6">
        <v>20</v>
      </c>
      <c r="G328" s="6">
        <v>11121.2</v>
      </c>
      <c r="H328" s="6"/>
      <c r="I328" s="6"/>
      <c r="J328" s="6">
        <v>18</v>
      </c>
      <c r="K328" s="6">
        <v>10009.08</v>
      </c>
      <c r="L328" s="6">
        <v>200</v>
      </c>
      <c r="M328" s="6">
        <v>111212</v>
      </c>
      <c r="N328" s="6">
        <f t="shared" si="25"/>
        <v>238</v>
      </c>
      <c r="O328" s="6">
        <f t="shared" si="26"/>
        <v>132342.28</v>
      </c>
      <c r="P328" s="6">
        <v>15</v>
      </c>
      <c r="Q328" s="6">
        <v>8745</v>
      </c>
      <c r="R328" s="6"/>
      <c r="S328" s="6"/>
    </row>
    <row r="329" spans="1:19" s="1" customFormat="1" ht="15" hidden="1" customHeight="1" outlineLevel="1" x14ac:dyDescent="0.25">
      <c r="A329" s="2" t="s">
        <v>726</v>
      </c>
      <c r="B329" s="2" t="s">
        <v>727</v>
      </c>
      <c r="C329" s="13">
        <v>437.32</v>
      </c>
      <c r="D329" s="6">
        <v>414.99</v>
      </c>
      <c r="E329" s="6">
        <v>100</v>
      </c>
      <c r="F329" s="6"/>
      <c r="G329" s="6"/>
      <c r="H329" s="6">
        <v>1</v>
      </c>
      <c r="I329" s="6">
        <v>437.32</v>
      </c>
      <c r="J329" s="6">
        <v>484</v>
      </c>
      <c r="K329" s="6">
        <v>211662.88</v>
      </c>
      <c r="L329" s="6"/>
      <c r="M329" s="6"/>
      <c r="N329" s="6">
        <f t="shared" si="25"/>
        <v>485</v>
      </c>
      <c r="O329" s="6">
        <f t="shared" si="26"/>
        <v>212100.19999999998</v>
      </c>
      <c r="P329" s="6">
        <v>26</v>
      </c>
      <c r="Q329" s="6">
        <v>10280</v>
      </c>
      <c r="R329" s="6">
        <f t="shared" si="27"/>
        <v>274.06723053567555</v>
      </c>
      <c r="S329" s="6">
        <f t="shared" si="28"/>
        <v>119855.08125786163</v>
      </c>
    </row>
    <row r="330" spans="1:19" s="1" customFormat="1" ht="15" hidden="1" customHeight="1" outlineLevel="1" x14ac:dyDescent="0.25">
      <c r="A330" s="2" t="s">
        <v>526</v>
      </c>
      <c r="B330" s="2" t="s">
        <v>527</v>
      </c>
      <c r="C330" s="13">
        <v>38</v>
      </c>
      <c r="D330" s="6">
        <v>386.37</v>
      </c>
      <c r="E330" s="6">
        <v>100</v>
      </c>
      <c r="F330" s="6"/>
      <c r="G330" s="6"/>
      <c r="H330" s="6">
        <v>45</v>
      </c>
      <c r="I330" s="6">
        <v>1710</v>
      </c>
      <c r="J330" s="6">
        <v>1667</v>
      </c>
      <c r="K330" s="6">
        <v>63346</v>
      </c>
      <c r="L330" s="6"/>
      <c r="M330" s="6"/>
      <c r="N330" s="6">
        <f t="shared" si="25"/>
        <v>1712</v>
      </c>
      <c r="O330" s="6">
        <f t="shared" si="26"/>
        <v>65056</v>
      </c>
      <c r="P330" s="6">
        <v>95</v>
      </c>
      <c r="Q330" s="6">
        <v>3787</v>
      </c>
      <c r="R330" s="6">
        <f t="shared" si="27"/>
        <v>890.38690892150009</v>
      </c>
      <c r="S330" s="6">
        <f t="shared" si="28"/>
        <v>33834.702539017002</v>
      </c>
    </row>
    <row r="331" spans="1:19" s="1" customFormat="1" ht="15" hidden="1" customHeight="1" outlineLevel="1" x14ac:dyDescent="0.25">
      <c r="A331" s="2" t="s">
        <v>790</v>
      </c>
      <c r="B331" s="2" t="s">
        <v>791</v>
      </c>
      <c r="C331" s="13">
        <v>755.95</v>
      </c>
      <c r="D331" s="6">
        <v>2035.38</v>
      </c>
      <c r="E331" s="6">
        <v>100</v>
      </c>
      <c r="F331" s="6"/>
      <c r="G331" s="6"/>
      <c r="H331" s="6">
        <v>2</v>
      </c>
      <c r="I331" s="6">
        <v>1511.9</v>
      </c>
      <c r="J331" s="6">
        <v>345</v>
      </c>
      <c r="K331" s="6">
        <v>260802.75</v>
      </c>
      <c r="L331" s="6"/>
      <c r="M331" s="6"/>
      <c r="N331" s="6">
        <f t="shared" si="25"/>
        <v>347</v>
      </c>
      <c r="O331" s="6">
        <f t="shared" si="26"/>
        <v>262314.65000000002</v>
      </c>
      <c r="P331" s="6">
        <v>2</v>
      </c>
      <c r="Q331" s="6">
        <v>1318</v>
      </c>
      <c r="R331" s="6">
        <f t="shared" si="27"/>
        <v>314.48972673407422</v>
      </c>
      <c r="S331" s="6">
        <f t="shared" si="28"/>
        <v>237738.50892462343</v>
      </c>
    </row>
    <row r="332" spans="1:19" s="1" customFormat="1" ht="15" hidden="1" customHeight="1" outlineLevel="1" x14ac:dyDescent="0.25">
      <c r="A332" s="2" t="s">
        <v>692</v>
      </c>
      <c r="B332" s="2" t="s">
        <v>693</v>
      </c>
      <c r="C332" s="13">
        <v>427.88</v>
      </c>
      <c r="D332" s="6">
        <v>281.35000000000002</v>
      </c>
      <c r="E332" s="6">
        <v>100</v>
      </c>
      <c r="F332" s="6">
        <v>2</v>
      </c>
      <c r="G332" s="6">
        <v>855.76</v>
      </c>
      <c r="H332" s="6">
        <v>10</v>
      </c>
      <c r="I332" s="6">
        <v>4278.8</v>
      </c>
      <c r="J332" s="6">
        <v>7</v>
      </c>
      <c r="K332" s="6">
        <v>2995.16</v>
      </c>
      <c r="L332" s="6">
        <v>500</v>
      </c>
      <c r="M332" s="6">
        <v>213940</v>
      </c>
      <c r="N332" s="6">
        <f t="shared" si="25"/>
        <v>519</v>
      </c>
      <c r="O332" s="6">
        <f t="shared" si="26"/>
        <v>222069.72</v>
      </c>
      <c r="P332" s="6">
        <v>2</v>
      </c>
      <c r="Q332" s="6">
        <v>746</v>
      </c>
      <c r="R332" s="6">
        <f t="shared" si="27"/>
        <v>2.5215923227296968</v>
      </c>
      <c r="S332" s="6">
        <f t="shared" si="28"/>
        <v>1078.9389230495826</v>
      </c>
    </row>
    <row r="333" spans="1:19" s="1" customFormat="1" ht="15" hidden="1" customHeight="1" outlineLevel="1" x14ac:dyDescent="0.25">
      <c r="A333" s="2" t="s">
        <v>638</v>
      </c>
      <c r="B333" s="2" t="s">
        <v>639</v>
      </c>
      <c r="C333" s="13">
        <v>249.65</v>
      </c>
      <c r="D333" s="6">
        <v>253.68</v>
      </c>
      <c r="E333" s="6">
        <v>66.67</v>
      </c>
      <c r="F333" s="6">
        <v>29</v>
      </c>
      <c r="G333" s="6">
        <v>7239.85</v>
      </c>
      <c r="H333" s="6">
        <v>9</v>
      </c>
      <c r="I333" s="6">
        <v>2246.85</v>
      </c>
      <c r="J333" s="6">
        <v>932</v>
      </c>
      <c r="K333" s="6">
        <v>232673.8</v>
      </c>
      <c r="L333" s="6"/>
      <c r="M333" s="6"/>
      <c r="N333" s="6">
        <f t="shared" si="25"/>
        <v>970</v>
      </c>
      <c r="O333" s="6">
        <f t="shared" si="26"/>
        <v>242160.5</v>
      </c>
      <c r="P333" s="6">
        <v>46</v>
      </c>
      <c r="Q333" s="6">
        <v>11889</v>
      </c>
      <c r="R333" s="6">
        <f t="shared" si="27"/>
        <v>270.69441816461688</v>
      </c>
      <c r="S333" s="6">
        <f t="shared" si="28"/>
        <v>67578.861494796598</v>
      </c>
    </row>
    <row r="334" spans="1:19" s="1" customFormat="1" ht="15" hidden="1" customHeight="1" outlineLevel="1" x14ac:dyDescent="0.25">
      <c r="A334" s="2" t="s">
        <v>1243</v>
      </c>
      <c r="B334" s="2" t="s">
        <v>1244</v>
      </c>
      <c r="C334" s="13">
        <v>245</v>
      </c>
      <c r="D334" s="6">
        <v>1498</v>
      </c>
      <c r="E334" s="6">
        <v>100</v>
      </c>
      <c r="F334" s="6"/>
      <c r="G334" s="6"/>
      <c r="H334" s="6"/>
      <c r="I334" s="6"/>
      <c r="J334" s="6">
        <v>80</v>
      </c>
      <c r="K334" s="6">
        <v>19600</v>
      </c>
      <c r="L334" s="6"/>
      <c r="M334" s="6"/>
      <c r="N334" s="6">
        <f t="shared" si="25"/>
        <v>80</v>
      </c>
      <c r="O334" s="6">
        <f t="shared" si="26"/>
        <v>19600</v>
      </c>
      <c r="P334" s="6"/>
      <c r="Q334" s="6"/>
      <c r="R334" s="6">
        <f t="shared" si="27"/>
        <v>70.387182910547395</v>
      </c>
      <c r="S334" s="6">
        <f t="shared" si="28"/>
        <v>17244.859813084113</v>
      </c>
    </row>
    <row r="335" spans="1:19" s="1" customFormat="1" ht="15" hidden="1" customHeight="1" outlineLevel="1" x14ac:dyDescent="0.25">
      <c r="A335" s="2" t="s">
        <v>1107</v>
      </c>
      <c r="B335" s="2" t="s">
        <v>1108</v>
      </c>
      <c r="C335" s="13">
        <v>219.93</v>
      </c>
      <c r="D335" s="6">
        <v>465.47</v>
      </c>
      <c r="E335" s="6">
        <v>66.67</v>
      </c>
      <c r="F335" s="6"/>
      <c r="G335" s="6"/>
      <c r="H335" s="6">
        <v>20</v>
      </c>
      <c r="I335" s="6">
        <v>4398.6000000000004</v>
      </c>
      <c r="J335" s="6">
        <v>61</v>
      </c>
      <c r="K335" s="6">
        <v>13415.73</v>
      </c>
      <c r="L335" s="6"/>
      <c r="M335" s="6"/>
      <c r="N335" s="6">
        <f t="shared" si="25"/>
        <v>81</v>
      </c>
      <c r="O335" s="6">
        <f t="shared" si="26"/>
        <v>17814.330000000002</v>
      </c>
      <c r="P335" s="6">
        <v>6</v>
      </c>
      <c r="Q335" s="6">
        <v>1459</v>
      </c>
      <c r="R335" s="6">
        <f t="shared" si="27"/>
        <v>37.410939480525059</v>
      </c>
      <c r="S335" s="6">
        <f t="shared" si="28"/>
        <v>8227.7879199518757</v>
      </c>
    </row>
    <row r="336" spans="1:19" s="1" customFormat="1" ht="15" hidden="1" customHeight="1" outlineLevel="1" x14ac:dyDescent="0.25">
      <c r="A336" s="2" t="s">
        <v>907</v>
      </c>
      <c r="B336" s="2" t="s">
        <v>908</v>
      </c>
      <c r="C336" s="13">
        <v>465</v>
      </c>
      <c r="D336" s="6">
        <v>919.52</v>
      </c>
      <c r="E336" s="6">
        <v>100</v>
      </c>
      <c r="F336" s="6"/>
      <c r="G336" s="6"/>
      <c r="H336" s="6"/>
      <c r="I336" s="6"/>
      <c r="J336" s="6">
        <v>195</v>
      </c>
      <c r="K336" s="6">
        <v>90675</v>
      </c>
      <c r="L336" s="6"/>
      <c r="M336" s="6"/>
      <c r="N336" s="6">
        <f t="shared" si="25"/>
        <v>195</v>
      </c>
      <c r="O336" s="6">
        <f t="shared" si="26"/>
        <v>90675</v>
      </c>
      <c r="P336" s="6">
        <v>7</v>
      </c>
      <c r="Q336" s="6">
        <v>3312</v>
      </c>
      <c r="R336" s="6">
        <f t="shared" si="27"/>
        <v>156.82791021402471</v>
      </c>
      <c r="S336" s="6">
        <f t="shared" si="28"/>
        <v>72924.978249521489</v>
      </c>
    </row>
    <row r="337" spans="1:19" s="1" customFormat="1" ht="15" hidden="1" customHeight="1" outlineLevel="1" x14ac:dyDescent="0.25">
      <c r="A337" s="2" t="s">
        <v>5</v>
      </c>
      <c r="B337" s="2" t="s">
        <v>6</v>
      </c>
      <c r="C337" s="13">
        <v>164.73</v>
      </c>
      <c r="D337" s="6">
        <v>549.89</v>
      </c>
      <c r="E337" s="6">
        <v>100</v>
      </c>
      <c r="F337" s="6">
        <v>10</v>
      </c>
      <c r="G337" s="6">
        <v>1647.3</v>
      </c>
      <c r="H337" s="6">
        <v>6</v>
      </c>
      <c r="I337" s="6">
        <v>988.38</v>
      </c>
      <c r="J337" s="6">
        <v>363</v>
      </c>
      <c r="K337" s="6">
        <v>59796.99</v>
      </c>
      <c r="L337" s="6"/>
      <c r="M337" s="6"/>
      <c r="N337" s="6">
        <f t="shared" si="25"/>
        <v>379</v>
      </c>
      <c r="O337" s="6">
        <f t="shared" si="26"/>
        <v>62432.67</v>
      </c>
      <c r="P337" s="6">
        <v>25</v>
      </c>
      <c r="Q337" s="6">
        <v>4392</v>
      </c>
      <c r="R337" s="6">
        <f t="shared" si="27"/>
        <v>244.17623524704942</v>
      </c>
      <c r="S337" s="6">
        <f t="shared" si="28"/>
        <v>40223.151232246448</v>
      </c>
    </row>
    <row r="338" spans="1:19" s="1" customFormat="1" ht="15" hidden="1" customHeight="1" outlineLevel="1" x14ac:dyDescent="0.25">
      <c r="A338" s="2" t="s">
        <v>688</v>
      </c>
      <c r="B338" s="2" t="s">
        <v>689</v>
      </c>
      <c r="C338" s="13">
        <v>82.92</v>
      </c>
      <c r="D338" s="6">
        <v>818.47</v>
      </c>
      <c r="E338" s="6">
        <v>100</v>
      </c>
      <c r="F338" s="6"/>
      <c r="G338" s="6"/>
      <c r="H338" s="6">
        <v>5</v>
      </c>
      <c r="I338" s="6">
        <v>414.6</v>
      </c>
      <c r="J338" s="6">
        <v>256</v>
      </c>
      <c r="K338" s="6">
        <v>21227.52</v>
      </c>
      <c r="L338" s="6"/>
      <c r="M338" s="6"/>
      <c r="N338" s="6">
        <f t="shared" si="25"/>
        <v>261</v>
      </c>
      <c r="O338" s="6">
        <f t="shared" si="26"/>
        <v>21642.12</v>
      </c>
      <c r="P338" s="6">
        <v>10</v>
      </c>
      <c r="Q338" s="6">
        <v>847</v>
      </c>
      <c r="R338" s="6">
        <f t="shared" si="27"/>
        <v>199.69983017092869</v>
      </c>
      <c r="S338" s="6">
        <f t="shared" si="28"/>
        <v>16559.109917773407</v>
      </c>
    </row>
    <row r="339" spans="1:19" s="1" customFormat="1" ht="15" hidden="1" customHeight="1" outlineLevel="1" x14ac:dyDescent="0.25">
      <c r="A339" s="2" t="s">
        <v>422</v>
      </c>
      <c r="B339" s="2" t="s">
        <v>423</v>
      </c>
      <c r="C339" s="13">
        <v>147.07</v>
      </c>
      <c r="D339" s="6">
        <v>159.47999999999999</v>
      </c>
      <c r="E339" s="6">
        <v>100</v>
      </c>
      <c r="F339" s="6"/>
      <c r="G339" s="6"/>
      <c r="H339" s="6">
        <v>9</v>
      </c>
      <c r="I339" s="6">
        <v>1323.63</v>
      </c>
      <c r="J339" s="6">
        <v>182</v>
      </c>
      <c r="K339" s="6">
        <v>26766.739999999998</v>
      </c>
      <c r="L339" s="6"/>
      <c r="M339" s="6"/>
      <c r="N339" s="6">
        <f t="shared" si="25"/>
        <v>191</v>
      </c>
      <c r="O339" s="6">
        <f t="shared" si="26"/>
        <v>28090.37</v>
      </c>
      <c r="P339" s="6">
        <v>26</v>
      </c>
      <c r="Q339" s="6">
        <v>3955</v>
      </c>
      <c r="R339" s="6"/>
      <c r="S339" s="6"/>
    </row>
    <row r="340" spans="1:19" s="1" customFormat="1" ht="15" hidden="1" customHeight="1" outlineLevel="1" x14ac:dyDescent="0.25">
      <c r="A340" s="2" t="s">
        <v>165</v>
      </c>
      <c r="B340" s="2" t="s">
        <v>166</v>
      </c>
      <c r="C340" s="13">
        <v>174.92</v>
      </c>
      <c r="D340" s="6">
        <v>5814.5</v>
      </c>
      <c r="E340" s="6">
        <v>100</v>
      </c>
      <c r="F340" s="6"/>
      <c r="G340" s="6"/>
      <c r="H340" s="6">
        <v>5</v>
      </c>
      <c r="I340" s="6">
        <v>874.6</v>
      </c>
      <c r="J340" s="6">
        <v>1489</v>
      </c>
      <c r="K340" s="6">
        <v>260455.88</v>
      </c>
      <c r="L340" s="6"/>
      <c r="M340" s="6"/>
      <c r="N340" s="6">
        <f t="shared" si="25"/>
        <v>1494</v>
      </c>
      <c r="O340" s="6">
        <f t="shared" si="26"/>
        <v>261330.47999999998</v>
      </c>
      <c r="P340" s="6">
        <v>6</v>
      </c>
      <c r="Q340" s="6">
        <v>1135</v>
      </c>
      <c r="R340" s="6">
        <f t="shared" si="27"/>
        <v>1442.9048929400635</v>
      </c>
      <c r="S340" s="6">
        <f t="shared" si="28"/>
        <v>252392.9238730759</v>
      </c>
    </row>
    <row r="341" spans="1:19" s="1" customFormat="1" ht="15" hidden="1" customHeight="1" outlineLevel="1" x14ac:dyDescent="0.25">
      <c r="A341" s="2" t="s">
        <v>416</v>
      </c>
      <c r="B341" s="2" t="s">
        <v>417</v>
      </c>
      <c r="C341" s="13">
        <v>77</v>
      </c>
      <c r="D341" s="6">
        <v>207.2</v>
      </c>
      <c r="E341" s="6">
        <v>100</v>
      </c>
      <c r="F341" s="6"/>
      <c r="G341" s="6"/>
      <c r="H341" s="6">
        <v>160</v>
      </c>
      <c r="I341" s="6">
        <v>12320</v>
      </c>
      <c r="J341" s="6">
        <v>1766</v>
      </c>
      <c r="K341" s="6">
        <v>135982</v>
      </c>
      <c r="L341" s="6"/>
      <c r="M341" s="6"/>
      <c r="N341" s="6">
        <f t="shared" si="25"/>
        <v>1926</v>
      </c>
      <c r="O341" s="6">
        <f t="shared" si="26"/>
        <v>148302</v>
      </c>
      <c r="P341" s="6">
        <v>84</v>
      </c>
      <c r="Q341" s="6">
        <v>6751</v>
      </c>
      <c r="R341" s="6">
        <f t="shared" si="27"/>
        <v>231.83011583011574</v>
      </c>
      <c r="S341" s="6">
        <f t="shared" si="28"/>
        <v>17850.918918918913</v>
      </c>
    </row>
    <row r="342" spans="1:19" s="1" customFormat="1" ht="15" hidden="1" customHeight="1" outlineLevel="1" x14ac:dyDescent="0.25">
      <c r="A342" s="2" t="s">
        <v>271</v>
      </c>
      <c r="B342" s="2" t="s">
        <v>272</v>
      </c>
      <c r="C342" s="13">
        <v>389.1</v>
      </c>
      <c r="D342" s="6">
        <v>2517.3200000000002</v>
      </c>
      <c r="E342" s="6">
        <v>100</v>
      </c>
      <c r="F342" s="6"/>
      <c r="G342" s="6"/>
      <c r="H342" s="6"/>
      <c r="I342" s="6"/>
      <c r="J342" s="6">
        <v>1919</v>
      </c>
      <c r="K342" s="6">
        <v>746682.9</v>
      </c>
      <c r="L342" s="6"/>
      <c r="M342" s="6"/>
      <c r="N342" s="6">
        <f t="shared" si="25"/>
        <v>1919</v>
      </c>
      <c r="O342" s="6">
        <f t="shared" si="26"/>
        <v>746682.9</v>
      </c>
      <c r="P342" s="6">
        <v>23</v>
      </c>
      <c r="Q342" s="6">
        <v>9212</v>
      </c>
      <c r="R342" s="6">
        <f t="shared" si="27"/>
        <v>1781.7826418572133</v>
      </c>
      <c r="S342" s="6">
        <f t="shared" si="28"/>
        <v>693291.62594664178</v>
      </c>
    </row>
    <row r="343" spans="1:19" s="1" customFormat="1" ht="15" hidden="1" customHeight="1" outlineLevel="1" x14ac:dyDescent="0.25">
      <c r="A343" s="2" t="s">
        <v>426</v>
      </c>
      <c r="B343" s="2" t="s">
        <v>427</v>
      </c>
      <c r="C343" s="13">
        <v>202.22</v>
      </c>
      <c r="D343" s="6">
        <v>197.45</v>
      </c>
      <c r="E343" s="6">
        <v>100</v>
      </c>
      <c r="F343" s="6"/>
      <c r="G343" s="6"/>
      <c r="H343" s="6"/>
      <c r="I343" s="6"/>
      <c r="J343" s="6">
        <v>39</v>
      </c>
      <c r="K343" s="6">
        <v>7886.58</v>
      </c>
      <c r="L343" s="6"/>
      <c r="M343" s="6"/>
      <c r="N343" s="6">
        <f t="shared" si="25"/>
        <v>39</v>
      </c>
      <c r="O343" s="6">
        <f t="shared" si="26"/>
        <v>7886.58</v>
      </c>
      <c r="P343" s="6">
        <v>20</v>
      </c>
      <c r="Q343" s="6">
        <v>4241</v>
      </c>
      <c r="R343" s="6">
        <f t="shared" si="27"/>
        <v>3.4466953659154194</v>
      </c>
      <c r="S343" s="6">
        <f t="shared" si="28"/>
        <v>696.99073689541615</v>
      </c>
    </row>
    <row r="344" spans="1:19" s="1" customFormat="1" ht="15" hidden="1" customHeight="1" outlineLevel="1" x14ac:dyDescent="0.25">
      <c r="A344" s="2" t="s">
        <v>776</v>
      </c>
      <c r="B344" s="2" t="s">
        <v>777</v>
      </c>
      <c r="C344" s="13">
        <v>281.69</v>
      </c>
      <c r="D344" s="6">
        <v>58.66</v>
      </c>
      <c r="E344" s="6">
        <v>29.03</v>
      </c>
      <c r="F344" s="6"/>
      <c r="G344" s="6"/>
      <c r="H344" s="6">
        <v>1</v>
      </c>
      <c r="I344" s="6">
        <v>281.69</v>
      </c>
      <c r="J344" s="6">
        <v>720</v>
      </c>
      <c r="K344" s="6">
        <v>202816.80000000002</v>
      </c>
      <c r="L344" s="6"/>
      <c r="M344" s="6"/>
      <c r="N344" s="6">
        <f t="shared" si="25"/>
        <v>721</v>
      </c>
      <c r="O344" s="6">
        <f t="shared" si="26"/>
        <v>203098.49</v>
      </c>
      <c r="P344" s="6">
        <v>16</v>
      </c>
      <c r="Q344" s="6">
        <v>4500</v>
      </c>
      <c r="R344" s="6"/>
      <c r="S344" s="6"/>
    </row>
    <row r="345" spans="1:19" s="1" customFormat="1" ht="15" hidden="1" customHeight="1" outlineLevel="1" x14ac:dyDescent="0.25">
      <c r="A345" s="2" t="s">
        <v>810</v>
      </c>
      <c r="B345" s="2" t="s">
        <v>811</v>
      </c>
      <c r="C345" s="13">
        <v>284.58999999999997</v>
      </c>
      <c r="D345" s="6">
        <v>12.88</v>
      </c>
      <c r="E345" s="6">
        <v>31.18</v>
      </c>
      <c r="F345" s="6"/>
      <c r="G345" s="6"/>
      <c r="H345" s="6"/>
      <c r="I345" s="6"/>
      <c r="J345" s="6"/>
      <c r="K345" s="6"/>
      <c r="L345" s="6">
        <v>192</v>
      </c>
      <c r="M345" s="6">
        <v>54641.279999999999</v>
      </c>
      <c r="N345" s="6">
        <f t="shared" si="25"/>
        <v>192</v>
      </c>
      <c r="O345" s="6">
        <f t="shared" si="26"/>
        <v>54641.279999999999</v>
      </c>
      <c r="P345" s="6">
        <v>11</v>
      </c>
      <c r="Q345" s="6">
        <v>3030</v>
      </c>
      <c r="R345" s="6"/>
      <c r="S345" s="6"/>
    </row>
    <row r="346" spans="1:19" s="1" customFormat="1" ht="15" hidden="1" customHeight="1" outlineLevel="1" x14ac:dyDescent="0.25">
      <c r="A346" s="2" t="s">
        <v>1171</v>
      </c>
      <c r="B346" s="2" t="s">
        <v>1172</v>
      </c>
      <c r="C346" s="13">
        <v>976.52</v>
      </c>
      <c r="D346" s="6">
        <v>1961</v>
      </c>
      <c r="E346" s="6">
        <v>100</v>
      </c>
      <c r="F346" s="6"/>
      <c r="G346" s="6"/>
      <c r="H346" s="6"/>
      <c r="I346" s="6"/>
      <c r="J346" s="6">
        <v>21</v>
      </c>
      <c r="K346" s="6">
        <v>20506.919999999998</v>
      </c>
      <c r="L346" s="6"/>
      <c r="M346" s="6"/>
      <c r="N346" s="6">
        <f t="shared" si="25"/>
        <v>21</v>
      </c>
      <c r="O346" s="6">
        <f t="shared" si="26"/>
        <v>20506.919999999998</v>
      </c>
      <c r="P346" s="6"/>
      <c r="Q346" s="6"/>
      <c r="R346" s="6">
        <f t="shared" si="27"/>
        <v>19.072412034676187</v>
      </c>
      <c r="S346" s="6">
        <f t="shared" si="28"/>
        <v>18624.591800101989</v>
      </c>
    </row>
    <row r="347" spans="1:19" s="1" customFormat="1" ht="15" hidden="1" customHeight="1" outlineLevel="1" x14ac:dyDescent="0.25">
      <c r="A347" s="2" t="s">
        <v>690</v>
      </c>
      <c r="B347" s="2" t="s">
        <v>691</v>
      </c>
      <c r="C347" s="13">
        <v>326.67</v>
      </c>
      <c r="D347" s="6">
        <v>1045.1500000000001</v>
      </c>
      <c r="E347" s="6">
        <v>100</v>
      </c>
      <c r="F347" s="6"/>
      <c r="G347" s="6"/>
      <c r="H347" s="6">
        <v>15</v>
      </c>
      <c r="I347" s="6">
        <v>4900.05</v>
      </c>
      <c r="J347" s="6">
        <v>135</v>
      </c>
      <c r="K347" s="6">
        <v>44100.45</v>
      </c>
      <c r="L347" s="6"/>
      <c r="M347" s="6"/>
      <c r="N347" s="6">
        <f t="shared" si="25"/>
        <v>150</v>
      </c>
      <c r="O347" s="6">
        <f t="shared" si="26"/>
        <v>49000.5</v>
      </c>
      <c r="P347" s="6">
        <v>3</v>
      </c>
      <c r="Q347" s="6">
        <v>938</v>
      </c>
      <c r="R347" s="6">
        <f t="shared" si="27"/>
        <v>111.74974883987944</v>
      </c>
      <c r="S347" s="6">
        <f t="shared" si="28"/>
        <v>36505.290453523419</v>
      </c>
    </row>
    <row r="348" spans="1:19" s="1" customFormat="1" ht="15" hidden="1" customHeight="1" outlineLevel="1" x14ac:dyDescent="0.25">
      <c r="A348" s="2" t="s">
        <v>119</v>
      </c>
      <c r="B348" s="2" t="s">
        <v>120</v>
      </c>
      <c r="C348" s="13">
        <v>144.61000000000001</v>
      </c>
      <c r="D348" s="6">
        <v>105.04</v>
      </c>
      <c r="E348" s="6">
        <v>100</v>
      </c>
      <c r="F348" s="6"/>
      <c r="G348" s="6"/>
      <c r="H348" s="6">
        <v>8</v>
      </c>
      <c r="I348" s="6">
        <v>1156.8800000000001</v>
      </c>
      <c r="J348" s="6">
        <v>120</v>
      </c>
      <c r="K348" s="6">
        <v>17353.2</v>
      </c>
      <c r="L348" s="6"/>
      <c r="M348" s="6"/>
      <c r="N348" s="6">
        <f t="shared" si="25"/>
        <v>128</v>
      </c>
      <c r="O348" s="6">
        <f t="shared" si="26"/>
        <v>18510.080000000002</v>
      </c>
      <c r="P348" s="6">
        <v>39</v>
      </c>
      <c r="Q348" s="6">
        <v>5200</v>
      </c>
      <c r="R348" s="6"/>
      <c r="S348" s="6"/>
    </row>
    <row r="349" spans="1:19" s="1" customFormat="1" ht="15" hidden="1" customHeight="1" outlineLevel="1" x14ac:dyDescent="0.25">
      <c r="A349" s="2" t="s">
        <v>1329</v>
      </c>
      <c r="B349" s="2" t="s">
        <v>1330</v>
      </c>
      <c r="C349" s="13">
        <v>610.33000000000004</v>
      </c>
      <c r="D349" s="6"/>
      <c r="E349" s="6">
        <v>100</v>
      </c>
      <c r="F349" s="6"/>
      <c r="G349" s="6"/>
      <c r="H349" s="6"/>
      <c r="I349" s="6"/>
      <c r="J349" s="6">
        <v>124</v>
      </c>
      <c r="K349" s="6">
        <v>75680.92</v>
      </c>
      <c r="L349" s="6"/>
      <c r="M349" s="6"/>
      <c r="N349" s="6">
        <f t="shared" si="25"/>
        <v>124</v>
      </c>
      <c r="O349" s="6">
        <f t="shared" si="26"/>
        <v>75680.92</v>
      </c>
      <c r="P349" s="6"/>
      <c r="Q349" s="6"/>
      <c r="R349" s="6"/>
      <c r="S349" s="6"/>
    </row>
    <row r="350" spans="1:19" s="1" customFormat="1" ht="15" hidden="1" customHeight="1" outlineLevel="1" x14ac:dyDescent="0.25">
      <c r="A350" s="2" t="s">
        <v>1075</v>
      </c>
      <c r="B350" s="2" t="s">
        <v>1076</v>
      </c>
      <c r="C350" s="13">
        <v>258.86</v>
      </c>
      <c r="D350" s="6">
        <v>4945.8900000000003</v>
      </c>
      <c r="E350" s="6">
        <v>100</v>
      </c>
      <c r="F350" s="6"/>
      <c r="G350" s="6"/>
      <c r="H350" s="6">
        <v>5</v>
      </c>
      <c r="I350" s="6">
        <v>1294.3</v>
      </c>
      <c r="J350" s="6">
        <v>923</v>
      </c>
      <c r="K350" s="6">
        <v>238927.78</v>
      </c>
      <c r="L350" s="6"/>
      <c r="M350" s="6"/>
      <c r="N350" s="6">
        <f t="shared" ref="N350:N413" si="29">IF(J350+L350+H350+F350&lt;=0,"",J350+L350+H350+F350)</f>
        <v>928</v>
      </c>
      <c r="O350" s="6">
        <f t="shared" ref="O350:O413" si="30">IFERROR(C350*N350,"")</f>
        <v>240222.08000000002</v>
      </c>
      <c r="P350" s="6">
        <v>5</v>
      </c>
      <c r="Q350" s="6">
        <v>1397</v>
      </c>
      <c r="R350" s="6">
        <f t="shared" ref="R350:R412" si="31">J350/D350*(D350-180)</f>
        <v>889.40847248927901</v>
      </c>
      <c r="S350" s="6">
        <f t="shared" ref="S350:S412" si="32">R350*C350</f>
        <v>230232.27718857478</v>
      </c>
    </row>
    <row r="351" spans="1:19" s="1" customFormat="1" ht="15" hidden="1" customHeight="1" outlineLevel="1" x14ac:dyDescent="0.25">
      <c r="A351" s="2" t="s">
        <v>546</v>
      </c>
      <c r="B351" s="2" t="s">
        <v>547</v>
      </c>
      <c r="C351" s="13">
        <v>450.22</v>
      </c>
      <c r="D351" s="6">
        <v>1022.65</v>
      </c>
      <c r="E351" s="6">
        <v>100</v>
      </c>
      <c r="F351" s="6"/>
      <c r="G351" s="6"/>
      <c r="H351" s="6">
        <v>2</v>
      </c>
      <c r="I351" s="6">
        <v>900.44</v>
      </c>
      <c r="J351" s="6">
        <v>158</v>
      </c>
      <c r="K351" s="6">
        <v>71134.759999999995</v>
      </c>
      <c r="L351" s="6">
        <v>120</v>
      </c>
      <c r="M351" s="6">
        <v>54026.400000000001</v>
      </c>
      <c r="N351" s="6">
        <f t="shared" si="29"/>
        <v>280</v>
      </c>
      <c r="O351" s="6">
        <f t="shared" si="30"/>
        <v>126061.6</v>
      </c>
      <c r="P351" s="6">
        <v>6</v>
      </c>
      <c r="Q351" s="6">
        <v>2321</v>
      </c>
      <c r="R351" s="6">
        <f t="shared" si="31"/>
        <v>130.1898987923532</v>
      </c>
      <c r="S351" s="6">
        <f t="shared" si="32"/>
        <v>58614.096234293262</v>
      </c>
    </row>
    <row r="352" spans="1:19" s="1" customFormat="1" ht="15" hidden="1" customHeight="1" outlineLevel="1" x14ac:dyDescent="0.25">
      <c r="A352" s="2" t="s">
        <v>430</v>
      </c>
      <c r="B352" s="2" t="s">
        <v>431</v>
      </c>
      <c r="C352" s="13">
        <v>205.54</v>
      </c>
      <c r="D352" s="6">
        <v>1507.63</v>
      </c>
      <c r="E352" s="6">
        <v>100</v>
      </c>
      <c r="F352" s="6"/>
      <c r="G352" s="6"/>
      <c r="H352" s="6"/>
      <c r="I352" s="6"/>
      <c r="J352" s="6">
        <v>1078</v>
      </c>
      <c r="K352" s="6">
        <v>221572.12</v>
      </c>
      <c r="L352" s="6"/>
      <c r="M352" s="6"/>
      <c r="N352" s="6">
        <f t="shared" si="29"/>
        <v>1078</v>
      </c>
      <c r="O352" s="6">
        <f t="shared" si="30"/>
        <v>221572.12</v>
      </c>
      <c r="P352" s="6">
        <v>10</v>
      </c>
      <c r="Q352" s="6">
        <v>2158</v>
      </c>
      <c r="R352" s="6">
        <f t="shared" si="31"/>
        <v>949.29468105569663</v>
      </c>
      <c r="S352" s="6">
        <f t="shared" si="32"/>
        <v>195118.02874418788</v>
      </c>
    </row>
    <row r="353" spans="1:19" s="1" customFormat="1" ht="15" hidden="1" customHeight="1" outlineLevel="1" x14ac:dyDescent="0.25">
      <c r="A353" s="2" t="s">
        <v>742</v>
      </c>
      <c r="B353" s="2" t="s">
        <v>743</v>
      </c>
      <c r="C353" s="13">
        <v>309.36</v>
      </c>
      <c r="D353" s="6">
        <v>1717.98</v>
      </c>
      <c r="E353" s="6">
        <v>100</v>
      </c>
      <c r="F353" s="6"/>
      <c r="G353" s="6"/>
      <c r="H353" s="6">
        <v>50</v>
      </c>
      <c r="I353" s="6">
        <v>15468</v>
      </c>
      <c r="J353" s="6">
        <v>914</v>
      </c>
      <c r="K353" s="6">
        <v>282755.04000000004</v>
      </c>
      <c r="L353" s="6"/>
      <c r="M353" s="6"/>
      <c r="N353" s="6">
        <f t="shared" si="29"/>
        <v>964</v>
      </c>
      <c r="O353" s="6">
        <f t="shared" si="30"/>
        <v>298223.04000000004</v>
      </c>
      <c r="P353" s="6">
        <v>16</v>
      </c>
      <c r="Q353" s="6">
        <v>5179</v>
      </c>
      <c r="R353" s="6">
        <f t="shared" si="31"/>
        <v>818.23637062131115</v>
      </c>
      <c r="S353" s="6">
        <f t="shared" si="32"/>
        <v>253129.60361540882</v>
      </c>
    </row>
    <row r="354" spans="1:19" s="1" customFormat="1" ht="15" hidden="1" customHeight="1" outlineLevel="1" x14ac:dyDescent="0.25">
      <c r="A354" s="2" t="s">
        <v>768</v>
      </c>
      <c r="B354" s="2" t="s">
        <v>769</v>
      </c>
      <c r="C354" s="13">
        <v>122.06</v>
      </c>
      <c r="D354" s="6">
        <v>94.52</v>
      </c>
      <c r="E354" s="6">
        <v>29.03</v>
      </c>
      <c r="F354" s="6"/>
      <c r="G354" s="6"/>
      <c r="H354" s="6">
        <v>1</v>
      </c>
      <c r="I354" s="6">
        <v>122.06</v>
      </c>
      <c r="J354" s="6">
        <v>299</v>
      </c>
      <c r="K354" s="6">
        <v>36495.94</v>
      </c>
      <c r="L354" s="6"/>
      <c r="M354" s="6"/>
      <c r="N354" s="6">
        <f t="shared" si="29"/>
        <v>300</v>
      </c>
      <c r="O354" s="6">
        <f t="shared" si="30"/>
        <v>36618</v>
      </c>
      <c r="P354" s="6">
        <v>33</v>
      </c>
      <c r="Q354" s="6">
        <v>4105</v>
      </c>
      <c r="R354" s="6"/>
      <c r="S354" s="6"/>
    </row>
    <row r="355" spans="1:19" s="1" customFormat="1" ht="15" hidden="1" customHeight="1" outlineLevel="1" x14ac:dyDescent="0.25">
      <c r="A355" s="2" t="s">
        <v>614</v>
      </c>
      <c r="B355" s="2" t="s">
        <v>615</v>
      </c>
      <c r="C355" s="13">
        <v>236.87</v>
      </c>
      <c r="D355" s="6">
        <v>436</v>
      </c>
      <c r="E355" s="6">
        <v>29.03</v>
      </c>
      <c r="F355" s="6"/>
      <c r="G355" s="6"/>
      <c r="H355" s="6"/>
      <c r="I355" s="6"/>
      <c r="J355" s="6">
        <v>225</v>
      </c>
      <c r="K355" s="6">
        <v>53295.75</v>
      </c>
      <c r="L355" s="6"/>
      <c r="M355" s="6"/>
      <c r="N355" s="6">
        <f t="shared" si="29"/>
        <v>225</v>
      </c>
      <c r="O355" s="6">
        <f t="shared" si="30"/>
        <v>53295.75</v>
      </c>
      <c r="P355" s="6">
        <v>5</v>
      </c>
      <c r="Q355" s="6">
        <v>1221</v>
      </c>
      <c r="R355" s="6">
        <f t="shared" si="31"/>
        <v>132.11009174311926</v>
      </c>
      <c r="S355" s="6">
        <f t="shared" si="32"/>
        <v>31292.917431192658</v>
      </c>
    </row>
    <row r="356" spans="1:19" s="1" customFormat="1" ht="15" hidden="1" customHeight="1" outlineLevel="1" x14ac:dyDescent="0.25">
      <c r="A356" s="2" t="s">
        <v>644</v>
      </c>
      <c r="B356" s="2" t="s">
        <v>645</v>
      </c>
      <c r="C356" s="13">
        <v>704.5</v>
      </c>
      <c r="D356" s="6"/>
      <c r="E356" s="6">
        <v>5.38</v>
      </c>
      <c r="F356" s="6"/>
      <c r="G356" s="6"/>
      <c r="H356" s="6">
        <v>6</v>
      </c>
      <c r="I356" s="6">
        <v>4227</v>
      </c>
      <c r="J356" s="6">
        <v>174</v>
      </c>
      <c r="K356" s="6">
        <v>122583</v>
      </c>
      <c r="L356" s="6"/>
      <c r="M356" s="6"/>
      <c r="N356" s="6">
        <f t="shared" si="29"/>
        <v>180</v>
      </c>
      <c r="O356" s="6">
        <f t="shared" si="30"/>
        <v>126810</v>
      </c>
      <c r="P356" s="6"/>
      <c r="Q356" s="6"/>
      <c r="R356" s="6"/>
      <c r="S356" s="6"/>
    </row>
    <row r="357" spans="1:19" s="1" customFormat="1" ht="15" hidden="1" customHeight="1" outlineLevel="1" x14ac:dyDescent="0.25">
      <c r="A357" s="2" t="s">
        <v>1159</v>
      </c>
      <c r="B357" s="2" t="s">
        <v>1160</v>
      </c>
      <c r="C357" s="13">
        <v>220.41</v>
      </c>
      <c r="D357" s="6">
        <v>2069.4</v>
      </c>
      <c r="E357" s="6">
        <v>100</v>
      </c>
      <c r="F357" s="6"/>
      <c r="G357" s="6"/>
      <c r="H357" s="6">
        <v>5</v>
      </c>
      <c r="I357" s="6">
        <v>1102.05</v>
      </c>
      <c r="J357" s="6">
        <v>327</v>
      </c>
      <c r="K357" s="6">
        <v>72074.070000000007</v>
      </c>
      <c r="L357" s="6"/>
      <c r="M357" s="6"/>
      <c r="N357" s="6">
        <f t="shared" si="29"/>
        <v>332</v>
      </c>
      <c r="O357" s="6">
        <f t="shared" si="30"/>
        <v>73176.12</v>
      </c>
      <c r="P357" s="6">
        <v>2</v>
      </c>
      <c r="Q357" s="6">
        <v>384</v>
      </c>
      <c r="R357" s="6">
        <f t="shared" si="31"/>
        <v>298.55697303566251</v>
      </c>
      <c r="S357" s="6">
        <f t="shared" si="32"/>
        <v>65804.942426790367</v>
      </c>
    </row>
    <row r="358" spans="1:19" s="1" customFormat="1" ht="15" hidden="1" customHeight="1" outlineLevel="1" x14ac:dyDescent="0.25">
      <c r="A358" s="2" t="s">
        <v>568</v>
      </c>
      <c r="B358" s="2" t="s">
        <v>569</v>
      </c>
      <c r="C358" s="13">
        <v>76.92</v>
      </c>
      <c r="D358" s="6">
        <v>504.57</v>
      </c>
      <c r="E358" s="6">
        <v>100</v>
      </c>
      <c r="F358" s="6">
        <v>5</v>
      </c>
      <c r="G358" s="6">
        <v>384.6</v>
      </c>
      <c r="H358" s="6">
        <v>5</v>
      </c>
      <c r="I358" s="6">
        <v>384.6</v>
      </c>
      <c r="J358" s="6">
        <v>823</v>
      </c>
      <c r="K358" s="6">
        <v>63305.16</v>
      </c>
      <c r="L358" s="6"/>
      <c r="M358" s="6"/>
      <c r="N358" s="6">
        <f t="shared" si="29"/>
        <v>833</v>
      </c>
      <c r="O358" s="6">
        <f t="shared" si="30"/>
        <v>64074.36</v>
      </c>
      <c r="P358" s="6">
        <v>15</v>
      </c>
      <c r="Q358" s="6">
        <v>1050</v>
      </c>
      <c r="R358" s="6">
        <f t="shared" si="31"/>
        <v>529.4034722635115</v>
      </c>
      <c r="S358" s="6">
        <f t="shared" si="32"/>
        <v>40721.715086509306</v>
      </c>
    </row>
    <row r="359" spans="1:19" s="1" customFormat="1" ht="15" hidden="1" customHeight="1" outlineLevel="1" x14ac:dyDescent="0.25">
      <c r="A359" s="2" t="s">
        <v>1043</v>
      </c>
      <c r="B359" s="2" t="s">
        <v>1044</v>
      </c>
      <c r="C359" s="13">
        <v>171.62</v>
      </c>
      <c r="D359" s="6">
        <v>489.09</v>
      </c>
      <c r="E359" s="6">
        <v>66.67</v>
      </c>
      <c r="F359" s="6">
        <v>12</v>
      </c>
      <c r="G359" s="6">
        <v>2059.44</v>
      </c>
      <c r="H359" s="6">
        <v>10</v>
      </c>
      <c r="I359" s="6">
        <v>1716.2</v>
      </c>
      <c r="J359" s="6">
        <v>341</v>
      </c>
      <c r="K359" s="6">
        <v>58522.42</v>
      </c>
      <c r="L359" s="6"/>
      <c r="M359" s="6"/>
      <c r="N359" s="6">
        <f t="shared" si="29"/>
        <v>363</v>
      </c>
      <c r="O359" s="6">
        <f t="shared" si="30"/>
        <v>62298.060000000005</v>
      </c>
      <c r="P359" s="6">
        <v>23</v>
      </c>
      <c r="Q359" s="6">
        <v>4102</v>
      </c>
      <c r="R359" s="6">
        <f t="shared" si="31"/>
        <v>215.50162546770534</v>
      </c>
      <c r="S359" s="6">
        <f t="shared" si="32"/>
        <v>36984.388962767589</v>
      </c>
    </row>
    <row r="360" spans="1:19" s="1" customFormat="1" ht="15" hidden="1" customHeight="1" outlineLevel="1" x14ac:dyDescent="0.25">
      <c r="A360" s="2" t="s">
        <v>1217</v>
      </c>
      <c r="B360" s="2" t="s">
        <v>1218</v>
      </c>
      <c r="C360" s="13">
        <v>431.37</v>
      </c>
      <c r="D360" s="6">
        <v>312.39999999999998</v>
      </c>
      <c r="E360" s="6">
        <v>100</v>
      </c>
      <c r="F360" s="6"/>
      <c r="G360" s="6"/>
      <c r="H360" s="6">
        <v>13</v>
      </c>
      <c r="I360" s="6">
        <v>5607.81</v>
      </c>
      <c r="J360" s="6">
        <v>191</v>
      </c>
      <c r="K360" s="6">
        <v>82391.67</v>
      </c>
      <c r="L360" s="6"/>
      <c r="M360" s="6"/>
      <c r="N360" s="6">
        <f t="shared" si="29"/>
        <v>204</v>
      </c>
      <c r="O360" s="6">
        <f t="shared" si="30"/>
        <v>87999.48</v>
      </c>
      <c r="P360" s="6">
        <v>20</v>
      </c>
      <c r="Q360" s="6">
        <v>8977</v>
      </c>
      <c r="R360" s="6">
        <f t="shared" si="31"/>
        <v>80.948783610755427</v>
      </c>
      <c r="S360" s="6">
        <f t="shared" si="32"/>
        <v>34918.876786171568</v>
      </c>
    </row>
    <row r="361" spans="1:19" s="1" customFormat="1" ht="15" hidden="1" customHeight="1" outlineLevel="1" x14ac:dyDescent="0.25">
      <c r="A361" s="2" t="s">
        <v>486</v>
      </c>
      <c r="B361" s="2" t="s">
        <v>487</v>
      </c>
      <c r="C361" s="13">
        <v>147.05000000000001</v>
      </c>
      <c r="D361" s="6">
        <v>4693.5</v>
      </c>
      <c r="E361" s="6">
        <v>100</v>
      </c>
      <c r="F361" s="6"/>
      <c r="G361" s="6"/>
      <c r="H361" s="6"/>
      <c r="I361" s="6"/>
      <c r="J361" s="6">
        <v>1597</v>
      </c>
      <c r="K361" s="6">
        <v>234838.85</v>
      </c>
      <c r="L361" s="6"/>
      <c r="M361" s="6"/>
      <c r="N361" s="6">
        <f t="shared" si="29"/>
        <v>1597</v>
      </c>
      <c r="O361" s="6">
        <f t="shared" si="30"/>
        <v>234838.85</v>
      </c>
      <c r="P361" s="6">
        <v>11</v>
      </c>
      <c r="Q361" s="6">
        <v>1616</v>
      </c>
      <c r="R361" s="6">
        <f t="shared" si="31"/>
        <v>1535.7535953978906</v>
      </c>
      <c r="S361" s="6">
        <f t="shared" si="32"/>
        <v>225832.56620325983</v>
      </c>
    </row>
    <row r="362" spans="1:19" s="1" customFormat="1" ht="15" hidden="1" customHeight="1" outlineLevel="1" x14ac:dyDescent="0.25">
      <c r="A362" s="2" t="s">
        <v>937</v>
      </c>
      <c r="B362" s="2" t="s">
        <v>938</v>
      </c>
      <c r="C362" s="13">
        <v>139.69</v>
      </c>
      <c r="D362" s="6"/>
      <c r="E362" s="6">
        <v>9.68</v>
      </c>
      <c r="F362" s="6"/>
      <c r="G362" s="6"/>
      <c r="H362" s="6"/>
      <c r="I362" s="6"/>
      <c r="J362" s="6"/>
      <c r="K362" s="6"/>
      <c r="L362" s="6"/>
      <c r="M362" s="6"/>
      <c r="N362" s="6" t="str">
        <f t="shared" si="29"/>
        <v/>
      </c>
      <c r="O362" s="6" t="str">
        <f t="shared" si="30"/>
        <v/>
      </c>
      <c r="P362" s="6"/>
      <c r="Q362" s="6"/>
      <c r="R362" s="6"/>
      <c r="S362" s="6"/>
    </row>
    <row r="363" spans="1:19" s="1" customFormat="1" ht="15" hidden="1" customHeight="1" outlineLevel="1" x14ac:dyDescent="0.25">
      <c r="A363" s="2" t="s">
        <v>412</v>
      </c>
      <c r="B363" s="2" t="s">
        <v>413</v>
      </c>
      <c r="C363" s="13">
        <v>79.8</v>
      </c>
      <c r="D363" s="6">
        <v>129.4</v>
      </c>
      <c r="E363" s="6">
        <v>82.8</v>
      </c>
      <c r="F363" s="6"/>
      <c r="G363" s="6"/>
      <c r="H363" s="6">
        <v>100</v>
      </c>
      <c r="I363" s="6">
        <v>7980</v>
      </c>
      <c r="J363" s="6">
        <v>1253</v>
      </c>
      <c r="K363" s="6">
        <v>99989.4</v>
      </c>
      <c r="L363" s="6"/>
      <c r="M363" s="6"/>
      <c r="N363" s="6">
        <f t="shared" si="29"/>
        <v>1353</v>
      </c>
      <c r="O363" s="6">
        <f t="shared" si="30"/>
        <v>107969.4</v>
      </c>
      <c r="P363" s="6">
        <v>44</v>
      </c>
      <c r="Q363" s="6">
        <v>3592</v>
      </c>
      <c r="R363" s="6"/>
      <c r="S363" s="6"/>
    </row>
    <row r="364" spans="1:19" s="1" customFormat="1" ht="15" hidden="1" customHeight="1" outlineLevel="1" x14ac:dyDescent="0.25">
      <c r="A364" s="2" t="s">
        <v>293</v>
      </c>
      <c r="B364" s="2" t="s">
        <v>294</v>
      </c>
      <c r="C364" s="13">
        <v>461.61</v>
      </c>
      <c r="D364" s="6">
        <v>218.02</v>
      </c>
      <c r="E364" s="6">
        <v>100</v>
      </c>
      <c r="F364" s="6">
        <v>5</v>
      </c>
      <c r="G364" s="6">
        <v>2308.0500000000002</v>
      </c>
      <c r="H364" s="6">
        <v>1</v>
      </c>
      <c r="I364" s="6">
        <v>461.61</v>
      </c>
      <c r="J364" s="6">
        <v>531</v>
      </c>
      <c r="K364" s="6">
        <v>245114.91</v>
      </c>
      <c r="L364" s="6"/>
      <c r="M364" s="6"/>
      <c r="N364" s="6">
        <f t="shared" si="29"/>
        <v>537</v>
      </c>
      <c r="O364" s="6">
        <f t="shared" si="30"/>
        <v>247884.57</v>
      </c>
      <c r="P364" s="6">
        <v>21</v>
      </c>
      <c r="Q364" s="6">
        <v>8983</v>
      </c>
      <c r="R364" s="6">
        <f t="shared" si="31"/>
        <v>92.599853224474842</v>
      </c>
      <c r="S364" s="6">
        <f t="shared" si="32"/>
        <v>42745.018246949832</v>
      </c>
    </row>
    <row r="365" spans="1:19" s="1" customFormat="1" ht="15" hidden="1" customHeight="1" outlineLevel="1" x14ac:dyDescent="0.25">
      <c r="A365" s="2" t="s">
        <v>792</v>
      </c>
      <c r="B365" s="2" t="s">
        <v>793</v>
      </c>
      <c r="C365" s="13">
        <v>819.72</v>
      </c>
      <c r="D365" s="6"/>
      <c r="E365" s="6">
        <v>29.03</v>
      </c>
      <c r="F365" s="6"/>
      <c r="G365" s="6"/>
      <c r="H365" s="6">
        <v>2</v>
      </c>
      <c r="I365" s="6">
        <v>1639.44</v>
      </c>
      <c r="J365" s="6">
        <v>98</v>
      </c>
      <c r="K365" s="6">
        <v>80332.56</v>
      </c>
      <c r="L365" s="6"/>
      <c r="M365" s="6"/>
      <c r="N365" s="6">
        <f t="shared" si="29"/>
        <v>100</v>
      </c>
      <c r="O365" s="6">
        <f t="shared" si="30"/>
        <v>81972</v>
      </c>
      <c r="P365" s="6"/>
      <c r="Q365" s="6"/>
      <c r="R365" s="6"/>
      <c r="S365" s="6"/>
    </row>
    <row r="366" spans="1:19" s="1" customFormat="1" ht="15" hidden="1" customHeight="1" outlineLevel="1" x14ac:dyDescent="0.25">
      <c r="A366" s="2" t="s">
        <v>1087</v>
      </c>
      <c r="B366" s="2" t="s">
        <v>1088</v>
      </c>
      <c r="C366" s="13">
        <v>88.23</v>
      </c>
      <c r="D366" s="6">
        <v>3035.88</v>
      </c>
      <c r="E366" s="6">
        <v>100</v>
      </c>
      <c r="F366" s="6"/>
      <c r="G366" s="6"/>
      <c r="H366" s="6"/>
      <c r="I366" s="6"/>
      <c r="J366" s="6">
        <v>177</v>
      </c>
      <c r="K366" s="6">
        <v>15616.71</v>
      </c>
      <c r="L366" s="6"/>
      <c r="M366" s="6"/>
      <c r="N366" s="6">
        <f t="shared" si="29"/>
        <v>177</v>
      </c>
      <c r="O366" s="6">
        <f t="shared" si="30"/>
        <v>15616.710000000001</v>
      </c>
      <c r="P366" s="6">
        <v>3</v>
      </c>
      <c r="Q366" s="6">
        <v>240</v>
      </c>
      <c r="R366" s="6">
        <f t="shared" si="31"/>
        <v>166.5055140519388</v>
      </c>
      <c r="S366" s="6">
        <f t="shared" si="32"/>
        <v>14690.78150480256</v>
      </c>
    </row>
    <row r="367" spans="1:19" s="1" customFormat="1" ht="15" hidden="1" customHeight="1" outlineLevel="1" x14ac:dyDescent="0.25">
      <c r="A367" s="2" t="s">
        <v>488</v>
      </c>
      <c r="B367" s="2" t="s">
        <v>489</v>
      </c>
      <c r="C367" s="13">
        <v>69</v>
      </c>
      <c r="D367" s="6">
        <v>2001.93</v>
      </c>
      <c r="E367" s="6">
        <v>100</v>
      </c>
      <c r="F367" s="6"/>
      <c r="G367" s="6"/>
      <c r="H367" s="6">
        <v>35</v>
      </c>
      <c r="I367" s="6">
        <v>2415</v>
      </c>
      <c r="J367" s="6">
        <v>2085</v>
      </c>
      <c r="K367" s="6">
        <v>143865</v>
      </c>
      <c r="L367" s="6"/>
      <c r="M367" s="6"/>
      <c r="N367" s="6">
        <f t="shared" si="29"/>
        <v>2120</v>
      </c>
      <c r="O367" s="6">
        <f t="shared" si="30"/>
        <v>146280</v>
      </c>
      <c r="P367" s="6">
        <v>30</v>
      </c>
      <c r="Q367" s="6">
        <v>2220</v>
      </c>
      <c r="R367" s="6">
        <f t="shared" si="31"/>
        <v>1897.5309076740944</v>
      </c>
      <c r="S367" s="6">
        <f t="shared" si="32"/>
        <v>130929.6326295125</v>
      </c>
    </row>
    <row r="368" spans="1:19" s="1" customFormat="1" ht="15" hidden="1" customHeight="1" outlineLevel="1" x14ac:dyDescent="0.25">
      <c r="A368" s="2" t="s">
        <v>1101</v>
      </c>
      <c r="B368" s="2" t="s">
        <v>1102</v>
      </c>
      <c r="C368" s="13">
        <v>277.89999999999998</v>
      </c>
      <c r="D368" s="6">
        <v>1858.71</v>
      </c>
      <c r="E368" s="6">
        <v>100</v>
      </c>
      <c r="F368" s="6"/>
      <c r="G368" s="6"/>
      <c r="H368" s="6">
        <v>5</v>
      </c>
      <c r="I368" s="6">
        <v>1389.5</v>
      </c>
      <c r="J368" s="6">
        <v>98</v>
      </c>
      <c r="K368" s="6">
        <v>27234.2</v>
      </c>
      <c r="L368" s="6"/>
      <c r="M368" s="6"/>
      <c r="N368" s="6">
        <f t="shared" si="29"/>
        <v>103</v>
      </c>
      <c r="O368" s="6">
        <f t="shared" si="30"/>
        <v>28623.699999999997</v>
      </c>
      <c r="P368" s="6">
        <v>2</v>
      </c>
      <c r="Q368" s="6">
        <v>488</v>
      </c>
      <c r="R368" s="6">
        <f t="shared" si="31"/>
        <v>88.50954694384815</v>
      </c>
      <c r="S368" s="6">
        <f t="shared" si="32"/>
        <v>24596.803095695399</v>
      </c>
    </row>
    <row r="369" spans="1:19" s="1" customFormat="1" ht="15" hidden="1" customHeight="1" outlineLevel="1" x14ac:dyDescent="0.25">
      <c r="A369" s="2" t="s">
        <v>650</v>
      </c>
      <c r="B369" s="2" t="s">
        <v>651</v>
      </c>
      <c r="C369" s="13">
        <v>561.79999999999995</v>
      </c>
      <c r="D369" s="6">
        <v>128.32</v>
      </c>
      <c r="E369" s="6">
        <v>79.569999999999993</v>
      </c>
      <c r="F369" s="6"/>
      <c r="G369" s="6"/>
      <c r="H369" s="6"/>
      <c r="I369" s="6"/>
      <c r="J369" s="6">
        <v>24</v>
      </c>
      <c r="K369" s="6">
        <v>13483.2</v>
      </c>
      <c r="L369" s="6">
        <v>160</v>
      </c>
      <c r="M369" s="6">
        <v>89888</v>
      </c>
      <c r="N369" s="6">
        <f t="shared" si="29"/>
        <v>184</v>
      </c>
      <c r="O369" s="6">
        <f t="shared" si="30"/>
        <v>103371.2</v>
      </c>
      <c r="P369" s="6">
        <v>6</v>
      </c>
      <c r="Q369" s="6">
        <v>3713</v>
      </c>
      <c r="R369" s="6"/>
      <c r="S369" s="6"/>
    </row>
    <row r="370" spans="1:19" s="1" customFormat="1" ht="15" hidden="1" customHeight="1" outlineLevel="1" x14ac:dyDescent="0.25">
      <c r="A370" s="2" t="s">
        <v>1249</v>
      </c>
      <c r="B370" s="2" t="s">
        <v>1250</v>
      </c>
      <c r="C370" s="13">
        <v>138.65</v>
      </c>
      <c r="D370" s="6">
        <v>1068.42</v>
      </c>
      <c r="E370" s="6">
        <v>100</v>
      </c>
      <c r="F370" s="6"/>
      <c r="G370" s="6"/>
      <c r="H370" s="6"/>
      <c r="I370" s="6"/>
      <c r="J370" s="6">
        <v>874</v>
      </c>
      <c r="K370" s="6">
        <v>121180.1</v>
      </c>
      <c r="L370" s="6"/>
      <c r="M370" s="6"/>
      <c r="N370" s="6">
        <f t="shared" si="29"/>
        <v>874</v>
      </c>
      <c r="O370" s="6">
        <f t="shared" si="30"/>
        <v>121180.1</v>
      </c>
      <c r="P370" s="6">
        <v>20</v>
      </c>
      <c r="Q370" s="6">
        <v>3000</v>
      </c>
      <c r="R370" s="6">
        <f t="shared" si="31"/>
        <v>726.75453473353173</v>
      </c>
      <c r="S370" s="6">
        <f t="shared" si="32"/>
        <v>100764.51624080418</v>
      </c>
    </row>
    <row r="371" spans="1:19" s="1" customFormat="1" ht="15" hidden="1" customHeight="1" outlineLevel="1" x14ac:dyDescent="0.25">
      <c r="A371" s="2" t="s">
        <v>710</v>
      </c>
      <c r="B371" s="2" t="s">
        <v>711</v>
      </c>
      <c r="C371" s="13">
        <v>852.38</v>
      </c>
      <c r="D371" s="6">
        <v>313.12</v>
      </c>
      <c r="E371" s="6">
        <v>100</v>
      </c>
      <c r="F371" s="6"/>
      <c r="G371" s="6"/>
      <c r="H371" s="6"/>
      <c r="I371" s="6"/>
      <c r="J371" s="6">
        <v>187</v>
      </c>
      <c r="K371" s="6">
        <v>159395.06</v>
      </c>
      <c r="L371" s="6">
        <v>500</v>
      </c>
      <c r="M371" s="6">
        <v>426190</v>
      </c>
      <c r="N371" s="6">
        <f t="shared" si="29"/>
        <v>687</v>
      </c>
      <c r="O371" s="6">
        <f t="shared" si="30"/>
        <v>585585.05999999994</v>
      </c>
      <c r="P371" s="6">
        <v>19</v>
      </c>
      <c r="Q371" s="6">
        <v>17062</v>
      </c>
      <c r="R371" s="6">
        <f t="shared" si="31"/>
        <v>79.501277465508423</v>
      </c>
      <c r="S371" s="6">
        <f t="shared" si="32"/>
        <v>67765.298886050063</v>
      </c>
    </row>
    <row r="372" spans="1:19" s="1" customFormat="1" ht="15" hidden="1" customHeight="1" outlineLevel="1" x14ac:dyDescent="0.25">
      <c r="A372" s="2" t="s">
        <v>969</v>
      </c>
      <c r="B372" s="2" t="s">
        <v>970</v>
      </c>
      <c r="C372" s="13">
        <v>357.99</v>
      </c>
      <c r="D372" s="6">
        <v>73.23</v>
      </c>
      <c r="E372" s="6">
        <v>64.52</v>
      </c>
      <c r="F372" s="6"/>
      <c r="G372" s="6"/>
      <c r="H372" s="6">
        <v>5</v>
      </c>
      <c r="I372" s="6">
        <v>1789.95</v>
      </c>
      <c r="J372" s="6">
        <v>550</v>
      </c>
      <c r="K372" s="6">
        <v>196894.5</v>
      </c>
      <c r="L372" s="6"/>
      <c r="M372" s="6"/>
      <c r="N372" s="6">
        <f t="shared" si="29"/>
        <v>555</v>
      </c>
      <c r="O372" s="6">
        <f t="shared" si="30"/>
        <v>198684.45</v>
      </c>
      <c r="P372" s="6">
        <v>5</v>
      </c>
      <c r="Q372" s="6">
        <v>2085</v>
      </c>
      <c r="R372" s="6"/>
      <c r="S372" s="6"/>
    </row>
    <row r="373" spans="1:19" s="1" customFormat="1" ht="15" hidden="1" customHeight="1" outlineLevel="1" x14ac:dyDescent="0.25">
      <c r="A373" s="2" t="s">
        <v>273</v>
      </c>
      <c r="B373" s="2" t="s">
        <v>274</v>
      </c>
      <c r="C373" s="13">
        <v>381.32</v>
      </c>
      <c r="D373" s="6">
        <v>453.15</v>
      </c>
      <c r="E373" s="6">
        <v>100</v>
      </c>
      <c r="F373" s="6"/>
      <c r="G373" s="6"/>
      <c r="H373" s="6">
        <v>5</v>
      </c>
      <c r="I373" s="6">
        <v>1906.6</v>
      </c>
      <c r="J373" s="6">
        <v>340</v>
      </c>
      <c r="K373" s="6">
        <v>129648.8</v>
      </c>
      <c r="L373" s="6"/>
      <c r="M373" s="6"/>
      <c r="N373" s="6">
        <f t="shared" si="29"/>
        <v>345</v>
      </c>
      <c r="O373" s="6">
        <f t="shared" si="30"/>
        <v>131555.4</v>
      </c>
      <c r="P373" s="6">
        <v>11</v>
      </c>
      <c r="Q373" s="6">
        <v>4545</v>
      </c>
      <c r="R373" s="6">
        <f t="shared" si="31"/>
        <v>204.94538232373387</v>
      </c>
      <c r="S373" s="6">
        <f t="shared" si="32"/>
        <v>78149.773187686194</v>
      </c>
    </row>
    <row r="374" spans="1:19" s="1" customFormat="1" ht="15" hidden="1" customHeight="1" outlineLevel="1" x14ac:dyDescent="0.25">
      <c r="A374" s="2" t="s">
        <v>1233</v>
      </c>
      <c r="B374" s="2" t="s">
        <v>1234</v>
      </c>
      <c r="C374" s="13">
        <v>298.58</v>
      </c>
      <c r="D374" s="6"/>
      <c r="E374" s="6"/>
      <c r="F374" s="6"/>
      <c r="G374" s="6"/>
      <c r="H374" s="6"/>
      <c r="I374" s="6"/>
      <c r="J374" s="6">
        <v>600</v>
      </c>
      <c r="K374" s="6">
        <v>179148</v>
      </c>
      <c r="L374" s="6"/>
      <c r="M374" s="6"/>
      <c r="N374" s="6">
        <f t="shared" si="29"/>
        <v>600</v>
      </c>
      <c r="O374" s="6">
        <f t="shared" si="30"/>
        <v>179148</v>
      </c>
      <c r="P374" s="6"/>
      <c r="Q374" s="6"/>
      <c r="R374" s="6"/>
      <c r="S374" s="6"/>
    </row>
    <row r="375" spans="1:19" s="1" customFormat="1" ht="15" hidden="1" customHeight="1" outlineLevel="1" x14ac:dyDescent="0.25">
      <c r="A375" s="2" t="s">
        <v>782</v>
      </c>
      <c r="B375" s="2" t="s">
        <v>783</v>
      </c>
      <c r="C375" s="13">
        <v>370.89</v>
      </c>
      <c r="D375" s="6">
        <v>729.25</v>
      </c>
      <c r="E375" s="6">
        <v>82.8</v>
      </c>
      <c r="F375" s="6"/>
      <c r="G375" s="6"/>
      <c r="H375" s="6">
        <v>2</v>
      </c>
      <c r="I375" s="6">
        <v>741.78</v>
      </c>
      <c r="J375" s="6">
        <v>1198</v>
      </c>
      <c r="K375" s="6">
        <v>444326.22</v>
      </c>
      <c r="L375" s="6"/>
      <c r="M375" s="6"/>
      <c r="N375" s="6">
        <f t="shared" si="29"/>
        <v>1200</v>
      </c>
      <c r="O375" s="6">
        <f t="shared" si="30"/>
        <v>445068</v>
      </c>
      <c r="P375" s="6">
        <v>2</v>
      </c>
      <c r="Q375" s="6">
        <v>766</v>
      </c>
      <c r="R375" s="6">
        <f t="shared" si="31"/>
        <v>902.29893726431271</v>
      </c>
      <c r="S375" s="6">
        <f t="shared" si="32"/>
        <v>334653.65284196095</v>
      </c>
    </row>
    <row r="376" spans="1:19" s="1" customFormat="1" ht="15" hidden="1" customHeight="1" outlineLevel="1" x14ac:dyDescent="0.25">
      <c r="A376" s="2" t="s">
        <v>570</v>
      </c>
      <c r="B376" s="2" t="s">
        <v>571</v>
      </c>
      <c r="C376" s="13">
        <v>79.2</v>
      </c>
      <c r="D376" s="6">
        <v>146.62</v>
      </c>
      <c r="E376" s="6">
        <v>99.73</v>
      </c>
      <c r="F376" s="6"/>
      <c r="G376" s="6"/>
      <c r="H376" s="6"/>
      <c r="I376" s="6"/>
      <c r="J376" s="6">
        <v>415</v>
      </c>
      <c r="K376" s="6">
        <v>32868</v>
      </c>
      <c r="L376" s="6"/>
      <c r="M376" s="6"/>
      <c r="N376" s="6">
        <f t="shared" si="29"/>
        <v>415</v>
      </c>
      <c r="O376" s="6">
        <f t="shared" si="30"/>
        <v>32868</v>
      </c>
      <c r="P376" s="6">
        <v>12</v>
      </c>
      <c r="Q376" s="6">
        <v>814</v>
      </c>
      <c r="R376" s="6"/>
      <c r="S376" s="6"/>
    </row>
    <row r="377" spans="1:19" s="1" customFormat="1" ht="15" hidden="1" customHeight="1" outlineLevel="1" x14ac:dyDescent="0.25">
      <c r="A377" s="2" t="s">
        <v>750</v>
      </c>
      <c r="B377" s="2" t="s">
        <v>751</v>
      </c>
      <c r="C377" s="13">
        <v>192.48</v>
      </c>
      <c r="D377" s="6">
        <v>281.88</v>
      </c>
      <c r="E377" s="6">
        <v>100</v>
      </c>
      <c r="F377" s="6">
        <v>10</v>
      </c>
      <c r="G377" s="6">
        <v>1924.8</v>
      </c>
      <c r="H377" s="6"/>
      <c r="I377" s="6"/>
      <c r="J377" s="6">
        <v>1460</v>
      </c>
      <c r="K377" s="6">
        <v>281020.79999999999</v>
      </c>
      <c r="L377" s="6"/>
      <c r="M377" s="6"/>
      <c r="N377" s="6">
        <f t="shared" si="29"/>
        <v>1470</v>
      </c>
      <c r="O377" s="6">
        <f t="shared" si="30"/>
        <v>282945.59999999998</v>
      </c>
      <c r="P377" s="6">
        <v>31</v>
      </c>
      <c r="Q377" s="6">
        <v>6362</v>
      </c>
      <c r="R377" s="6">
        <f t="shared" si="31"/>
        <v>527.68837803320559</v>
      </c>
      <c r="S377" s="6">
        <f t="shared" si="32"/>
        <v>101569.45900383141</v>
      </c>
    </row>
    <row r="378" spans="1:19" s="1" customFormat="1" ht="15" hidden="1" customHeight="1" outlineLevel="1" x14ac:dyDescent="0.25">
      <c r="A378" s="2" t="s">
        <v>1129</v>
      </c>
      <c r="B378" s="2" t="s">
        <v>1130</v>
      </c>
      <c r="C378" s="13">
        <v>368.08</v>
      </c>
      <c r="D378" s="6">
        <v>134.09</v>
      </c>
      <c r="E378" s="6">
        <v>100</v>
      </c>
      <c r="F378" s="6"/>
      <c r="G378" s="6"/>
      <c r="H378" s="6">
        <v>10</v>
      </c>
      <c r="I378" s="6">
        <v>3680.8</v>
      </c>
      <c r="J378" s="6">
        <v>-7</v>
      </c>
      <c r="K378" s="6">
        <v>-2576.56</v>
      </c>
      <c r="L378" s="6"/>
      <c r="M378" s="6"/>
      <c r="N378" s="6">
        <f t="shared" si="29"/>
        <v>3</v>
      </c>
      <c r="O378" s="6">
        <f t="shared" si="30"/>
        <v>1104.24</v>
      </c>
      <c r="P378" s="6">
        <v>16</v>
      </c>
      <c r="Q378" s="6">
        <v>6033</v>
      </c>
      <c r="R378" s="6">
        <f t="shared" si="31"/>
        <v>2.3966738757550896</v>
      </c>
      <c r="S378" s="6">
        <f t="shared" si="32"/>
        <v>882.16772018793336</v>
      </c>
    </row>
    <row r="379" spans="1:19" s="1" customFormat="1" ht="15" hidden="1" customHeight="1" outlineLevel="1" x14ac:dyDescent="0.25">
      <c r="A379" s="2" t="s">
        <v>684</v>
      </c>
      <c r="B379" s="2" t="s">
        <v>685</v>
      </c>
      <c r="C379" s="13">
        <v>755</v>
      </c>
      <c r="D379" s="6"/>
      <c r="E379" s="6">
        <v>100</v>
      </c>
      <c r="F379" s="6"/>
      <c r="G379" s="6"/>
      <c r="H379" s="6">
        <v>12</v>
      </c>
      <c r="I379" s="6">
        <v>9060</v>
      </c>
      <c r="J379" s="6">
        <v>251</v>
      </c>
      <c r="K379" s="6">
        <v>189505</v>
      </c>
      <c r="L379" s="6"/>
      <c r="M379" s="6"/>
      <c r="N379" s="6">
        <f t="shared" si="29"/>
        <v>263</v>
      </c>
      <c r="O379" s="6">
        <f t="shared" si="30"/>
        <v>198565</v>
      </c>
      <c r="P379" s="6"/>
      <c r="Q379" s="6"/>
      <c r="R379" s="6"/>
      <c r="S379" s="6"/>
    </row>
    <row r="380" spans="1:19" s="1" customFormat="1" ht="15" hidden="1" customHeight="1" outlineLevel="1" x14ac:dyDescent="0.25">
      <c r="A380" s="2" t="s">
        <v>65</v>
      </c>
      <c r="B380" s="2" t="s">
        <v>66</v>
      </c>
      <c r="C380" s="13">
        <v>230.05</v>
      </c>
      <c r="D380" s="6">
        <v>65.7</v>
      </c>
      <c r="E380" s="6">
        <v>43.01</v>
      </c>
      <c r="F380" s="6"/>
      <c r="G380" s="6"/>
      <c r="H380" s="6">
        <v>10</v>
      </c>
      <c r="I380" s="6">
        <v>2300.5</v>
      </c>
      <c r="J380" s="6">
        <v>65</v>
      </c>
      <c r="K380" s="6">
        <v>14953.25</v>
      </c>
      <c r="L380" s="6"/>
      <c r="M380" s="6"/>
      <c r="N380" s="6">
        <f t="shared" si="29"/>
        <v>75</v>
      </c>
      <c r="O380" s="6">
        <f t="shared" si="30"/>
        <v>17253.75</v>
      </c>
      <c r="P380" s="6">
        <v>75</v>
      </c>
      <c r="Q380" s="6">
        <v>17322</v>
      </c>
      <c r="R380" s="6"/>
      <c r="S380" s="6"/>
    </row>
    <row r="381" spans="1:19" s="1" customFormat="1" ht="15" hidden="1" customHeight="1" outlineLevel="1" x14ac:dyDescent="0.25">
      <c r="A381" s="2" t="s">
        <v>764</v>
      </c>
      <c r="B381" s="2" t="s">
        <v>765</v>
      </c>
      <c r="C381" s="13">
        <v>58.71</v>
      </c>
      <c r="D381" s="6">
        <v>1527.67</v>
      </c>
      <c r="E381" s="6">
        <v>100</v>
      </c>
      <c r="F381" s="6">
        <v>5</v>
      </c>
      <c r="G381" s="6">
        <v>293.55</v>
      </c>
      <c r="H381" s="6">
        <v>25</v>
      </c>
      <c r="I381" s="6">
        <v>1467.75</v>
      </c>
      <c r="J381" s="6">
        <v>1932</v>
      </c>
      <c r="K381" s="6">
        <v>113427.72</v>
      </c>
      <c r="L381" s="6"/>
      <c r="M381" s="6"/>
      <c r="N381" s="6">
        <f t="shared" si="29"/>
        <v>1962</v>
      </c>
      <c r="O381" s="6">
        <f t="shared" si="30"/>
        <v>115189.02</v>
      </c>
      <c r="P381" s="6">
        <v>43</v>
      </c>
      <c r="Q381" s="6">
        <v>2631</v>
      </c>
      <c r="R381" s="6">
        <f t="shared" si="31"/>
        <v>1704.3592137045305</v>
      </c>
      <c r="S381" s="6">
        <f t="shared" si="32"/>
        <v>100062.92943659298</v>
      </c>
    </row>
    <row r="382" spans="1:19" s="1" customFormat="1" ht="15" hidden="1" customHeight="1" outlineLevel="1" x14ac:dyDescent="0.25">
      <c r="A382" s="2" t="s">
        <v>1153</v>
      </c>
      <c r="B382" s="2" t="s">
        <v>1154</v>
      </c>
      <c r="C382" s="13">
        <v>502.1</v>
      </c>
      <c r="D382" s="6">
        <v>2507.25</v>
      </c>
      <c r="E382" s="6">
        <v>66.67</v>
      </c>
      <c r="F382" s="6"/>
      <c r="G382" s="6"/>
      <c r="H382" s="6">
        <v>10</v>
      </c>
      <c r="I382" s="6">
        <v>5021</v>
      </c>
      <c r="J382" s="6">
        <v>61</v>
      </c>
      <c r="K382" s="6">
        <v>30628.1</v>
      </c>
      <c r="L382" s="6"/>
      <c r="M382" s="6"/>
      <c r="N382" s="6">
        <f t="shared" si="29"/>
        <v>71</v>
      </c>
      <c r="O382" s="6">
        <f t="shared" si="30"/>
        <v>35649.1</v>
      </c>
      <c r="P382" s="6">
        <v>1</v>
      </c>
      <c r="Q382" s="6">
        <v>700</v>
      </c>
      <c r="R382" s="6">
        <f t="shared" si="31"/>
        <v>56.620699970086747</v>
      </c>
      <c r="S382" s="6">
        <f t="shared" si="32"/>
        <v>28429.253454980557</v>
      </c>
    </row>
    <row r="383" spans="1:19" s="1" customFormat="1" ht="15" hidden="1" customHeight="1" outlineLevel="1" x14ac:dyDescent="0.25">
      <c r="A383" s="2" t="s">
        <v>802</v>
      </c>
      <c r="B383" s="2" t="s">
        <v>803</v>
      </c>
      <c r="C383" s="13">
        <v>175.32</v>
      </c>
      <c r="D383" s="6">
        <v>1649.9</v>
      </c>
      <c r="E383" s="6">
        <v>100</v>
      </c>
      <c r="F383" s="6"/>
      <c r="G383" s="6"/>
      <c r="H383" s="6">
        <v>96</v>
      </c>
      <c r="I383" s="6">
        <v>16830.72</v>
      </c>
      <c r="J383" s="6">
        <v>4476</v>
      </c>
      <c r="K383" s="6">
        <v>784732.32</v>
      </c>
      <c r="L383" s="6">
        <v>378</v>
      </c>
      <c r="M383" s="6">
        <v>66270.960000000006</v>
      </c>
      <c r="N383" s="6">
        <f t="shared" si="29"/>
        <v>4950</v>
      </c>
      <c r="O383" s="6">
        <f t="shared" si="30"/>
        <v>867834</v>
      </c>
      <c r="P383" s="6">
        <v>45</v>
      </c>
      <c r="Q383" s="6">
        <v>8142</v>
      </c>
      <c r="R383" s="6">
        <f t="shared" si="31"/>
        <v>3987.6794957270135</v>
      </c>
      <c r="S383" s="6">
        <f t="shared" si="32"/>
        <v>699119.96919085993</v>
      </c>
    </row>
    <row r="384" spans="1:19" s="1" customFormat="1" ht="15" hidden="1" customHeight="1" outlineLevel="1" x14ac:dyDescent="0.25">
      <c r="A384" s="2" t="s">
        <v>470</v>
      </c>
      <c r="B384" s="2" t="s">
        <v>471</v>
      </c>
      <c r="C384" s="13">
        <v>1133.32</v>
      </c>
      <c r="D384" s="6"/>
      <c r="E384" s="6">
        <v>100</v>
      </c>
      <c r="F384" s="6"/>
      <c r="G384" s="6"/>
      <c r="H384" s="6"/>
      <c r="I384" s="6"/>
      <c r="J384" s="6">
        <v>524</v>
      </c>
      <c r="K384" s="6">
        <v>593859.68000000005</v>
      </c>
      <c r="L384" s="6"/>
      <c r="M384" s="6"/>
      <c r="N384" s="6">
        <f t="shared" si="29"/>
        <v>524</v>
      </c>
      <c r="O384" s="6">
        <f t="shared" si="30"/>
        <v>593859.67999999993</v>
      </c>
      <c r="P384" s="6"/>
      <c r="Q384" s="6"/>
      <c r="R384" s="6"/>
      <c r="S384" s="6"/>
    </row>
    <row r="385" spans="1:19" s="1" customFormat="1" ht="15" hidden="1" customHeight="1" outlineLevel="1" x14ac:dyDescent="0.25">
      <c r="A385" s="2" t="s">
        <v>1149</v>
      </c>
      <c r="B385" s="2" t="s">
        <v>1150</v>
      </c>
      <c r="C385" s="13">
        <v>405.64</v>
      </c>
      <c r="D385" s="6">
        <v>645.65</v>
      </c>
      <c r="E385" s="6">
        <v>100</v>
      </c>
      <c r="F385" s="6"/>
      <c r="G385" s="6"/>
      <c r="H385" s="6">
        <v>4</v>
      </c>
      <c r="I385" s="6">
        <v>1622.56</v>
      </c>
      <c r="J385" s="6">
        <v>95</v>
      </c>
      <c r="K385" s="6">
        <v>38535.800000000003</v>
      </c>
      <c r="L385" s="6"/>
      <c r="M385" s="6"/>
      <c r="N385" s="6">
        <f t="shared" si="29"/>
        <v>99</v>
      </c>
      <c r="O385" s="6">
        <f t="shared" si="30"/>
        <v>40158.36</v>
      </c>
      <c r="P385" s="6">
        <v>6</v>
      </c>
      <c r="Q385" s="6">
        <v>2494</v>
      </c>
      <c r="R385" s="6">
        <f t="shared" si="31"/>
        <v>68.51506234027724</v>
      </c>
      <c r="S385" s="6">
        <f t="shared" si="32"/>
        <v>27792.44988771006</v>
      </c>
    </row>
    <row r="386" spans="1:19" s="1" customFormat="1" ht="15" hidden="1" customHeight="1" outlineLevel="1" x14ac:dyDescent="0.25">
      <c r="A386" s="2" t="s">
        <v>867</v>
      </c>
      <c r="B386" s="2" t="s">
        <v>868</v>
      </c>
      <c r="C386" s="13">
        <v>47</v>
      </c>
      <c r="D386" s="6">
        <v>48.82</v>
      </c>
      <c r="E386" s="6">
        <v>100</v>
      </c>
      <c r="F386" s="6"/>
      <c r="G386" s="6"/>
      <c r="H386" s="6">
        <v>7</v>
      </c>
      <c r="I386" s="6">
        <v>329</v>
      </c>
      <c r="J386" s="6">
        <v>0</v>
      </c>
      <c r="K386" s="6">
        <v>0</v>
      </c>
      <c r="L386" s="6"/>
      <c r="M386" s="6"/>
      <c r="N386" s="6">
        <f t="shared" si="29"/>
        <v>7</v>
      </c>
      <c r="O386" s="6">
        <f t="shared" si="30"/>
        <v>329</v>
      </c>
      <c r="P386" s="6">
        <v>13</v>
      </c>
      <c r="Q386" s="6">
        <v>650</v>
      </c>
      <c r="R386" s="6"/>
      <c r="S386" s="6"/>
    </row>
    <row r="387" spans="1:19" s="1" customFormat="1" ht="15" hidden="1" customHeight="1" outlineLevel="1" x14ac:dyDescent="0.25">
      <c r="A387" s="2" t="s">
        <v>1133</v>
      </c>
      <c r="B387" s="2" t="s">
        <v>1134</v>
      </c>
      <c r="C387" s="13">
        <v>309.86</v>
      </c>
      <c r="D387" s="6">
        <v>231.33</v>
      </c>
      <c r="E387" s="6">
        <v>100</v>
      </c>
      <c r="F387" s="6">
        <v>6</v>
      </c>
      <c r="G387" s="6">
        <v>1859.16</v>
      </c>
      <c r="H387" s="6"/>
      <c r="I387" s="6"/>
      <c r="J387" s="6">
        <v>31</v>
      </c>
      <c r="K387" s="6">
        <v>9605.66</v>
      </c>
      <c r="L387" s="6"/>
      <c r="M387" s="6"/>
      <c r="N387" s="6">
        <f t="shared" si="29"/>
        <v>37</v>
      </c>
      <c r="O387" s="6">
        <f t="shared" si="30"/>
        <v>11464.82</v>
      </c>
      <c r="P387" s="6">
        <v>14</v>
      </c>
      <c r="Q387" s="6">
        <v>4492</v>
      </c>
      <c r="R387" s="6">
        <f t="shared" si="31"/>
        <v>6.8786149656335116</v>
      </c>
      <c r="S387" s="6">
        <f t="shared" si="32"/>
        <v>2131.4076332512</v>
      </c>
    </row>
    <row r="388" spans="1:19" s="1" customFormat="1" ht="15" hidden="1" customHeight="1" outlineLevel="1" x14ac:dyDescent="0.25">
      <c r="A388" s="2" t="s">
        <v>1333</v>
      </c>
      <c r="B388" s="2" t="s">
        <v>1334</v>
      </c>
      <c r="C388" s="13">
        <v>709.16</v>
      </c>
      <c r="D388" s="6">
        <v>1415</v>
      </c>
      <c r="E388" s="6">
        <v>100</v>
      </c>
      <c r="F388" s="6"/>
      <c r="G388" s="6"/>
      <c r="H388" s="6"/>
      <c r="I388" s="6"/>
      <c r="J388" s="6">
        <v>90</v>
      </c>
      <c r="K388" s="6">
        <v>63824.4</v>
      </c>
      <c r="L388" s="6"/>
      <c r="M388" s="6"/>
      <c r="N388" s="6">
        <f t="shared" si="29"/>
        <v>90</v>
      </c>
      <c r="O388" s="6">
        <f t="shared" si="30"/>
        <v>63824.399999999994</v>
      </c>
      <c r="P388" s="6">
        <v>0</v>
      </c>
      <c r="Q388" s="6">
        <v>226</v>
      </c>
      <c r="R388" s="6">
        <f t="shared" si="31"/>
        <v>78.551236749116597</v>
      </c>
      <c r="S388" s="6">
        <f t="shared" si="32"/>
        <v>55705.395053003522</v>
      </c>
    </row>
    <row r="389" spans="1:19" s="1" customFormat="1" ht="15" hidden="1" customHeight="1" outlineLevel="1" x14ac:dyDescent="0.25">
      <c r="A389" s="2" t="s">
        <v>275</v>
      </c>
      <c r="B389" s="2" t="s">
        <v>276</v>
      </c>
      <c r="C389" s="13">
        <v>381.32</v>
      </c>
      <c r="D389" s="6">
        <v>3233.6</v>
      </c>
      <c r="E389" s="6">
        <v>100</v>
      </c>
      <c r="F389" s="6"/>
      <c r="G389" s="6"/>
      <c r="H389" s="6">
        <v>13</v>
      </c>
      <c r="I389" s="6">
        <v>4957.16</v>
      </c>
      <c r="J389" s="6">
        <v>1185</v>
      </c>
      <c r="K389" s="6">
        <v>451864.2</v>
      </c>
      <c r="L389" s="6"/>
      <c r="M389" s="6"/>
      <c r="N389" s="6">
        <f t="shared" si="29"/>
        <v>1198</v>
      </c>
      <c r="O389" s="6">
        <f t="shared" si="30"/>
        <v>456821.36</v>
      </c>
      <c r="P389" s="6">
        <v>11</v>
      </c>
      <c r="Q389" s="6">
        <v>4511</v>
      </c>
      <c r="R389" s="6">
        <f t="shared" si="31"/>
        <v>1119.0363681345868</v>
      </c>
      <c r="S389" s="6">
        <f t="shared" si="32"/>
        <v>426710.94789708062</v>
      </c>
    </row>
    <row r="390" spans="1:19" s="1" customFormat="1" ht="15" hidden="1" customHeight="1" outlineLevel="1" x14ac:dyDescent="0.25">
      <c r="A390" s="2" t="s">
        <v>1335</v>
      </c>
      <c r="B390" s="2" t="s">
        <v>1336</v>
      </c>
      <c r="C390" s="13">
        <v>783.28</v>
      </c>
      <c r="D390" s="6">
        <v>371</v>
      </c>
      <c r="E390" s="6">
        <v>100</v>
      </c>
      <c r="F390" s="6"/>
      <c r="G390" s="6"/>
      <c r="H390" s="6">
        <v>1</v>
      </c>
      <c r="I390" s="6">
        <v>783.28</v>
      </c>
      <c r="J390" s="6">
        <v>76</v>
      </c>
      <c r="K390" s="6">
        <v>59529.279999999999</v>
      </c>
      <c r="L390" s="6"/>
      <c r="M390" s="6"/>
      <c r="N390" s="6">
        <f t="shared" si="29"/>
        <v>77</v>
      </c>
      <c r="O390" s="6">
        <f t="shared" si="30"/>
        <v>60312.56</v>
      </c>
      <c r="P390" s="6">
        <v>5</v>
      </c>
      <c r="Q390" s="6">
        <v>3684</v>
      </c>
      <c r="R390" s="6">
        <f t="shared" si="31"/>
        <v>39.126684636118597</v>
      </c>
      <c r="S390" s="6">
        <f t="shared" si="32"/>
        <v>30647.149541778974</v>
      </c>
    </row>
    <row r="391" spans="1:19" s="1" customFormat="1" ht="15" hidden="1" customHeight="1" outlineLevel="1" x14ac:dyDescent="0.25">
      <c r="A391" s="2" t="s">
        <v>564</v>
      </c>
      <c r="B391" s="2" t="s">
        <v>565</v>
      </c>
      <c r="C391" s="13">
        <v>52.73</v>
      </c>
      <c r="D391" s="6">
        <v>371.48</v>
      </c>
      <c r="E391" s="6">
        <v>100</v>
      </c>
      <c r="F391" s="6"/>
      <c r="G391" s="6"/>
      <c r="H391" s="6">
        <v>10</v>
      </c>
      <c r="I391" s="6">
        <v>527.29999999999995</v>
      </c>
      <c r="J391" s="6">
        <v>363</v>
      </c>
      <c r="K391" s="6">
        <v>19140.990000000002</v>
      </c>
      <c r="L391" s="6"/>
      <c r="M391" s="6"/>
      <c r="N391" s="6">
        <f t="shared" si="29"/>
        <v>373</v>
      </c>
      <c r="O391" s="6">
        <f t="shared" si="30"/>
        <v>19668.289999999997</v>
      </c>
      <c r="P391" s="6">
        <v>29</v>
      </c>
      <c r="Q391" s="6">
        <v>1395</v>
      </c>
      <c r="R391" s="6">
        <f t="shared" si="31"/>
        <v>187.10896952729624</v>
      </c>
      <c r="S391" s="6">
        <f t="shared" si="32"/>
        <v>9866.2559631743297</v>
      </c>
    </row>
    <row r="392" spans="1:19" s="1" customFormat="1" ht="15" hidden="1" customHeight="1" outlineLevel="1" x14ac:dyDescent="0.25">
      <c r="A392" s="2" t="s">
        <v>1077</v>
      </c>
      <c r="B392" s="2" t="s">
        <v>1078</v>
      </c>
      <c r="C392" s="13">
        <v>930</v>
      </c>
      <c r="D392" s="6"/>
      <c r="E392" s="6">
        <v>100</v>
      </c>
      <c r="F392" s="6"/>
      <c r="G392" s="6"/>
      <c r="H392" s="6"/>
      <c r="I392" s="6"/>
      <c r="J392" s="6">
        <v>248</v>
      </c>
      <c r="K392" s="6">
        <v>230640</v>
      </c>
      <c r="L392" s="6"/>
      <c r="M392" s="6"/>
      <c r="N392" s="6">
        <f t="shared" si="29"/>
        <v>248</v>
      </c>
      <c r="O392" s="6">
        <f t="shared" si="30"/>
        <v>230640</v>
      </c>
      <c r="P392" s="6"/>
      <c r="Q392" s="6"/>
      <c r="R392" s="6"/>
      <c r="S392" s="6"/>
    </row>
    <row r="393" spans="1:19" s="1" customFormat="1" ht="15" hidden="1" customHeight="1" outlineLevel="1" x14ac:dyDescent="0.25">
      <c r="A393" s="2" t="s">
        <v>1189</v>
      </c>
      <c r="B393" s="2" t="s">
        <v>1190</v>
      </c>
      <c r="C393" s="13">
        <v>153.4</v>
      </c>
      <c r="D393" s="6">
        <v>357.59</v>
      </c>
      <c r="E393" s="6">
        <v>100</v>
      </c>
      <c r="F393" s="6"/>
      <c r="G393" s="6"/>
      <c r="H393" s="6"/>
      <c r="I393" s="6"/>
      <c r="J393" s="6">
        <v>270</v>
      </c>
      <c r="K393" s="6">
        <v>41418</v>
      </c>
      <c r="L393" s="6"/>
      <c r="M393" s="6"/>
      <c r="N393" s="6">
        <f t="shared" si="29"/>
        <v>270</v>
      </c>
      <c r="O393" s="6">
        <f t="shared" si="30"/>
        <v>41418</v>
      </c>
      <c r="P393" s="6">
        <v>28</v>
      </c>
      <c r="Q393" s="6">
        <v>4516</v>
      </c>
      <c r="R393" s="6">
        <f t="shared" si="31"/>
        <v>134.09015912078078</v>
      </c>
      <c r="S393" s="6">
        <f t="shared" si="32"/>
        <v>20569.430409127774</v>
      </c>
    </row>
    <row r="394" spans="1:19" s="1" customFormat="1" ht="15" hidden="1" customHeight="1" outlineLevel="1" x14ac:dyDescent="0.25">
      <c r="A394" s="2" t="s">
        <v>428</v>
      </c>
      <c r="B394" s="2" t="s">
        <v>429</v>
      </c>
      <c r="C394" s="13">
        <v>84.34</v>
      </c>
      <c r="D394" s="6">
        <v>648.41</v>
      </c>
      <c r="E394" s="6">
        <v>100</v>
      </c>
      <c r="F394" s="6"/>
      <c r="G394" s="6"/>
      <c r="H394" s="6">
        <v>3</v>
      </c>
      <c r="I394" s="6">
        <v>253.02</v>
      </c>
      <c r="J394" s="6">
        <v>740</v>
      </c>
      <c r="K394" s="6">
        <v>62411.6</v>
      </c>
      <c r="L394" s="6"/>
      <c r="M394" s="6"/>
      <c r="N394" s="6">
        <f t="shared" si="29"/>
        <v>743</v>
      </c>
      <c r="O394" s="6">
        <f t="shared" si="30"/>
        <v>62664.62</v>
      </c>
      <c r="P394" s="6">
        <v>28</v>
      </c>
      <c r="Q394" s="6">
        <v>2520</v>
      </c>
      <c r="R394" s="6">
        <f t="shared" si="31"/>
        <v>534.57442050554437</v>
      </c>
      <c r="S394" s="6">
        <f t="shared" si="32"/>
        <v>45086.006625437614</v>
      </c>
    </row>
    <row r="395" spans="1:19" s="1" customFormat="1" ht="15" hidden="1" customHeight="1" outlineLevel="1" x14ac:dyDescent="0.25">
      <c r="A395" s="2" t="s">
        <v>436</v>
      </c>
      <c r="B395" s="2" t="s">
        <v>437</v>
      </c>
      <c r="C395" s="13">
        <v>38.81</v>
      </c>
      <c r="D395" s="6">
        <v>207.5</v>
      </c>
      <c r="E395" s="6">
        <v>80.650000000000006</v>
      </c>
      <c r="F395" s="6"/>
      <c r="G395" s="6"/>
      <c r="H395" s="6">
        <v>105</v>
      </c>
      <c r="I395" s="6">
        <v>4075.05</v>
      </c>
      <c r="J395" s="6">
        <v>655</v>
      </c>
      <c r="K395" s="6">
        <v>25420.55</v>
      </c>
      <c r="L395" s="6"/>
      <c r="M395" s="6"/>
      <c r="N395" s="6">
        <f t="shared" si="29"/>
        <v>760</v>
      </c>
      <c r="O395" s="6">
        <f t="shared" si="30"/>
        <v>29495.600000000002</v>
      </c>
      <c r="P395" s="6">
        <v>17</v>
      </c>
      <c r="Q395" s="6">
        <v>681</v>
      </c>
      <c r="R395" s="6">
        <f t="shared" si="31"/>
        <v>86.807228915662648</v>
      </c>
      <c r="S395" s="6">
        <f t="shared" si="32"/>
        <v>3368.9885542168677</v>
      </c>
    </row>
    <row r="396" spans="1:19" s="1" customFormat="1" ht="15" hidden="1" customHeight="1" outlineLevel="1" x14ac:dyDescent="0.25">
      <c r="A396" s="2" t="s">
        <v>39</v>
      </c>
      <c r="B396" s="2" t="s">
        <v>40</v>
      </c>
      <c r="C396" s="13">
        <v>89</v>
      </c>
      <c r="D396" s="6">
        <v>411.14</v>
      </c>
      <c r="E396" s="6">
        <v>61.29</v>
      </c>
      <c r="F396" s="6"/>
      <c r="G396" s="6"/>
      <c r="H396" s="6">
        <v>45</v>
      </c>
      <c r="I396" s="6">
        <v>4005</v>
      </c>
      <c r="J396" s="6">
        <v>274</v>
      </c>
      <c r="K396" s="6">
        <v>24386</v>
      </c>
      <c r="L396" s="6">
        <v>600</v>
      </c>
      <c r="M396" s="6">
        <v>53400</v>
      </c>
      <c r="N396" s="6">
        <f t="shared" si="29"/>
        <v>919</v>
      </c>
      <c r="O396" s="6">
        <f t="shared" si="30"/>
        <v>81791</v>
      </c>
      <c r="P396" s="6">
        <v>27</v>
      </c>
      <c r="Q396" s="6">
        <v>2548</v>
      </c>
      <c r="R396" s="6">
        <f t="shared" si="31"/>
        <v>154.04086199348151</v>
      </c>
      <c r="S396" s="6">
        <f t="shared" si="32"/>
        <v>13709.636717419855</v>
      </c>
    </row>
    <row r="397" spans="1:19" s="1" customFormat="1" ht="15" hidden="1" customHeight="1" outlineLevel="1" x14ac:dyDescent="0.25">
      <c r="A397" s="2" t="s">
        <v>1167</v>
      </c>
      <c r="B397" s="2" t="s">
        <v>1168</v>
      </c>
      <c r="C397" s="13">
        <v>964.31</v>
      </c>
      <c r="D397" s="6">
        <v>7506</v>
      </c>
      <c r="E397" s="6">
        <v>100</v>
      </c>
      <c r="F397" s="6"/>
      <c r="G397" s="6"/>
      <c r="H397" s="6">
        <v>1</v>
      </c>
      <c r="I397" s="6">
        <v>964.31</v>
      </c>
      <c r="J397" s="6">
        <v>159</v>
      </c>
      <c r="K397" s="6">
        <v>153325.29</v>
      </c>
      <c r="L397" s="6"/>
      <c r="M397" s="6"/>
      <c r="N397" s="6">
        <f t="shared" si="29"/>
        <v>160</v>
      </c>
      <c r="O397" s="6">
        <f t="shared" si="30"/>
        <v>154289.59999999998</v>
      </c>
      <c r="P397" s="6">
        <v>1</v>
      </c>
      <c r="Q397" s="6">
        <v>747</v>
      </c>
      <c r="R397" s="6">
        <f t="shared" si="31"/>
        <v>155.18705035971223</v>
      </c>
      <c r="S397" s="6">
        <f t="shared" si="32"/>
        <v>149648.42453237411</v>
      </c>
    </row>
    <row r="398" spans="1:19" s="1" customFormat="1" ht="15" hidden="1" customHeight="1" outlineLevel="1" x14ac:dyDescent="0.25">
      <c r="A398" s="2" t="s">
        <v>1169</v>
      </c>
      <c r="B398" s="2" t="s">
        <v>1170</v>
      </c>
      <c r="C398" s="13">
        <v>976.52</v>
      </c>
      <c r="D398" s="6"/>
      <c r="E398" s="6">
        <v>100</v>
      </c>
      <c r="F398" s="6"/>
      <c r="G398" s="6"/>
      <c r="H398" s="6"/>
      <c r="I398" s="6"/>
      <c r="J398" s="6">
        <v>37</v>
      </c>
      <c r="K398" s="6">
        <v>36131.24</v>
      </c>
      <c r="L398" s="6"/>
      <c r="M398" s="6"/>
      <c r="N398" s="6">
        <f t="shared" si="29"/>
        <v>37</v>
      </c>
      <c r="O398" s="6">
        <f t="shared" si="30"/>
        <v>36131.24</v>
      </c>
      <c r="P398" s="6"/>
      <c r="Q398" s="6"/>
      <c r="R398" s="6"/>
      <c r="S398" s="6"/>
    </row>
    <row r="399" spans="1:19" s="1" customFormat="1" ht="15" hidden="1" customHeight="1" outlineLevel="1" x14ac:dyDescent="0.25">
      <c r="A399" s="2" t="s">
        <v>1321</v>
      </c>
      <c r="B399" s="2" t="s">
        <v>1322</v>
      </c>
      <c r="C399" s="13">
        <v>165.86</v>
      </c>
      <c r="D399" s="6">
        <v>45.86</v>
      </c>
      <c r="E399" s="6">
        <v>29.03</v>
      </c>
      <c r="F399" s="6"/>
      <c r="G399" s="6"/>
      <c r="H399" s="6"/>
      <c r="I399" s="6"/>
      <c r="J399" s="6">
        <v>1068</v>
      </c>
      <c r="K399" s="6">
        <v>177138.48</v>
      </c>
      <c r="L399" s="6"/>
      <c r="M399" s="6"/>
      <c r="N399" s="6">
        <f t="shared" si="29"/>
        <v>1068</v>
      </c>
      <c r="O399" s="6">
        <f t="shared" si="30"/>
        <v>177138.48</v>
      </c>
      <c r="P399" s="6">
        <v>28</v>
      </c>
      <c r="Q399" s="6">
        <v>4710</v>
      </c>
      <c r="R399" s="6"/>
      <c r="S399" s="6"/>
    </row>
    <row r="400" spans="1:19" s="1" customFormat="1" ht="15" hidden="1" customHeight="1" outlineLevel="1" x14ac:dyDescent="0.25">
      <c r="A400" s="2" t="s">
        <v>518</v>
      </c>
      <c r="B400" s="2" t="s">
        <v>519</v>
      </c>
      <c r="C400" s="13">
        <v>235</v>
      </c>
      <c r="D400" s="6">
        <v>483</v>
      </c>
      <c r="E400" s="6">
        <v>100</v>
      </c>
      <c r="F400" s="6"/>
      <c r="G400" s="6"/>
      <c r="H400" s="6"/>
      <c r="I400" s="6"/>
      <c r="J400" s="6">
        <v>101</v>
      </c>
      <c r="K400" s="6">
        <v>23735</v>
      </c>
      <c r="L400" s="6">
        <v>200</v>
      </c>
      <c r="M400" s="6">
        <v>47000</v>
      </c>
      <c r="N400" s="6">
        <f t="shared" si="29"/>
        <v>301</v>
      </c>
      <c r="O400" s="6">
        <f t="shared" si="30"/>
        <v>70735</v>
      </c>
      <c r="P400" s="6">
        <v>6</v>
      </c>
      <c r="Q400" s="6">
        <v>1370</v>
      </c>
      <c r="R400" s="6">
        <f t="shared" si="31"/>
        <v>63.360248447204967</v>
      </c>
      <c r="S400" s="6">
        <f t="shared" si="32"/>
        <v>14889.658385093167</v>
      </c>
    </row>
    <row r="401" spans="1:19" s="1" customFormat="1" ht="15" hidden="1" customHeight="1" outlineLevel="1" x14ac:dyDescent="0.25">
      <c r="A401" s="2" t="s">
        <v>734</v>
      </c>
      <c r="B401" s="2" t="s">
        <v>735</v>
      </c>
      <c r="C401" s="13">
        <v>150</v>
      </c>
      <c r="D401" s="6">
        <v>945.03</v>
      </c>
      <c r="E401" s="6">
        <v>100</v>
      </c>
      <c r="F401" s="6"/>
      <c r="G401" s="6"/>
      <c r="H401" s="6"/>
      <c r="I401" s="6"/>
      <c r="J401" s="6">
        <v>681</v>
      </c>
      <c r="K401" s="6">
        <v>102150</v>
      </c>
      <c r="L401" s="6"/>
      <c r="M401" s="6"/>
      <c r="N401" s="6">
        <f t="shared" si="29"/>
        <v>681</v>
      </c>
      <c r="O401" s="6">
        <f t="shared" si="30"/>
        <v>102150</v>
      </c>
      <c r="P401" s="6">
        <v>29</v>
      </c>
      <c r="Q401" s="6">
        <v>4456</v>
      </c>
      <c r="R401" s="6">
        <f t="shared" si="31"/>
        <v>551.28983206882322</v>
      </c>
      <c r="S401" s="6">
        <f t="shared" si="32"/>
        <v>82693.474810323489</v>
      </c>
    </row>
    <row r="402" spans="1:19" s="1" customFormat="1" ht="15" hidden="1" customHeight="1" outlineLevel="1" x14ac:dyDescent="0.25">
      <c r="A402" s="2" t="s">
        <v>1291</v>
      </c>
      <c r="B402" s="2" t="s">
        <v>1292</v>
      </c>
      <c r="C402" s="13">
        <v>85.27</v>
      </c>
      <c r="D402" s="6">
        <v>1366.29</v>
      </c>
      <c r="E402" s="6">
        <v>100</v>
      </c>
      <c r="F402" s="6"/>
      <c r="G402" s="6"/>
      <c r="H402" s="6">
        <v>10</v>
      </c>
      <c r="I402" s="6">
        <v>852.7</v>
      </c>
      <c r="J402" s="6">
        <v>727</v>
      </c>
      <c r="K402" s="6">
        <v>61991.29</v>
      </c>
      <c r="L402" s="6"/>
      <c r="M402" s="6"/>
      <c r="N402" s="6">
        <f t="shared" si="29"/>
        <v>737</v>
      </c>
      <c r="O402" s="6">
        <f t="shared" si="30"/>
        <v>62843.99</v>
      </c>
      <c r="P402" s="6">
        <v>17</v>
      </c>
      <c r="Q402" s="6">
        <v>1532</v>
      </c>
      <c r="R402" s="6">
        <f t="shared" si="31"/>
        <v>631.22238324221064</v>
      </c>
      <c r="S402" s="6">
        <f t="shared" si="32"/>
        <v>53824.332619063302</v>
      </c>
    </row>
    <row r="403" spans="1:19" s="1" customFormat="1" ht="15" hidden="1" customHeight="1" outlineLevel="1" x14ac:dyDescent="0.25">
      <c r="A403" s="2" t="s">
        <v>47</v>
      </c>
      <c r="B403" s="2" t="s">
        <v>48</v>
      </c>
      <c r="C403" s="13">
        <v>107</v>
      </c>
      <c r="D403" s="6">
        <v>514.08000000000004</v>
      </c>
      <c r="E403" s="6">
        <v>100</v>
      </c>
      <c r="F403" s="6"/>
      <c r="G403" s="6"/>
      <c r="H403" s="6"/>
      <c r="I403" s="6"/>
      <c r="J403" s="6">
        <v>812</v>
      </c>
      <c r="K403" s="6">
        <v>86884</v>
      </c>
      <c r="L403" s="6"/>
      <c r="M403" s="6"/>
      <c r="N403" s="6">
        <f t="shared" si="29"/>
        <v>812</v>
      </c>
      <c r="O403" s="6">
        <f t="shared" si="30"/>
        <v>86884</v>
      </c>
      <c r="P403" s="6">
        <v>36</v>
      </c>
      <c r="Q403" s="6">
        <v>3963</v>
      </c>
      <c r="R403" s="6">
        <f t="shared" si="31"/>
        <v>527.68627450980387</v>
      </c>
      <c r="S403" s="6">
        <f t="shared" si="32"/>
        <v>56462.431372549014</v>
      </c>
    </row>
    <row r="404" spans="1:19" s="1" customFormat="1" ht="15" hidden="1" customHeight="1" outlineLevel="1" x14ac:dyDescent="0.25">
      <c r="A404" s="2" t="s">
        <v>438</v>
      </c>
      <c r="B404" s="2" t="s">
        <v>439</v>
      </c>
      <c r="C404" s="13">
        <v>53.1</v>
      </c>
      <c r="D404" s="6">
        <v>1684.5</v>
      </c>
      <c r="E404" s="6">
        <v>45.16</v>
      </c>
      <c r="F404" s="6"/>
      <c r="G404" s="6"/>
      <c r="H404" s="6">
        <v>100</v>
      </c>
      <c r="I404" s="6">
        <v>5310</v>
      </c>
      <c r="J404" s="6">
        <v>1390</v>
      </c>
      <c r="K404" s="6">
        <v>73809</v>
      </c>
      <c r="L404" s="6"/>
      <c r="M404" s="6"/>
      <c r="N404" s="6">
        <f t="shared" si="29"/>
        <v>1490</v>
      </c>
      <c r="O404" s="6">
        <f t="shared" si="30"/>
        <v>79119</v>
      </c>
      <c r="P404" s="6">
        <v>3</v>
      </c>
      <c r="Q404" s="6">
        <v>192</v>
      </c>
      <c r="R404" s="6">
        <f t="shared" si="31"/>
        <v>1241.4692787177205</v>
      </c>
      <c r="S404" s="6">
        <f t="shared" si="32"/>
        <v>65922.018699910957</v>
      </c>
    </row>
    <row r="405" spans="1:19" s="1" customFormat="1" ht="15" hidden="1" customHeight="1" outlineLevel="1" x14ac:dyDescent="0.25">
      <c r="A405" s="2" t="s">
        <v>917</v>
      </c>
      <c r="B405" s="2" t="s">
        <v>918</v>
      </c>
      <c r="C405" s="13">
        <v>425</v>
      </c>
      <c r="D405" s="6">
        <v>519.27</v>
      </c>
      <c r="E405" s="6">
        <v>100</v>
      </c>
      <c r="F405" s="6"/>
      <c r="G405" s="6"/>
      <c r="H405" s="6">
        <v>5</v>
      </c>
      <c r="I405" s="6">
        <v>2125</v>
      </c>
      <c r="J405" s="6">
        <v>102</v>
      </c>
      <c r="K405" s="6">
        <v>43350</v>
      </c>
      <c r="L405" s="6"/>
      <c r="M405" s="6"/>
      <c r="N405" s="6">
        <f t="shared" si="29"/>
        <v>107</v>
      </c>
      <c r="O405" s="6">
        <f t="shared" si="30"/>
        <v>45475</v>
      </c>
      <c r="P405" s="6">
        <v>7</v>
      </c>
      <c r="Q405" s="6">
        <v>2879</v>
      </c>
      <c r="R405" s="6">
        <f t="shared" si="31"/>
        <v>66.642671442602108</v>
      </c>
      <c r="S405" s="6">
        <f t="shared" si="32"/>
        <v>28323.135363105896</v>
      </c>
    </row>
    <row r="406" spans="1:19" s="1" customFormat="1" ht="15" hidden="1" customHeight="1" outlineLevel="1" x14ac:dyDescent="0.25">
      <c r="A406" s="2" t="s">
        <v>788</v>
      </c>
      <c r="B406" s="2" t="s">
        <v>789</v>
      </c>
      <c r="C406" s="13">
        <v>676.06</v>
      </c>
      <c r="D406" s="6">
        <v>3691.14</v>
      </c>
      <c r="E406" s="6">
        <v>100</v>
      </c>
      <c r="F406" s="6"/>
      <c r="G406" s="6"/>
      <c r="H406" s="6"/>
      <c r="I406" s="6"/>
      <c r="J406" s="6">
        <v>277</v>
      </c>
      <c r="K406" s="6">
        <v>187268.62</v>
      </c>
      <c r="L406" s="6"/>
      <c r="M406" s="6"/>
      <c r="N406" s="6">
        <f t="shared" si="29"/>
        <v>277</v>
      </c>
      <c r="O406" s="6">
        <f t="shared" si="30"/>
        <v>187268.62</v>
      </c>
      <c r="P406" s="6">
        <v>0</v>
      </c>
      <c r="Q406" s="6">
        <v>231</v>
      </c>
      <c r="R406" s="6">
        <f t="shared" si="31"/>
        <v>263.49197808807037</v>
      </c>
      <c r="S406" s="6">
        <f t="shared" si="32"/>
        <v>178136.38670622083</v>
      </c>
    </row>
    <row r="407" spans="1:19" s="1" customFormat="1" ht="15" hidden="1" customHeight="1" outlineLevel="1" x14ac:dyDescent="0.25">
      <c r="A407" s="2" t="s">
        <v>369</v>
      </c>
      <c r="B407" s="2" t="s">
        <v>370</v>
      </c>
      <c r="C407" s="13">
        <v>472.77</v>
      </c>
      <c r="D407" s="6">
        <v>193.18</v>
      </c>
      <c r="E407" s="6">
        <v>100</v>
      </c>
      <c r="F407" s="6"/>
      <c r="G407" s="6"/>
      <c r="H407" s="6"/>
      <c r="I407" s="6"/>
      <c r="J407" s="6">
        <v>692</v>
      </c>
      <c r="K407" s="6">
        <v>327156.83999999997</v>
      </c>
      <c r="L407" s="6"/>
      <c r="M407" s="6"/>
      <c r="N407" s="6">
        <f t="shared" si="29"/>
        <v>692</v>
      </c>
      <c r="O407" s="6">
        <f t="shared" si="30"/>
        <v>327156.83999999997</v>
      </c>
      <c r="P407" s="6">
        <v>5</v>
      </c>
      <c r="Q407" s="6">
        <v>2454</v>
      </c>
      <c r="R407" s="6">
        <f t="shared" si="31"/>
        <v>47.212754943575959</v>
      </c>
      <c r="S407" s="6">
        <f t="shared" si="32"/>
        <v>22320.774154674404</v>
      </c>
    </row>
    <row r="408" spans="1:19" s="1" customFormat="1" ht="15" hidden="1" customHeight="1" outlineLevel="1" x14ac:dyDescent="0.25">
      <c r="A408" s="2" t="s">
        <v>550</v>
      </c>
      <c r="B408" s="2" t="s">
        <v>551</v>
      </c>
      <c r="C408" s="13">
        <v>504.07</v>
      </c>
      <c r="D408" s="6">
        <v>4417.75</v>
      </c>
      <c r="E408" s="6">
        <v>100</v>
      </c>
      <c r="F408" s="6"/>
      <c r="G408" s="6"/>
      <c r="H408" s="6">
        <v>2</v>
      </c>
      <c r="I408" s="6">
        <v>1008.14</v>
      </c>
      <c r="J408" s="6">
        <v>749</v>
      </c>
      <c r="K408" s="6">
        <v>377548.43</v>
      </c>
      <c r="L408" s="6"/>
      <c r="M408" s="6"/>
      <c r="N408" s="6">
        <f t="shared" si="29"/>
        <v>751</v>
      </c>
      <c r="O408" s="6">
        <f t="shared" si="30"/>
        <v>378556.57</v>
      </c>
      <c r="P408" s="6">
        <v>4</v>
      </c>
      <c r="Q408" s="6">
        <v>2285</v>
      </c>
      <c r="R408" s="6">
        <f t="shared" si="31"/>
        <v>718.4822024786373</v>
      </c>
      <c r="S408" s="6">
        <f t="shared" si="32"/>
        <v>362165.32380340667</v>
      </c>
    </row>
    <row r="409" spans="1:19" s="1" customFormat="1" ht="15" hidden="1" customHeight="1" outlineLevel="1" x14ac:dyDescent="0.25">
      <c r="A409" s="2" t="s">
        <v>267</v>
      </c>
      <c r="B409" s="2" t="s">
        <v>268</v>
      </c>
      <c r="C409" s="13">
        <v>389.1</v>
      </c>
      <c r="D409" s="6">
        <v>401.5</v>
      </c>
      <c r="E409" s="6">
        <v>100</v>
      </c>
      <c r="F409" s="6"/>
      <c r="G409" s="6"/>
      <c r="H409" s="6"/>
      <c r="I409" s="6"/>
      <c r="J409" s="6">
        <v>349</v>
      </c>
      <c r="K409" s="6">
        <v>135795.9</v>
      </c>
      <c r="L409" s="6"/>
      <c r="M409" s="6"/>
      <c r="N409" s="6">
        <f t="shared" si="29"/>
        <v>349</v>
      </c>
      <c r="O409" s="6">
        <f t="shared" si="30"/>
        <v>135795.9</v>
      </c>
      <c r="P409" s="6">
        <v>33</v>
      </c>
      <c r="Q409" s="6">
        <v>13370</v>
      </c>
      <c r="R409" s="6">
        <f t="shared" si="31"/>
        <v>192.53673723536738</v>
      </c>
      <c r="S409" s="6">
        <f t="shared" si="32"/>
        <v>74916.044458281453</v>
      </c>
    </row>
    <row r="410" spans="1:19" s="1" customFormat="1" ht="15" hidden="1" customHeight="1" outlineLevel="1" x14ac:dyDescent="0.25">
      <c r="A410" s="2" t="s">
        <v>772</v>
      </c>
      <c r="B410" s="2" t="s">
        <v>773</v>
      </c>
      <c r="C410" s="13">
        <v>187.79</v>
      </c>
      <c r="D410" s="6">
        <v>45.86</v>
      </c>
      <c r="E410" s="6">
        <v>29.03</v>
      </c>
      <c r="F410" s="6"/>
      <c r="G410" s="6"/>
      <c r="H410" s="6">
        <v>5</v>
      </c>
      <c r="I410" s="6">
        <v>938.95</v>
      </c>
      <c r="J410" s="6">
        <v>103</v>
      </c>
      <c r="K410" s="6">
        <v>19342.37</v>
      </c>
      <c r="L410" s="6"/>
      <c r="M410" s="6"/>
      <c r="N410" s="6">
        <f t="shared" si="29"/>
        <v>108</v>
      </c>
      <c r="O410" s="6">
        <f t="shared" si="30"/>
        <v>20281.32</v>
      </c>
      <c r="P410" s="6">
        <v>28</v>
      </c>
      <c r="Q410" s="6">
        <v>5333</v>
      </c>
      <c r="R410" s="6"/>
      <c r="S410" s="6"/>
    </row>
    <row r="411" spans="1:19" s="1" customFormat="1" ht="15" hidden="1" customHeight="1" outlineLevel="1" x14ac:dyDescent="0.25">
      <c r="A411" s="2" t="s">
        <v>582</v>
      </c>
      <c r="B411" s="2" t="s">
        <v>583</v>
      </c>
      <c r="C411" s="13">
        <v>394.85</v>
      </c>
      <c r="D411" s="6">
        <v>149.74</v>
      </c>
      <c r="E411" s="6">
        <v>100</v>
      </c>
      <c r="F411" s="6"/>
      <c r="G411" s="6"/>
      <c r="H411" s="6">
        <v>2</v>
      </c>
      <c r="I411" s="6">
        <v>789.7</v>
      </c>
      <c r="J411" s="6">
        <v>120</v>
      </c>
      <c r="K411" s="6">
        <v>47382</v>
      </c>
      <c r="L411" s="6"/>
      <c r="M411" s="6"/>
      <c r="N411" s="6">
        <f t="shared" si="29"/>
        <v>122</v>
      </c>
      <c r="O411" s="6">
        <f t="shared" si="30"/>
        <v>48171.700000000004</v>
      </c>
      <c r="P411" s="6">
        <v>7</v>
      </c>
      <c r="Q411" s="6">
        <v>2672</v>
      </c>
      <c r="R411" s="6"/>
      <c r="S411" s="6"/>
    </row>
    <row r="412" spans="1:19" s="1" customFormat="1" ht="15" hidden="1" customHeight="1" outlineLevel="1" x14ac:dyDescent="0.25">
      <c r="A412" s="2" t="s">
        <v>951</v>
      </c>
      <c r="B412" s="2" t="s">
        <v>952</v>
      </c>
      <c r="C412" s="13">
        <v>397.82</v>
      </c>
      <c r="D412" s="6">
        <v>1993.73</v>
      </c>
      <c r="E412" s="6">
        <v>100</v>
      </c>
      <c r="F412" s="6"/>
      <c r="G412" s="6"/>
      <c r="H412" s="6">
        <v>3</v>
      </c>
      <c r="I412" s="6">
        <v>1193.46</v>
      </c>
      <c r="J412" s="6">
        <v>173</v>
      </c>
      <c r="K412" s="6">
        <v>68822.86</v>
      </c>
      <c r="L412" s="6">
        <v>200</v>
      </c>
      <c r="M412" s="6">
        <v>79564</v>
      </c>
      <c r="N412" s="6">
        <f t="shared" si="29"/>
        <v>376</v>
      </c>
      <c r="O412" s="6">
        <f t="shared" si="30"/>
        <v>149580.32</v>
      </c>
      <c r="P412" s="6">
        <v>1</v>
      </c>
      <c r="Q412" s="6">
        <v>519</v>
      </c>
      <c r="R412" s="6">
        <f t="shared" si="31"/>
        <v>157.38103454329323</v>
      </c>
      <c r="S412" s="6">
        <f t="shared" si="32"/>
        <v>62609.323162012908</v>
      </c>
    </row>
    <row r="413" spans="1:19" s="1" customFormat="1" ht="15" hidden="1" customHeight="1" outlineLevel="1" x14ac:dyDescent="0.25">
      <c r="A413" s="2" t="s">
        <v>1325</v>
      </c>
      <c r="B413" s="2" t="s">
        <v>1326</v>
      </c>
      <c r="C413" s="13">
        <v>258.69</v>
      </c>
      <c r="D413" s="6">
        <v>57.18</v>
      </c>
      <c r="E413" s="6">
        <v>29.03</v>
      </c>
      <c r="F413" s="6"/>
      <c r="G413" s="6"/>
      <c r="H413" s="6">
        <v>2</v>
      </c>
      <c r="I413" s="6">
        <v>517.38</v>
      </c>
      <c r="J413" s="6">
        <v>721</v>
      </c>
      <c r="K413" s="6">
        <v>186515.49</v>
      </c>
      <c r="L413" s="6"/>
      <c r="M413" s="6"/>
      <c r="N413" s="6">
        <f t="shared" si="29"/>
        <v>723</v>
      </c>
      <c r="O413" s="6">
        <f t="shared" si="30"/>
        <v>187032.87</v>
      </c>
      <c r="P413" s="6">
        <v>15</v>
      </c>
      <c r="Q413" s="6">
        <v>4033</v>
      </c>
      <c r="R413" s="6"/>
      <c r="S413" s="6"/>
    </row>
    <row r="414" spans="1:19" s="1" customFormat="1" ht="15" hidden="1" customHeight="1" outlineLevel="1" x14ac:dyDescent="0.25">
      <c r="A414" s="2" t="s">
        <v>738</v>
      </c>
      <c r="B414" s="2" t="s">
        <v>739</v>
      </c>
      <c r="C414" s="13">
        <v>273.14999999999998</v>
      </c>
      <c r="D414" s="6">
        <v>93.84</v>
      </c>
      <c r="E414" s="6">
        <v>100</v>
      </c>
      <c r="F414" s="6"/>
      <c r="G414" s="6"/>
      <c r="H414" s="6">
        <v>4</v>
      </c>
      <c r="I414" s="6">
        <v>1092.5999999999999</v>
      </c>
      <c r="J414" s="6">
        <v>919</v>
      </c>
      <c r="K414" s="6">
        <v>251024.85</v>
      </c>
      <c r="L414" s="6"/>
      <c r="M414" s="6"/>
      <c r="N414" s="6">
        <f t="shared" ref="N414:N423" si="33">IF(J414+L414+H414+F414&lt;=0,"",J414+L414+H414+F414)</f>
        <v>923</v>
      </c>
      <c r="O414" s="6">
        <f t="shared" ref="O414:O423" si="34">IFERROR(C414*N414,"")</f>
        <v>252117.44999999998</v>
      </c>
      <c r="P414" s="6">
        <v>40</v>
      </c>
      <c r="Q414" s="6">
        <v>11499</v>
      </c>
      <c r="R414" s="6"/>
      <c r="S414" s="6"/>
    </row>
    <row r="415" spans="1:19" s="1" customFormat="1" ht="15" hidden="1" customHeight="1" outlineLevel="1" x14ac:dyDescent="0.25">
      <c r="A415" s="2" t="s">
        <v>804</v>
      </c>
      <c r="B415" s="2" t="s">
        <v>805</v>
      </c>
      <c r="C415" s="13">
        <v>100.57</v>
      </c>
      <c r="D415" s="6">
        <v>424.25</v>
      </c>
      <c r="E415" s="6">
        <v>100</v>
      </c>
      <c r="F415" s="6">
        <v>10</v>
      </c>
      <c r="G415" s="6">
        <v>1005.7</v>
      </c>
      <c r="H415" s="6">
        <v>10</v>
      </c>
      <c r="I415" s="6">
        <v>1005.7</v>
      </c>
      <c r="J415" s="6">
        <v>225</v>
      </c>
      <c r="K415" s="6">
        <v>22628.25</v>
      </c>
      <c r="L415" s="6"/>
      <c r="M415" s="6"/>
      <c r="N415" s="6">
        <f t="shared" si="33"/>
        <v>245</v>
      </c>
      <c r="O415" s="6">
        <f t="shared" si="34"/>
        <v>24639.649999999998</v>
      </c>
      <c r="P415" s="6">
        <v>15</v>
      </c>
      <c r="Q415" s="6">
        <v>1641</v>
      </c>
      <c r="R415" s="6">
        <f t="shared" ref="R415:R423" si="35">J415/D415*(D415-180)</f>
        <v>129.53741897466116</v>
      </c>
      <c r="S415" s="6">
        <f t="shared" ref="S415:S423" si="36">R415*C415</f>
        <v>13027.578226281672</v>
      </c>
    </row>
    <row r="416" spans="1:19" s="1" customFormat="1" ht="15" hidden="1" customHeight="1" outlineLevel="1" x14ac:dyDescent="0.25">
      <c r="A416" s="2" t="s">
        <v>1013</v>
      </c>
      <c r="B416" s="2" t="s">
        <v>1014</v>
      </c>
      <c r="C416" s="13">
        <v>47.94</v>
      </c>
      <c r="D416" s="6">
        <v>722.25</v>
      </c>
      <c r="E416" s="6">
        <v>100</v>
      </c>
      <c r="F416" s="6"/>
      <c r="G416" s="6"/>
      <c r="H416" s="6">
        <v>40</v>
      </c>
      <c r="I416" s="6">
        <v>1917.6</v>
      </c>
      <c r="J416" s="6">
        <v>343</v>
      </c>
      <c r="K416" s="6">
        <v>16443.419999999998</v>
      </c>
      <c r="L416" s="6"/>
      <c r="M416" s="6"/>
      <c r="N416" s="6">
        <f t="shared" si="33"/>
        <v>383</v>
      </c>
      <c r="O416" s="6">
        <f t="shared" si="34"/>
        <v>18361.02</v>
      </c>
      <c r="P416" s="6">
        <v>15</v>
      </c>
      <c r="Q416" s="6">
        <v>760</v>
      </c>
      <c r="R416" s="6">
        <f t="shared" si="35"/>
        <v>257.51713395638632</v>
      </c>
      <c r="S416" s="6">
        <f t="shared" si="36"/>
        <v>12345.371401869159</v>
      </c>
    </row>
    <row r="417" spans="1:19" s="1" customFormat="1" ht="15" hidden="1" customHeight="1" outlineLevel="1" x14ac:dyDescent="0.25">
      <c r="A417" s="2" t="s">
        <v>1311</v>
      </c>
      <c r="B417" s="2" t="s">
        <v>1312</v>
      </c>
      <c r="C417" s="13">
        <v>237.31</v>
      </c>
      <c r="D417" s="6">
        <v>331.58</v>
      </c>
      <c r="E417" s="6">
        <v>100</v>
      </c>
      <c r="F417" s="6">
        <v>4</v>
      </c>
      <c r="G417" s="6">
        <v>949.24</v>
      </c>
      <c r="H417" s="6"/>
      <c r="I417" s="6"/>
      <c r="J417" s="6">
        <v>2624</v>
      </c>
      <c r="K417" s="6">
        <v>622701.43999999994</v>
      </c>
      <c r="L417" s="6">
        <v>1200</v>
      </c>
      <c r="M417" s="6">
        <v>284772</v>
      </c>
      <c r="N417" s="6">
        <f t="shared" si="33"/>
        <v>3828</v>
      </c>
      <c r="O417" s="6">
        <f t="shared" si="34"/>
        <v>908422.68</v>
      </c>
      <c r="P417" s="6">
        <v>14</v>
      </c>
      <c r="Q417" s="6">
        <v>3166</v>
      </c>
      <c r="R417" s="6">
        <f t="shared" si="35"/>
        <v>1199.547379214669</v>
      </c>
      <c r="S417" s="6">
        <f t="shared" si="36"/>
        <v>284664.58856143313</v>
      </c>
    </row>
    <row r="418" spans="1:19" s="1" customFormat="1" ht="15" hidden="1" customHeight="1" outlineLevel="1" x14ac:dyDescent="0.25">
      <c r="A418" s="2" t="s">
        <v>959</v>
      </c>
      <c r="B418" s="2" t="s">
        <v>960</v>
      </c>
      <c r="C418" s="13">
        <v>54.08</v>
      </c>
      <c r="D418" s="6">
        <v>49.51</v>
      </c>
      <c r="E418" s="6">
        <v>100</v>
      </c>
      <c r="F418" s="6">
        <v>5</v>
      </c>
      <c r="G418" s="6">
        <v>270.39999999999998</v>
      </c>
      <c r="H418" s="6">
        <v>2</v>
      </c>
      <c r="I418" s="6">
        <v>108.16</v>
      </c>
      <c r="J418" s="6">
        <v>47</v>
      </c>
      <c r="K418" s="6">
        <v>2541.7600000000002</v>
      </c>
      <c r="L418" s="6"/>
      <c r="M418" s="6"/>
      <c r="N418" s="6">
        <f t="shared" si="33"/>
        <v>54</v>
      </c>
      <c r="O418" s="6">
        <f t="shared" si="34"/>
        <v>2920.3199999999997</v>
      </c>
      <c r="P418" s="6">
        <v>14</v>
      </c>
      <c r="Q418" s="6">
        <v>633</v>
      </c>
      <c r="R418" s="6"/>
      <c r="S418" s="6"/>
    </row>
    <row r="419" spans="1:19" s="1" customFormat="1" ht="15" hidden="1" customHeight="1" outlineLevel="1" x14ac:dyDescent="0.25">
      <c r="A419" s="2" t="s">
        <v>558</v>
      </c>
      <c r="B419" s="2" t="s">
        <v>559</v>
      </c>
      <c r="C419" s="13">
        <v>104.13</v>
      </c>
      <c r="D419" s="6">
        <v>138.21</v>
      </c>
      <c r="E419" s="6">
        <v>100</v>
      </c>
      <c r="F419" s="6"/>
      <c r="G419" s="6"/>
      <c r="H419" s="6">
        <v>10</v>
      </c>
      <c r="I419" s="6">
        <v>1041.3</v>
      </c>
      <c r="J419" s="6">
        <v>136</v>
      </c>
      <c r="K419" s="6">
        <v>14161.68</v>
      </c>
      <c r="L419" s="6">
        <v>500</v>
      </c>
      <c r="M419" s="6">
        <v>52065</v>
      </c>
      <c r="N419" s="6">
        <f t="shared" si="33"/>
        <v>646</v>
      </c>
      <c r="O419" s="6">
        <f t="shared" si="34"/>
        <v>67267.98</v>
      </c>
      <c r="P419" s="6">
        <v>53</v>
      </c>
      <c r="Q419" s="6">
        <v>4547</v>
      </c>
      <c r="R419" s="6"/>
      <c r="S419" s="6"/>
    </row>
    <row r="420" spans="1:19" s="1" customFormat="1" ht="15" hidden="1" customHeight="1" outlineLevel="1" x14ac:dyDescent="0.25">
      <c r="A420" s="2" t="s">
        <v>129</v>
      </c>
      <c r="B420" s="2" t="s">
        <v>130</v>
      </c>
      <c r="C420" s="13">
        <v>296.07</v>
      </c>
      <c r="D420" s="6">
        <v>308.11</v>
      </c>
      <c r="E420" s="6">
        <v>100</v>
      </c>
      <c r="F420" s="6"/>
      <c r="G420" s="6"/>
      <c r="H420" s="6">
        <v>3</v>
      </c>
      <c r="I420" s="6">
        <v>888.21</v>
      </c>
      <c r="J420" s="6">
        <v>365</v>
      </c>
      <c r="K420" s="6">
        <v>108065.55</v>
      </c>
      <c r="L420" s="6"/>
      <c r="M420" s="6"/>
      <c r="N420" s="6">
        <f t="shared" si="33"/>
        <v>368</v>
      </c>
      <c r="O420" s="6">
        <f t="shared" si="34"/>
        <v>108953.76</v>
      </c>
      <c r="P420" s="6">
        <v>11</v>
      </c>
      <c r="Q420" s="6">
        <v>2992</v>
      </c>
      <c r="R420" s="6">
        <f t="shared" si="35"/>
        <v>151.76446723572749</v>
      </c>
      <c r="S420" s="6">
        <f t="shared" si="36"/>
        <v>44932.905814481841</v>
      </c>
    </row>
    <row r="421" spans="1:19" s="1" customFormat="1" ht="15" hidden="1" customHeight="1" outlineLevel="1" x14ac:dyDescent="0.25">
      <c r="A421" s="2" t="s">
        <v>69</v>
      </c>
      <c r="B421" s="2" t="s">
        <v>70</v>
      </c>
      <c r="C421" s="13">
        <v>385.47</v>
      </c>
      <c r="D421" s="6">
        <v>1006.81</v>
      </c>
      <c r="E421" s="6">
        <v>100</v>
      </c>
      <c r="F421" s="6"/>
      <c r="G421" s="6"/>
      <c r="H421" s="6"/>
      <c r="I421" s="6"/>
      <c r="J421" s="6">
        <v>372</v>
      </c>
      <c r="K421" s="6">
        <v>143394.84</v>
      </c>
      <c r="L421" s="6"/>
      <c r="M421" s="6"/>
      <c r="N421" s="6">
        <f t="shared" si="33"/>
        <v>372</v>
      </c>
      <c r="O421" s="6">
        <f t="shared" si="34"/>
        <v>143394.84</v>
      </c>
      <c r="P421" s="6">
        <v>10</v>
      </c>
      <c r="Q421" s="6">
        <v>3981</v>
      </c>
      <c r="R421" s="6">
        <f t="shared" si="35"/>
        <v>305.49291326069471</v>
      </c>
      <c r="S421" s="6">
        <f t="shared" si="36"/>
        <v>117758.3532746</v>
      </c>
    </row>
    <row r="422" spans="1:19" s="1" customFormat="1" ht="15" hidden="1" customHeight="1" outlineLevel="1" x14ac:dyDescent="0.25">
      <c r="A422" s="2" t="s">
        <v>516</v>
      </c>
      <c r="B422" s="2" t="s">
        <v>517</v>
      </c>
      <c r="C422" s="13">
        <v>199</v>
      </c>
      <c r="D422" s="6">
        <v>189.07</v>
      </c>
      <c r="E422" s="6">
        <v>100</v>
      </c>
      <c r="F422" s="6"/>
      <c r="G422" s="6"/>
      <c r="H422" s="6"/>
      <c r="I422" s="6"/>
      <c r="J422" s="6">
        <v>80</v>
      </c>
      <c r="K422" s="6">
        <v>15920</v>
      </c>
      <c r="L422" s="6">
        <v>200</v>
      </c>
      <c r="M422" s="6">
        <v>39800</v>
      </c>
      <c r="N422" s="6">
        <f t="shared" si="33"/>
        <v>280</v>
      </c>
      <c r="O422" s="6">
        <f t="shared" si="34"/>
        <v>55720</v>
      </c>
      <c r="P422" s="6">
        <v>12</v>
      </c>
      <c r="Q422" s="6">
        <v>2497</v>
      </c>
      <c r="R422" s="6">
        <f t="shared" si="35"/>
        <v>3.8377320569101365</v>
      </c>
      <c r="S422" s="6">
        <f t="shared" si="36"/>
        <v>763.70867932511715</v>
      </c>
    </row>
    <row r="423" spans="1:19" s="1" customFormat="1" ht="15" hidden="1" customHeight="1" outlineLevel="1" x14ac:dyDescent="0.25">
      <c r="A423" s="2" t="s">
        <v>1141</v>
      </c>
      <c r="B423" s="2" t="s">
        <v>1142</v>
      </c>
      <c r="C423" s="13">
        <v>591.54999999999995</v>
      </c>
      <c r="D423" s="6">
        <v>214.62</v>
      </c>
      <c r="E423" s="6">
        <v>100</v>
      </c>
      <c r="F423" s="6"/>
      <c r="G423" s="6"/>
      <c r="H423" s="6"/>
      <c r="I423" s="6"/>
      <c r="J423" s="6">
        <v>29</v>
      </c>
      <c r="K423" s="6">
        <v>17154.95</v>
      </c>
      <c r="L423" s="6"/>
      <c r="M423" s="6"/>
      <c r="N423" s="6">
        <f t="shared" si="33"/>
        <v>29</v>
      </c>
      <c r="O423" s="6">
        <f t="shared" si="34"/>
        <v>17154.949999999997</v>
      </c>
      <c r="P423" s="6">
        <v>11</v>
      </c>
      <c r="Q423" s="6">
        <v>7136</v>
      </c>
      <c r="R423" s="6">
        <f t="shared" si="35"/>
        <v>4.6779424098406492</v>
      </c>
      <c r="S423" s="6">
        <f t="shared" si="36"/>
        <v>2767.2368325412358</v>
      </c>
    </row>
    <row r="424" spans="1:19" s="1" customFormat="1" ht="15" customHeight="1" collapsed="1" x14ac:dyDescent="0.25">
      <c r="A424" s="15" t="s">
        <v>818</v>
      </c>
      <c r="B424" s="16"/>
      <c r="C424" s="16"/>
      <c r="D424" s="15">
        <v>609</v>
      </c>
      <c r="E424" s="15">
        <v>82.8</v>
      </c>
      <c r="F424" s="15">
        <f t="shared" ref="F424:R424" si="37">SUM(F425:F675)</f>
        <v>302</v>
      </c>
      <c r="G424" s="15">
        <f t="shared" si="37"/>
        <v>51928.58</v>
      </c>
      <c r="H424" s="15">
        <f t="shared" si="37"/>
        <v>2905</v>
      </c>
      <c r="I424" s="15">
        <f t="shared" si="37"/>
        <v>321196.69999999995</v>
      </c>
      <c r="J424" s="15">
        <f t="shared" si="37"/>
        <v>97680</v>
      </c>
      <c r="K424" s="15">
        <f t="shared" si="37"/>
        <v>14334161.460000005</v>
      </c>
      <c r="L424" s="15">
        <f t="shared" si="37"/>
        <v>8760</v>
      </c>
      <c r="M424" s="15">
        <f t="shared" si="37"/>
        <v>3185308.2</v>
      </c>
      <c r="N424" s="15">
        <f t="shared" si="37"/>
        <v>109647</v>
      </c>
      <c r="O424" s="15">
        <f t="shared" si="37"/>
        <v>17892594.940000009</v>
      </c>
      <c r="P424" s="15">
        <f t="shared" si="37"/>
        <v>4553</v>
      </c>
      <c r="Q424" s="15">
        <f t="shared" si="37"/>
        <v>486479</v>
      </c>
      <c r="R424" s="15">
        <f t="shared" si="37"/>
        <v>66007.336472937212</v>
      </c>
      <c r="S424" s="15">
        <f t="shared" ref="S424" si="38">SUM(S425:S675)</f>
        <v>8865929.5695787091</v>
      </c>
    </row>
    <row r="425" spans="1:19" s="1" customFormat="1" ht="15" hidden="1" customHeight="1" outlineLevel="1" x14ac:dyDescent="0.25">
      <c r="A425" s="2" t="s">
        <v>865</v>
      </c>
      <c r="B425" s="2" t="s">
        <v>866</v>
      </c>
      <c r="C425" s="13">
        <v>259</v>
      </c>
      <c r="D425" s="6">
        <v>3384.87</v>
      </c>
      <c r="E425" s="6">
        <v>100</v>
      </c>
      <c r="F425" s="6"/>
      <c r="G425" s="6"/>
      <c r="H425" s="6">
        <v>6</v>
      </c>
      <c r="I425" s="6">
        <v>1554</v>
      </c>
      <c r="J425" s="6">
        <v>564</v>
      </c>
      <c r="K425" s="6">
        <v>146076</v>
      </c>
      <c r="L425" s="6"/>
      <c r="M425" s="6"/>
      <c r="N425" s="6">
        <f t="shared" ref="N425:N488" si="39">IF(J425+L425+H425+F425&lt;=0,"",J425+L425+H425+F425)</f>
        <v>570</v>
      </c>
      <c r="O425" s="6">
        <f t="shared" ref="O425:O488" si="40">IFERROR(C425*N425,"")</f>
        <v>147630</v>
      </c>
      <c r="P425" s="6">
        <v>5</v>
      </c>
      <c r="Q425" s="6">
        <v>1304</v>
      </c>
      <c r="R425" s="6">
        <f t="shared" ref="R425" si="41">J425/D425*(D425-180)</f>
        <v>534.00771078357513</v>
      </c>
      <c r="S425" s="6">
        <f t="shared" ref="S425" si="42">R425*C425</f>
        <v>138307.99709294597</v>
      </c>
    </row>
    <row r="426" spans="1:19" s="1" customFormat="1" ht="15" hidden="1" customHeight="1" outlineLevel="1" x14ac:dyDescent="0.25">
      <c r="A426" s="2" t="s">
        <v>506</v>
      </c>
      <c r="B426" s="2" t="s">
        <v>507</v>
      </c>
      <c r="C426" s="13">
        <v>220</v>
      </c>
      <c r="D426" s="6">
        <v>315.23</v>
      </c>
      <c r="E426" s="6">
        <v>100</v>
      </c>
      <c r="F426" s="6"/>
      <c r="G426" s="6"/>
      <c r="H426" s="6"/>
      <c r="I426" s="6"/>
      <c r="J426" s="6">
        <v>183</v>
      </c>
      <c r="K426" s="6">
        <v>40260</v>
      </c>
      <c r="L426" s="6"/>
      <c r="M426" s="6"/>
      <c r="N426" s="6">
        <f t="shared" si="39"/>
        <v>183</v>
      </c>
      <c r="O426" s="6">
        <f t="shared" si="40"/>
        <v>40260</v>
      </c>
      <c r="P426" s="6">
        <v>20</v>
      </c>
      <c r="Q426" s="6">
        <v>4239</v>
      </c>
      <c r="R426" s="6">
        <f t="shared" ref="R426:R487" si="43">J426/D426*(D426-180)</f>
        <v>78.504869460394005</v>
      </c>
      <c r="S426" s="6">
        <f t="shared" ref="S426:S487" si="44">R426*C426</f>
        <v>17271.07128128668</v>
      </c>
    </row>
    <row r="427" spans="1:19" s="1" customFormat="1" ht="15" hidden="1" customHeight="1" outlineLevel="1" x14ac:dyDescent="0.25">
      <c r="A427" s="2" t="s">
        <v>1201</v>
      </c>
      <c r="B427" s="2" t="s">
        <v>1202</v>
      </c>
      <c r="C427" s="13">
        <v>153.4</v>
      </c>
      <c r="D427" s="6"/>
      <c r="E427" s="6">
        <v>100</v>
      </c>
      <c r="F427" s="6"/>
      <c r="G427" s="6"/>
      <c r="H427" s="6"/>
      <c r="I427" s="6"/>
      <c r="J427" s="6">
        <v>64</v>
      </c>
      <c r="K427" s="6">
        <v>9817.6</v>
      </c>
      <c r="L427" s="6"/>
      <c r="M427" s="6"/>
      <c r="N427" s="6">
        <f t="shared" si="39"/>
        <v>64</v>
      </c>
      <c r="O427" s="6">
        <f t="shared" si="40"/>
        <v>9817.6</v>
      </c>
      <c r="P427" s="6"/>
      <c r="Q427" s="6"/>
      <c r="R427" s="6"/>
      <c r="S427" s="6"/>
    </row>
    <row r="428" spans="1:19" s="1" customFormat="1" ht="15" hidden="1" customHeight="1" outlineLevel="1" x14ac:dyDescent="0.25">
      <c r="A428" s="2" t="s">
        <v>466</v>
      </c>
      <c r="B428" s="2" t="s">
        <v>467</v>
      </c>
      <c r="C428" s="13">
        <v>782.49</v>
      </c>
      <c r="D428" s="6">
        <v>341.69</v>
      </c>
      <c r="E428" s="6">
        <v>100</v>
      </c>
      <c r="F428" s="6"/>
      <c r="G428" s="6"/>
      <c r="H428" s="6"/>
      <c r="I428" s="6"/>
      <c r="J428" s="6">
        <v>294</v>
      </c>
      <c r="K428" s="6">
        <v>230052.06</v>
      </c>
      <c r="L428" s="6">
        <v>650</v>
      </c>
      <c r="M428" s="6">
        <v>508618.5</v>
      </c>
      <c r="N428" s="6">
        <f t="shared" si="39"/>
        <v>944</v>
      </c>
      <c r="O428" s="6">
        <f t="shared" si="40"/>
        <v>738670.56</v>
      </c>
      <c r="P428" s="6">
        <v>3</v>
      </c>
      <c r="Q428" s="6">
        <v>2804</v>
      </c>
      <c r="R428" s="6">
        <f t="shared" si="43"/>
        <v>139.12277210336856</v>
      </c>
      <c r="S428" s="6">
        <f t="shared" si="44"/>
        <v>108862.17794316486</v>
      </c>
    </row>
    <row r="429" spans="1:19" s="1" customFormat="1" ht="15" hidden="1" customHeight="1" outlineLevel="1" x14ac:dyDescent="0.25">
      <c r="A429" s="2" t="s">
        <v>740</v>
      </c>
      <c r="B429" s="2" t="s">
        <v>741</v>
      </c>
      <c r="C429" s="13">
        <v>272.3</v>
      </c>
      <c r="D429" s="6"/>
      <c r="E429" s="6"/>
      <c r="F429" s="6"/>
      <c r="G429" s="6"/>
      <c r="H429" s="6"/>
      <c r="I429" s="6"/>
      <c r="J429" s="6">
        <v>400</v>
      </c>
      <c r="K429" s="6">
        <v>108920</v>
      </c>
      <c r="L429" s="6"/>
      <c r="M429" s="6"/>
      <c r="N429" s="6">
        <f t="shared" si="39"/>
        <v>400</v>
      </c>
      <c r="O429" s="6">
        <f t="shared" si="40"/>
        <v>108920</v>
      </c>
      <c r="P429" s="6"/>
      <c r="Q429" s="6"/>
      <c r="R429" s="6"/>
      <c r="S429" s="6"/>
    </row>
    <row r="430" spans="1:19" s="1" customFormat="1" ht="15" hidden="1" customHeight="1" outlineLevel="1" x14ac:dyDescent="0.25">
      <c r="A430" s="2" t="s">
        <v>1115</v>
      </c>
      <c r="B430" s="2" t="s">
        <v>1116</v>
      </c>
      <c r="C430" s="13">
        <v>261.33</v>
      </c>
      <c r="D430" s="6">
        <v>293.39</v>
      </c>
      <c r="E430" s="6">
        <v>66.67</v>
      </c>
      <c r="F430" s="6"/>
      <c r="G430" s="6"/>
      <c r="H430" s="6">
        <v>10</v>
      </c>
      <c r="I430" s="6">
        <v>2613.3000000000002</v>
      </c>
      <c r="J430" s="6">
        <v>17</v>
      </c>
      <c r="K430" s="6">
        <v>4442.6099999999997</v>
      </c>
      <c r="L430" s="6"/>
      <c r="M430" s="6"/>
      <c r="N430" s="6">
        <f t="shared" si="39"/>
        <v>27</v>
      </c>
      <c r="O430" s="6">
        <f t="shared" si="40"/>
        <v>7055.91</v>
      </c>
      <c r="P430" s="6">
        <v>8</v>
      </c>
      <c r="Q430" s="6">
        <v>1728</v>
      </c>
      <c r="R430" s="6">
        <f t="shared" si="43"/>
        <v>6.570196666553052</v>
      </c>
      <c r="S430" s="6">
        <f t="shared" si="44"/>
        <v>1716.989494870309</v>
      </c>
    </row>
    <row r="431" spans="1:19" s="1" customFormat="1" ht="15" hidden="1" customHeight="1" outlineLevel="1" x14ac:dyDescent="0.25">
      <c r="A431" s="2" t="s">
        <v>762</v>
      </c>
      <c r="B431" s="2" t="s">
        <v>763</v>
      </c>
      <c r="C431" s="13">
        <v>48.4</v>
      </c>
      <c r="D431" s="6">
        <v>1093.07</v>
      </c>
      <c r="E431" s="6">
        <v>100</v>
      </c>
      <c r="F431" s="6">
        <v>5</v>
      </c>
      <c r="G431" s="6">
        <v>242</v>
      </c>
      <c r="H431" s="6">
        <v>11</v>
      </c>
      <c r="I431" s="6">
        <v>532.4</v>
      </c>
      <c r="J431" s="6">
        <v>1544</v>
      </c>
      <c r="K431" s="6">
        <v>74729.600000000006</v>
      </c>
      <c r="L431" s="6"/>
      <c r="M431" s="6"/>
      <c r="N431" s="6">
        <f t="shared" si="39"/>
        <v>1560</v>
      </c>
      <c r="O431" s="6">
        <f t="shared" si="40"/>
        <v>75504</v>
      </c>
      <c r="P431" s="6">
        <v>41</v>
      </c>
      <c r="Q431" s="6">
        <v>2070</v>
      </c>
      <c r="R431" s="6">
        <f t="shared" si="43"/>
        <v>1289.7436394741417</v>
      </c>
      <c r="S431" s="6">
        <f t="shared" si="44"/>
        <v>62423.592150548458</v>
      </c>
    </row>
    <row r="432" spans="1:19" s="1" customFormat="1" ht="15" hidden="1" customHeight="1" outlineLevel="1" x14ac:dyDescent="0.25">
      <c r="A432" s="2" t="s">
        <v>656</v>
      </c>
      <c r="B432" s="2" t="s">
        <v>657</v>
      </c>
      <c r="C432" s="13">
        <v>556.05999999999995</v>
      </c>
      <c r="D432" s="6">
        <v>104.17</v>
      </c>
      <c r="E432" s="6">
        <v>66.67</v>
      </c>
      <c r="F432" s="6">
        <v>10</v>
      </c>
      <c r="G432" s="6">
        <v>5560.6</v>
      </c>
      <c r="H432" s="6"/>
      <c r="I432" s="6"/>
      <c r="J432" s="6">
        <v>11</v>
      </c>
      <c r="K432" s="6">
        <v>6116.66</v>
      </c>
      <c r="L432" s="6">
        <v>120</v>
      </c>
      <c r="M432" s="6">
        <v>66727.199999999997</v>
      </c>
      <c r="N432" s="6">
        <f t="shared" si="39"/>
        <v>141</v>
      </c>
      <c r="O432" s="6">
        <f t="shared" si="40"/>
        <v>78404.459999999992</v>
      </c>
      <c r="P432" s="6">
        <v>10</v>
      </c>
      <c r="Q432" s="6">
        <v>5606</v>
      </c>
      <c r="R432" s="6"/>
      <c r="S432" s="6"/>
    </row>
    <row r="433" spans="1:19" s="1" customFormat="1" ht="15" hidden="1" customHeight="1" outlineLevel="1" x14ac:dyDescent="0.25">
      <c r="A433" s="2" t="s">
        <v>1079</v>
      </c>
      <c r="B433" s="2" t="s">
        <v>1080</v>
      </c>
      <c r="C433" s="13">
        <v>62.96</v>
      </c>
      <c r="D433" s="6">
        <v>220.57</v>
      </c>
      <c r="E433" s="6">
        <v>100</v>
      </c>
      <c r="F433" s="6"/>
      <c r="G433" s="6"/>
      <c r="H433" s="6">
        <v>25</v>
      </c>
      <c r="I433" s="6">
        <v>1574</v>
      </c>
      <c r="J433" s="6">
        <v>315</v>
      </c>
      <c r="K433" s="6">
        <v>19832.400000000001</v>
      </c>
      <c r="L433" s="6"/>
      <c r="M433" s="6"/>
      <c r="N433" s="6">
        <f t="shared" si="39"/>
        <v>340</v>
      </c>
      <c r="O433" s="6">
        <f t="shared" si="40"/>
        <v>21406.400000000001</v>
      </c>
      <c r="P433" s="6">
        <v>60</v>
      </c>
      <c r="Q433" s="6">
        <v>4029</v>
      </c>
      <c r="R433" s="6">
        <f t="shared" si="43"/>
        <v>57.938749603300529</v>
      </c>
      <c r="S433" s="6">
        <f t="shared" si="44"/>
        <v>3647.8236750238016</v>
      </c>
    </row>
    <row r="434" spans="1:19" s="1" customFormat="1" ht="15" hidden="1" customHeight="1" outlineLevel="1" x14ac:dyDescent="0.25">
      <c r="A434" s="2" t="s">
        <v>566</v>
      </c>
      <c r="B434" s="2" t="s">
        <v>567</v>
      </c>
      <c r="C434" s="13">
        <v>63.11</v>
      </c>
      <c r="D434" s="6">
        <v>5278</v>
      </c>
      <c r="E434" s="6">
        <v>100</v>
      </c>
      <c r="F434" s="6">
        <v>5</v>
      </c>
      <c r="G434" s="6">
        <v>315.55</v>
      </c>
      <c r="H434" s="6">
        <v>2</v>
      </c>
      <c r="I434" s="6">
        <v>126.22</v>
      </c>
      <c r="J434" s="6">
        <v>624</v>
      </c>
      <c r="K434" s="6">
        <v>39380.639999999999</v>
      </c>
      <c r="L434" s="6"/>
      <c r="M434" s="6"/>
      <c r="N434" s="6">
        <f t="shared" si="39"/>
        <v>631</v>
      </c>
      <c r="O434" s="6">
        <f t="shared" si="40"/>
        <v>39822.409999999996</v>
      </c>
      <c r="P434" s="6">
        <v>0</v>
      </c>
      <c r="Q434" s="6">
        <v>-216</v>
      </c>
      <c r="R434" s="6">
        <f t="shared" si="43"/>
        <v>602.7192118226601</v>
      </c>
      <c r="S434" s="6">
        <f t="shared" si="44"/>
        <v>38037.609458128078</v>
      </c>
    </row>
    <row r="435" spans="1:19" s="1" customFormat="1" ht="15" hidden="1" customHeight="1" outlineLevel="1" x14ac:dyDescent="0.25">
      <c r="A435" s="2" t="s">
        <v>1093</v>
      </c>
      <c r="B435" s="2" t="s">
        <v>1094</v>
      </c>
      <c r="C435" s="13">
        <v>225.52</v>
      </c>
      <c r="D435" s="6">
        <v>2847.25</v>
      </c>
      <c r="E435" s="6">
        <v>100</v>
      </c>
      <c r="F435" s="6"/>
      <c r="G435" s="6"/>
      <c r="H435" s="6">
        <v>10</v>
      </c>
      <c r="I435" s="6">
        <v>2255.1999999999998</v>
      </c>
      <c r="J435" s="6">
        <v>65</v>
      </c>
      <c r="K435" s="6">
        <v>14658.8</v>
      </c>
      <c r="L435" s="6"/>
      <c r="M435" s="6"/>
      <c r="N435" s="6">
        <f t="shared" si="39"/>
        <v>75</v>
      </c>
      <c r="O435" s="6">
        <f t="shared" si="40"/>
        <v>16914</v>
      </c>
      <c r="P435" s="6">
        <v>1</v>
      </c>
      <c r="Q435" s="6">
        <v>157</v>
      </c>
      <c r="R435" s="6">
        <f t="shared" si="43"/>
        <v>60.890771797348314</v>
      </c>
      <c r="S435" s="6">
        <f t="shared" si="44"/>
        <v>13732.086855737993</v>
      </c>
    </row>
    <row r="436" spans="1:19" s="1" customFormat="1" ht="15" hidden="1" customHeight="1" outlineLevel="1" x14ac:dyDescent="0.25">
      <c r="A436" s="2" t="s">
        <v>1273</v>
      </c>
      <c r="B436" s="2" t="s">
        <v>1274</v>
      </c>
      <c r="C436" s="13">
        <v>43.27</v>
      </c>
      <c r="D436" s="6">
        <v>130.26</v>
      </c>
      <c r="E436" s="6">
        <v>100</v>
      </c>
      <c r="F436" s="6">
        <v>15</v>
      </c>
      <c r="G436" s="6">
        <v>649.04999999999995</v>
      </c>
      <c r="H436" s="6">
        <v>5</v>
      </c>
      <c r="I436" s="6">
        <v>216.35</v>
      </c>
      <c r="J436" s="6">
        <v>400</v>
      </c>
      <c r="K436" s="6">
        <v>17308</v>
      </c>
      <c r="L436" s="6"/>
      <c r="M436" s="6"/>
      <c r="N436" s="6">
        <f t="shared" si="39"/>
        <v>420</v>
      </c>
      <c r="O436" s="6">
        <f t="shared" si="40"/>
        <v>18173.400000000001</v>
      </c>
      <c r="P436" s="6">
        <v>40</v>
      </c>
      <c r="Q436" s="6">
        <v>1788</v>
      </c>
      <c r="R436" s="6"/>
      <c r="S436" s="6"/>
    </row>
    <row r="437" spans="1:19" s="1" customFormat="1" ht="15" hidden="1" customHeight="1" outlineLevel="1" x14ac:dyDescent="0.25">
      <c r="A437" s="2" t="s">
        <v>616</v>
      </c>
      <c r="B437" s="2" t="s">
        <v>617</v>
      </c>
      <c r="C437" s="13">
        <v>120.5</v>
      </c>
      <c r="D437" s="6">
        <v>208.69</v>
      </c>
      <c r="E437" s="6">
        <v>46.24</v>
      </c>
      <c r="F437" s="6"/>
      <c r="G437" s="6"/>
      <c r="H437" s="6"/>
      <c r="I437" s="6"/>
      <c r="J437" s="6">
        <v>182</v>
      </c>
      <c r="K437" s="6">
        <v>21931</v>
      </c>
      <c r="L437" s="6"/>
      <c r="M437" s="6"/>
      <c r="N437" s="6">
        <f t="shared" si="39"/>
        <v>182</v>
      </c>
      <c r="O437" s="6">
        <f t="shared" si="40"/>
        <v>21931</v>
      </c>
      <c r="P437" s="6">
        <v>6</v>
      </c>
      <c r="Q437" s="6">
        <v>705</v>
      </c>
      <c r="R437" s="6">
        <f t="shared" si="43"/>
        <v>25.020748478604627</v>
      </c>
      <c r="S437" s="6">
        <f t="shared" si="44"/>
        <v>3015.0001916718575</v>
      </c>
    </row>
    <row r="438" spans="1:19" s="1" customFormat="1" ht="15" hidden="1" customHeight="1" outlineLevel="1" x14ac:dyDescent="0.25">
      <c r="A438" s="2" t="s">
        <v>1271</v>
      </c>
      <c r="B438" s="2" t="s">
        <v>1272</v>
      </c>
      <c r="C438" s="13">
        <v>41.82</v>
      </c>
      <c r="D438" s="6">
        <v>70.8</v>
      </c>
      <c r="E438" s="6">
        <v>100</v>
      </c>
      <c r="F438" s="6"/>
      <c r="G438" s="6"/>
      <c r="H438" s="6"/>
      <c r="I438" s="6"/>
      <c r="J438" s="6">
        <v>33</v>
      </c>
      <c r="K438" s="6">
        <v>1380.06</v>
      </c>
      <c r="L438" s="6"/>
      <c r="M438" s="6"/>
      <c r="N438" s="6">
        <f t="shared" si="39"/>
        <v>33</v>
      </c>
      <c r="O438" s="6">
        <f t="shared" si="40"/>
        <v>1380.06</v>
      </c>
      <c r="P438" s="6">
        <v>36</v>
      </c>
      <c r="Q438" s="6">
        <v>1573</v>
      </c>
      <c r="R438" s="6"/>
      <c r="S438" s="6"/>
    </row>
    <row r="439" spans="1:19" s="1" customFormat="1" ht="15" hidden="1" customHeight="1" outlineLevel="1" x14ac:dyDescent="0.25">
      <c r="A439" s="2" t="s">
        <v>580</v>
      </c>
      <c r="B439" s="2" t="s">
        <v>581</v>
      </c>
      <c r="C439" s="13">
        <v>286.88</v>
      </c>
      <c r="D439" s="6">
        <v>178.1</v>
      </c>
      <c r="E439" s="6">
        <v>100</v>
      </c>
      <c r="F439" s="6"/>
      <c r="G439" s="6"/>
      <c r="H439" s="6">
        <v>15</v>
      </c>
      <c r="I439" s="6">
        <v>4303.2</v>
      </c>
      <c r="J439" s="6">
        <v>53</v>
      </c>
      <c r="K439" s="6">
        <v>15204.64</v>
      </c>
      <c r="L439" s="6"/>
      <c r="M439" s="6"/>
      <c r="N439" s="6">
        <f t="shared" si="39"/>
        <v>68</v>
      </c>
      <c r="O439" s="6">
        <f t="shared" si="40"/>
        <v>19507.84</v>
      </c>
      <c r="P439" s="6">
        <v>7</v>
      </c>
      <c r="Q439" s="6">
        <v>2255</v>
      </c>
      <c r="R439" s="6"/>
      <c r="S439" s="6"/>
    </row>
    <row r="440" spans="1:19" s="1" customFormat="1" ht="15" hidden="1" customHeight="1" outlineLevel="1" x14ac:dyDescent="0.25">
      <c r="A440" s="2" t="s">
        <v>576</v>
      </c>
      <c r="B440" s="2" t="s">
        <v>577</v>
      </c>
      <c r="C440" s="13">
        <v>166.16</v>
      </c>
      <c r="D440" s="6">
        <v>755.64</v>
      </c>
      <c r="E440" s="6">
        <v>100</v>
      </c>
      <c r="F440" s="6"/>
      <c r="G440" s="6"/>
      <c r="H440" s="6"/>
      <c r="I440" s="6"/>
      <c r="J440" s="6">
        <v>656</v>
      </c>
      <c r="K440" s="6">
        <v>109000.95999999999</v>
      </c>
      <c r="L440" s="6"/>
      <c r="M440" s="6"/>
      <c r="N440" s="6">
        <f t="shared" si="39"/>
        <v>656</v>
      </c>
      <c r="O440" s="6">
        <f t="shared" si="40"/>
        <v>109000.95999999999</v>
      </c>
      <c r="P440" s="6">
        <v>4</v>
      </c>
      <c r="Q440" s="6">
        <v>644</v>
      </c>
      <c r="R440" s="6">
        <f t="shared" si="43"/>
        <v>499.73511195807527</v>
      </c>
      <c r="S440" s="6">
        <f t="shared" si="44"/>
        <v>83035.986202953791</v>
      </c>
    </row>
    <row r="441" spans="1:19" s="17" customFormat="1" ht="14.1" hidden="1" customHeight="1" outlineLevel="1" x14ac:dyDescent="0.2">
      <c r="A441" s="2" t="s">
        <v>887</v>
      </c>
      <c r="B441" s="2" t="s">
        <v>888</v>
      </c>
      <c r="C441" s="13">
        <v>150</v>
      </c>
      <c r="D441" s="6">
        <v>336.02</v>
      </c>
      <c r="E441" s="6">
        <v>100</v>
      </c>
      <c r="F441" s="6"/>
      <c r="G441" s="6"/>
      <c r="H441" s="6">
        <v>20</v>
      </c>
      <c r="I441" s="6">
        <v>3000</v>
      </c>
      <c r="J441" s="6">
        <v>94</v>
      </c>
      <c r="K441" s="6">
        <v>14100</v>
      </c>
      <c r="L441" s="6"/>
      <c r="M441" s="6"/>
      <c r="N441" s="6">
        <f t="shared" si="39"/>
        <v>114</v>
      </c>
      <c r="O441" s="6">
        <f t="shared" si="40"/>
        <v>17100</v>
      </c>
      <c r="P441" s="6">
        <v>14</v>
      </c>
      <c r="Q441" s="6">
        <v>2230</v>
      </c>
      <c r="R441" s="6">
        <f t="shared" si="43"/>
        <v>43.64585441342777</v>
      </c>
      <c r="S441" s="6">
        <f t="shared" si="44"/>
        <v>6546.8781620141654</v>
      </c>
    </row>
    <row r="442" spans="1:19" s="1" customFormat="1" ht="15" hidden="1" customHeight="1" outlineLevel="1" x14ac:dyDescent="0.25">
      <c r="A442" s="2" t="s">
        <v>628</v>
      </c>
      <c r="B442" s="2" t="s">
        <v>629</v>
      </c>
      <c r="C442" s="13">
        <v>69.739999999999995</v>
      </c>
      <c r="D442" s="6">
        <v>406.44</v>
      </c>
      <c r="E442" s="6">
        <v>100</v>
      </c>
      <c r="F442" s="6">
        <v>20</v>
      </c>
      <c r="G442" s="6">
        <v>1394.8</v>
      </c>
      <c r="H442" s="6">
        <v>20</v>
      </c>
      <c r="I442" s="6">
        <v>1394.8</v>
      </c>
      <c r="J442" s="6">
        <v>481</v>
      </c>
      <c r="K442" s="6">
        <v>33544.94</v>
      </c>
      <c r="L442" s="6"/>
      <c r="M442" s="6"/>
      <c r="N442" s="6">
        <f t="shared" si="39"/>
        <v>521</v>
      </c>
      <c r="O442" s="6">
        <f t="shared" si="40"/>
        <v>36334.54</v>
      </c>
      <c r="P442" s="6">
        <v>34</v>
      </c>
      <c r="Q442" s="6">
        <v>2485</v>
      </c>
      <c r="R442" s="6">
        <f t="shared" si="43"/>
        <v>267.97962798937112</v>
      </c>
      <c r="S442" s="6">
        <f t="shared" si="44"/>
        <v>18688.89925597874</v>
      </c>
    </row>
    <row r="443" spans="1:19" s="1" customFormat="1" ht="15" hidden="1" customHeight="1" outlineLevel="1" x14ac:dyDescent="0.25">
      <c r="A443" s="2" t="s">
        <v>1081</v>
      </c>
      <c r="B443" s="2" t="s">
        <v>1082</v>
      </c>
      <c r="C443" s="13">
        <v>61.66</v>
      </c>
      <c r="D443" s="6">
        <v>689.97</v>
      </c>
      <c r="E443" s="6">
        <v>100</v>
      </c>
      <c r="F443" s="6">
        <v>5</v>
      </c>
      <c r="G443" s="6">
        <v>308.3</v>
      </c>
      <c r="H443" s="6"/>
      <c r="I443" s="6"/>
      <c r="J443" s="6">
        <v>123</v>
      </c>
      <c r="K443" s="6">
        <v>7584.18</v>
      </c>
      <c r="L443" s="6"/>
      <c r="M443" s="6"/>
      <c r="N443" s="6">
        <f t="shared" si="39"/>
        <v>128</v>
      </c>
      <c r="O443" s="6">
        <f t="shared" si="40"/>
        <v>7892.48</v>
      </c>
      <c r="P443" s="6">
        <v>10</v>
      </c>
      <c r="Q443" s="6">
        <v>609</v>
      </c>
      <c r="R443" s="6">
        <f t="shared" si="43"/>
        <v>90.911648332536203</v>
      </c>
      <c r="S443" s="6">
        <f t="shared" si="44"/>
        <v>5605.6122361841817</v>
      </c>
    </row>
    <row r="444" spans="1:19" s="1" customFormat="1" ht="15" hidden="1" customHeight="1" outlineLevel="1" x14ac:dyDescent="0.25">
      <c r="A444" s="2" t="s">
        <v>1175</v>
      </c>
      <c r="B444" s="2" t="s">
        <v>1176</v>
      </c>
      <c r="C444" s="13">
        <v>976.52</v>
      </c>
      <c r="D444" s="6">
        <v>4751</v>
      </c>
      <c r="E444" s="6">
        <v>100</v>
      </c>
      <c r="F444" s="6"/>
      <c r="G444" s="6"/>
      <c r="H444" s="6"/>
      <c r="I444" s="6"/>
      <c r="J444" s="6">
        <v>51</v>
      </c>
      <c r="K444" s="6">
        <v>49802.52</v>
      </c>
      <c r="L444" s="6"/>
      <c r="M444" s="6"/>
      <c r="N444" s="6">
        <f t="shared" si="39"/>
        <v>51</v>
      </c>
      <c r="O444" s="6">
        <f t="shared" si="40"/>
        <v>49802.52</v>
      </c>
      <c r="P444" s="6"/>
      <c r="Q444" s="6"/>
      <c r="R444" s="6">
        <f t="shared" si="43"/>
        <v>49.067775205219952</v>
      </c>
      <c r="S444" s="6">
        <f t="shared" si="44"/>
        <v>47915.663843401388</v>
      </c>
    </row>
    <row r="445" spans="1:19" s="1" customFormat="1" ht="15" hidden="1" customHeight="1" outlineLevel="1" x14ac:dyDescent="0.25">
      <c r="A445" s="2" t="s">
        <v>921</v>
      </c>
      <c r="B445" s="2" t="s">
        <v>922</v>
      </c>
      <c r="C445" s="13">
        <v>201.5</v>
      </c>
      <c r="D445" s="6">
        <v>11367</v>
      </c>
      <c r="E445" s="6">
        <v>100</v>
      </c>
      <c r="F445" s="6"/>
      <c r="G445" s="6"/>
      <c r="H445" s="6"/>
      <c r="I445" s="6"/>
      <c r="J445" s="6">
        <v>95</v>
      </c>
      <c r="K445" s="6">
        <v>19142.5</v>
      </c>
      <c r="L445" s="6"/>
      <c r="M445" s="6"/>
      <c r="N445" s="6">
        <f t="shared" si="39"/>
        <v>95</v>
      </c>
      <c r="O445" s="6">
        <f t="shared" si="40"/>
        <v>19142.5</v>
      </c>
      <c r="P445" s="6">
        <v>0</v>
      </c>
      <c r="Q445" s="6">
        <v>70</v>
      </c>
      <c r="R445" s="6">
        <f t="shared" si="43"/>
        <v>93.495645288994453</v>
      </c>
      <c r="S445" s="6">
        <f t="shared" si="44"/>
        <v>18839.372525732382</v>
      </c>
    </row>
    <row r="446" spans="1:19" s="1" customFormat="1" ht="15" hidden="1" customHeight="1" outlineLevel="1" x14ac:dyDescent="0.25">
      <c r="A446" s="2" t="s">
        <v>1163</v>
      </c>
      <c r="B446" s="2" t="s">
        <v>1164</v>
      </c>
      <c r="C446" s="13">
        <v>978.38</v>
      </c>
      <c r="D446" s="6"/>
      <c r="E446" s="6">
        <v>100</v>
      </c>
      <c r="F446" s="6"/>
      <c r="G446" s="6"/>
      <c r="H446" s="6"/>
      <c r="I446" s="6"/>
      <c r="J446" s="6">
        <v>110</v>
      </c>
      <c r="K446" s="6">
        <v>107621.8</v>
      </c>
      <c r="L446" s="6"/>
      <c r="M446" s="6"/>
      <c r="N446" s="6">
        <f t="shared" si="39"/>
        <v>110</v>
      </c>
      <c r="O446" s="6">
        <f t="shared" si="40"/>
        <v>107621.8</v>
      </c>
      <c r="P446" s="6"/>
      <c r="Q446" s="6"/>
      <c r="R446" s="6"/>
      <c r="S446" s="6"/>
    </row>
    <row r="447" spans="1:19" s="1" customFormat="1" ht="15" hidden="1" customHeight="1" outlineLevel="1" x14ac:dyDescent="0.25">
      <c r="A447" s="2" t="s">
        <v>1337</v>
      </c>
      <c r="B447" s="2" t="s">
        <v>1338</v>
      </c>
      <c r="C447" s="13">
        <v>355.98</v>
      </c>
      <c r="D447" s="6">
        <v>459.59</v>
      </c>
      <c r="E447" s="6">
        <v>100</v>
      </c>
      <c r="F447" s="6">
        <v>12</v>
      </c>
      <c r="G447" s="6">
        <v>4271.76</v>
      </c>
      <c r="H447" s="6">
        <v>3</v>
      </c>
      <c r="I447" s="6">
        <v>1067.94</v>
      </c>
      <c r="J447" s="6">
        <v>474</v>
      </c>
      <c r="K447" s="6">
        <v>168734.52</v>
      </c>
      <c r="L447" s="6"/>
      <c r="M447" s="6"/>
      <c r="N447" s="6">
        <f t="shared" si="39"/>
        <v>489</v>
      </c>
      <c r="O447" s="6">
        <f t="shared" si="40"/>
        <v>174074.22</v>
      </c>
      <c r="P447" s="6">
        <v>16</v>
      </c>
      <c r="Q447" s="6">
        <v>5834</v>
      </c>
      <c r="R447" s="6">
        <f t="shared" si="43"/>
        <v>288.35627407036708</v>
      </c>
      <c r="S447" s="6">
        <f t="shared" si="44"/>
        <v>102649.06644356927</v>
      </c>
    </row>
    <row r="448" spans="1:19" s="1" customFormat="1" ht="15" hidden="1" customHeight="1" outlineLevel="1" x14ac:dyDescent="0.25">
      <c r="A448" s="2" t="s">
        <v>991</v>
      </c>
      <c r="B448" s="2" t="s">
        <v>992</v>
      </c>
      <c r="C448" s="13">
        <v>319.76</v>
      </c>
      <c r="D448" s="6">
        <v>473.42</v>
      </c>
      <c r="E448" s="6">
        <v>58.06</v>
      </c>
      <c r="F448" s="6"/>
      <c r="G448" s="6"/>
      <c r="H448" s="6"/>
      <c r="I448" s="6"/>
      <c r="J448" s="6">
        <v>467</v>
      </c>
      <c r="K448" s="6">
        <v>149327.92000000001</v>
      </c>
      <c r="L448" s="6"/>
      <c r="M448" s="6"/>
      <c r="N448" s="6">
        <f t="shared" si="39"/>
        <v>467</v>
      </c>
      <c r="O448" s="6">
        <f t="shared" si="40"/>
        <v>149327.91999999998</v>
      </c>
      <c r="P448" s="6">
        <v>11</v>
      </c>
      <c r="Q448" s="6">
        <v>3447</v>
      </c>
      <c r="R448" s="6">
        <f t="shared" si="43"/>
        <v>289.440961514089</v>
      </c>
      <c r="S448" s="6">
        <f t="shared" si="44"/>
        <v>92551.641853745095</v>
      </c>
    </row>
    <row r="449" spans="1:19" s="1" customFormat="1" ht="15" hidden="1" customHeight="1" outlineLevel="1" x14ac:dyDescent="0.25">
      <c r="A449" s="2" t="s">
        <v>1319</v>
      </c>
      <c r="B449" s="2" t="s">
        <v>1320</v>
      </c>
      <c r="C449" s="13">
        <v>95</v>
      </c>
      <c r="D449" s="6">
        <v>65.86</v>
      </c>
      <c r="E449" s="6">
        <v>100</v>
      </c>
      <c r="F449" s="6"/>
      <c r="G449" s="6"/>
      <c r="H449" s="6">
        <v>7</v>
      </c>
      <c r="I449" s="6">
        <v>665</v>
      </c>
      <c r="J449" s="6">
        <v>2</v>
      </c>
      <c r="K449" s="6">
        <v>190</v>
      </c>
      <c r="L449" s="6"/>
      <c r="M449" s="6"/>
      <c r="N449" s="6">
        <f t="shared" si="39"/>
        <v>9</v>
      </c>
      <c r="O449" s="6">
        <f t="shared" si="40"/>
        <v>855</v>
      </c>
      <c r="P449" s="6">
        <v>21</v>
      </c>
      <c r="Q449" s="6">
        <v>2001</v>
      </c>
      <c r="R449" s="6"/>
      <c r="S449" s="6"/>
    </row>
    <row r="450" spans="1:19" s="1" customFormat="1" ht="15" hidden="1" customHeight="1" outlineLevel="1" x14ac:dyDescent="0.25">
      <c r="A450" s="2" t="s">
        <v>963</v>
      </c>
      <c r="B450" s="2" t="s">
        <v>964</v>
      </c>
      <c r="C450" s="13">
        <v>107.15</v>
      </c>
      <c r="D450" s="6"/>
      <c r="E450" s="6">
        <v>100</v>
      </c>
      <c r="F450" s="6"/>
      <c r="G450" s="6"/>
      <c r="H450" s="6">
        <v>5</v>
      </c>
      <c r="I450" s="6">
        <v>535.75</v>
      </c>
      <c r="J450" s="6">
        <v>332</v>
      </c>
      <c r="K450" s="6">
        <v>35573.800000000003</v>
      </c>
      <c r="L450" s="6"/>
      <c r="M450" s="6"/>
      <c r="N450" s="6">
        <f t="shared" si="39"/>
        <v>337</v>
      </c>
      <c r="O450" s="6">
        <f t="shared" si="40"/>
        <v>36109.550000000003</v>
      </c>
      <c r="P450" s="6">
        <v>-8</v>
      </c>
      <c r="Q450" s="6">
        <v>-978</v>
      </c>
      <c r="R450" s="6"/>
      <c r="S450" s="6"/>
    </row>
    <row r="451" spans="1:19" s="1" customFormat="1" ht="15" hidden="1" customHeight="1" outlineLevel="1" x14ac:dyDescent="0.25">
      <c r="A451" s="2" t="s">
        <v>1125</v>
      </c>
      <c r="B451" s="2" t="s">
        <v>1126</v>
      </c>
      <c r="C451" s="13">
        <v>202.45</v>
      </c>
      <c r="D451" s="6">
        <v>1306.5</v>
      </c>
      <c r="E451" s="6">
        <v>100</v>
      </c>
      <c r="F451" s="6"/>
      <c r="G451" s="6"/>
      <c r="H451" s="6"/>
      <c r="I451" s="6"/>
      <c r="J451" s="6">
        <v>72</v>
      </c>
      <c r="K451" s="6">
        <v>14576.4</v>
      </c>
      <c r="L451" s="6"/>
      <c r="M451" s="6"/>
      <c r="N451" s="6">
        <f t="shared" si="39"/>
        <v>72</v>
      </c>
      <c r="O451" s="6">
        <f t="shared" si="40"/>
        <v>14576.4</v>
      </c>
      <c r="P451" s="6">
        <v>3</v>
      </c>
      <c r="Q451" s="6">
        <v>571</v>
      </c>
      <c r="R451" s="6">
        <f t="shared" si="43"/>
        <v>62.080367393800231</v>
      </c>
      <c r="S451" s="6">
        <f t="shared" si="44"/>
        <v>12568.170378874856</v>
      </c>
    </row>
    <row r="452" spans="1:19" s="1" customFormat="1" ht="15" hidden="1" customHeight="1" outlineLevel="1" x14ac:dyDescent="0.25">
      <c r="A452" s="2" t="s">
        <v>859</v>
      </c>
      <c r="B452" s="2" t="s">
        <v>860</v>
      </c>
      <c r="C452" s="13">
        <v>119</v>
      </c>
      <c r="D452" s="6">
        <v>515.1</v>
      </c>
      <c r="E452" s="6">
        <v>100</v>
      </c>
      <c r="F452" s="6"/>
      <c r="G452" s="6"/>
      <c r="H452" s="6"/>
      <c r="I452" s="6"/>
      <c r="J452" s="6">
        <v>139</v>
      </c>
      <c r="K452" s="6">
        <v>16541</v>
      </c>
      <c r="L452" s="6">
        <v>200</v>
      </c>
      <c r="M452" s="6">
        <v>23800</v>
      </c>
      <c r="N452" s="6">
        <f t="shared" si="39"/>
        <v>339</v>
      </c>
      <c r="O452" s="6">
        <f t="shared" si="40"/>
        <v>40341</v>
      </c>
      <c r="P452" s="6">
        <v>9</v>
      </c>
      <c r="Q452" s="6">
        <v>1079</v>
      </c>
      <c r="R452" s="6">
        <f t="shared" si="43"/>
        <v>90.426907396622013</v>
      </c>
      <c r="S452" s="6">
        <f t="shared" si="44"/>
        <v>10760.801980198019</v>
      </c>
    </row>
    <row r="453" spans="1:19" s="1" customFormat="1" ht="15" hidden="1" customHeight="1" outlineLevel="1" x14ac:dyDescent="0.25">
      <c r="A453" s="2" t="s">
        <v>1083</v>
      </c>
      <c r="B453" s="2" t="s">
        <v>1084</v>
      </c>
      <c r="C453" s="13">
        <v>100.1</v>
      </c>
      <c r="D453" s="6">
        <v>913.79</v>
      </c>
      <c r="E453" s="6">
        <v>100</v>
      </c>
      <c r="F453" s="6"/>
      <c r="G453" s="6"/>
      <c r="H453" s="6"/>
      <c r="I453" s="6"/>
      <c r="J453" s="6">
        <v>258</v>
      </c>
      <c r="K453" s="6">
        <v>25825.8</v>
      </c>
      <c r="L453" s="6"/>
      <c r="M453" s="6"/>
      <c r="N453" s="6">
        <f t="shared" si="39"/>
        <v>258</v>
      </c>
      <c r="O453" s="6">
        <f t="shared" si="40"/>
        <v>25825.8</v>
      </c>
      <c r="P453" s="6">
        <v>5</v>
      </c>
      <c r="Q453" s="6">
        <v>485</v>
      </c>
      <c r="R453" s="6">
        <f t="shared" si="43"/>
        <v>207.1786953238709</v>
      </c>
      <c r="S453" s="6">
        <f t="shared" si="44"/>
        <v>20738.587401919474</v>
      </c>
    </row>
    <row r="454" spans="1:19" s="1" customFormat="1" ht="15" hidden="1" customHeight="1" outlineLevel="1" x14ac:dyDescent="0.25">
      <c r="A454" s="2" t="s">
        <v>1177</v>
      </c>
      <c r="B454" s="2" t="s">
        <v>1178</v>
      </c>
      <c r="C454" s="13">
        <v>984.61</v>
      </c>
      <c r="D454" s="6">
        <v>5216</v>
      </c>
      <c r="E454" s="6">
        <v>100</v>
      </c>
      <c r="F454" s="6"/>
      <c r="G454" s="6"/>
      <c r="H454" s="6"/>
      <c r="I454" s="6"/>
      <c r="J454" s="6">
        <v>56</v>
      </c>
      <c r="K454" s="6">
        <v>55138.16</v>
      </c>
      <c r="L454" s="6"/>
      <c r="M454" s="6"/>
      <c r="N454" s="6">
        <f t="shared" si="39"/>
        <v>56</v>
      </c>
      <c r="O454" s="6">
        <f t="shared" si="40"/>
        <v>55138.16</v>
      </c>
      <c r="P454" s="6"/>
      <c r="Q454" s="6"/>
      <c r="R454" s="6">
        <f t="shared" si="43"/>
        <v>54.067484662576689</v>
      </c>
      <c r="S454" s="6">
        <f t="shared" si="44"/>
        <v>53235.386073619637</v>
      </c>
    </row>
    <row r="455" spans="1:19" s="1" customFormat="1" ht="15" hidden="1" customHeight="1" outlineLevel="1" x14ac:dyDescent="0.25">
      <c r="A455" s="2" t="s">
        <v>718</v>
      </c>
      <c r="B455" s="2" t="s">
        <v>719</v>
      </c>
      <c r="C455" s="13">
        <v>878.87</v>
      </c>
      <c r="D455" s="6">
        <v>124.74</v>
      </c>
      <c r="E455" s="6">
        <v>100</v>
      </c>
      <c r="F455" s="6"/>
      <c r="G455" s="6"/>
      <c r="H455" s="6">
        <v>19</v>
      </c>
      <c r="I455" s="6">
        <v>16698.53</v>
      </c>
      <c r="J455" s="6">
        <v>0</v>
      </c>
      <c r="K455" s="6">
        <v>0</v>
      </c>
      <c r="L455" s="6"/>
      <c r="M455" s="6"/>
      <c r="N455" s="6">
        <f t="shared" si="39"/>
        <v>19</v>
      </c>
      <c r="O455" s="6">
        <f t="shared" si="40"/>
        <v>16698.53</v>
      </c>
      <c r="P455" s="6">
        <v>11</v>
      </c>
      <c r="Q455" s="6">
        <v>10586</v>
      </c>
      <c r="R455" s="6"/>
      <c r="S455" s="6"/>
    </row>
    <row r="456" spans="1:19" s="1" customFormat="1" ht="15" hidden="1" customHeight="1" outlineLevel="1" x14ac:dyDescent="0.25">
      <c r="A456" s="2" t="s">
        <v>857</v>
      </c>
      <c r="B456" s="2" t="s">
        <v>858</v>
      </c>
      <c r="C456" s="13">
        <v>254.54</v>
      </c>
      <c r="D456" s="6">
        <v>759.13</v>
      </c>
      <c r="E456" s="6">
        <v>73.12</v>
      </c>
      <c r="F456" s="6"/>
      <c r="G456" s="6"/>
      <c r="H456" s="6"/>
      <c r="I456" s="6"/>
      <c r="J456" s="6">
        <v>177</v>
      </c>
      <c r="K456" s="6">
        <v>45053.58</v>
      </c>
      <c r="L456" s="6">
        <v>100</v>
      </c>
      <c r="M456" s="6">
        <v>25454</v>
      </c>
      <c r="N456" s="6">
        <f t="shared" si="39"/>
        <v>277</v>
      </c>
      <c r="O456" s="6">
        <f t="shared" si="40"/>
        <v>70507.58</v>
      </c>
      <c r="P456" s="6">
        <v>8</v>
      </c>
      <c r="Q456" s="6">
        <v>2037</v>
      </c>
      <c r="R456" s="6">
        <f t="shared" si="43"/>
        <v>135.0309037977685</v>
      </c>
      <c r="S456" s="6">
        <f t="shared" si="44"/>
        <v>34370.766252683992</v>
      </c>
    </row>
    <row r="457" spans="1:19" s="1" customFormat="1" ht="15" hidden="1" customHeight="1" outlineLevel="1" x14ac:dyDescent="0.25">
      <c r="A457" s="2" t="s">
        <v>1285</v>
      </c>
      <c r="B457" s="2" t="s">
        <v>1286</v>
      </c>
      <c r="C457" s="13">
        <v>72.680000000000007</v>
      </c>
      <c r="D457" s="6">
        <v>1014.49</v>
      </c>
      <c r="E457" s="6">
        <v>100</v>
      </c>
      <c r="F457" s="6"/>
      <c r="G457" s="6"/>
      <c r="H457" s="6">
        <v>25</v>
      </c>
      <c r="I457" s="6">
        <v>1817</v>
      </c>
      <c r="J457" s="6">
        <v>723</v>
      </c>
      <c r="K457" s="6">
        <v>52547.64</v>
      </c>
      <c r="L457" s="6"/>
      <c r="M457" s="6"/>
      <c r="N457" s="6">
        <f t="shared" si="39"/>
        <v>748</v>
      </c>
      <c r="O457" s="6">
        <f t="shared" si="40"/>
        <v>54364.640000000007</v>
      </c>
      <c r="P457" s="6">
        <v>19</v>
      </c>
      <c r="Q457" s="6">
        <v>1441</v>
      </c>
      <c r="R457" s="6">
        <f t="shared" si="43"/>
        <v>594.71879466529981</v>
      </c>
      <c r="S457" s="6">
        <f t="shared" si="44"/>
        <v>43224.161996273993</v>
      </c>
    </row>
    <row r="458" spans="1:19" s="1" customFormat="1" ht="15" hidden="1" customHeight="1" outlineLevel="1" x14ac:dyDescent="0.25">
      <c r="A458" s="2" t="s">
        <v>770</v>
      </c>
      <c r="B458" s="2" t="s">
        <v>771</v>
      </c>
      <c r="C458" s="13">
        <v>157.74</v>
      </c>
      <c r="D458" s="6">
        <v>63.48</v>
      </c>
      <c r="E458" s="6">
        <v>29.03</v>
      </c>
      <c r="F458" s="6"/>
      <c r="G458" s="6"/>
      <c r="H458" s="6">
        <v>4</v>
      </c>
      <c r="I458" s="6">
        <v>630.96</v>
      </c>
      <c r="J458" s="6">
        <v>185</v>
      </c>
      <c r="K458" s="6">
        <v>29181.9</v>
      </c>
      <c r="L458" s="6"/>
      <c r="M458" s="6"/>
      <c r="N458" s="6">
        <f t="shared" si="39"/>
        <v>189</v>
      </c>
      <c r="O458" s="6">
        <f t="shared" si="40"/>
        <v>29812.86</v>
      </c>
      <c r="P458" s="6">
        <v>33</v>
      </c>
      <c r="Q458" s="6">
        <v>5305</v>
      </c>
      <c r="R458" s="6"/>
      <c r="S458" s="6"/>
    </row>
    <row r="459" spans="1:19" s="1" customFormat="1" ht="15" hidden="1" customHeight="1" outlineLevel="1" x14ac:dyDescent="0.25">
      <c r="A459" s="2" t="s">
        <v>1155</v>
      </c>
      <c r="B459" s="2" t="s">
        <v>1156</v>
      </c>
      <c r="C459" s="13">
        <v>791.1</v>
      </c>
      <c r="D459" s="6">
        <v>3097.33</v>
      </c>
      <c r="E459" s="6">
        <v>100</v>
      </c>
      <c r="F459" s="6"/>
      <c r="G459" s="6"/>
      <c r="H459" s="6">
        <v>5</v>
      </c>
      <c r="I459" s="6">
        <v>3955.5</v>
      </c>
      <c r="J459" s="6">
        <v>56</v>
      </c>
      <c r="K459" s="6">
        <v>44301.599999999999</v>
      </c>
      <c r="L459" s="6"/>
      <c r="M459" s="6"/>
      <c r="N459" s="6">
        <f t="shared" si="39"/>
        <v>61</v>
      </c>
      <c r="O459" s="6">
        <f t="shared" si="40"/>
        <v>48257.1</v>
      </c>
      <c r="P459" s="6">
        <v>1</v>
      </c>
      <c r="Q459" s="6">
        <v>552</v>
      </c>
      <c r="R459" s="6">
        <f t="shared" si="43"/>
        <v>52.745584099853744</v>
      </c>
      <c r="S459" s="6">
        <f t="shared" si="44"/>
        <v>41727.031581394302</v>
      </c>
    </row>
    <row r="460" spans="1:19" s="1" customFormat="1" ht="15" hidden="1" customHeight="1" outlineLevel="1" x14ac:dyDescent="0.25">
      <c r="A460" s="2" t="s">
        <v>574</v>
      </c>
      <c r="B460" s="2" t="s">
        <v>575</v>
      </c>
      <c r="C460" s="13">
        <v>131.18</v>
      </c>
      <c r="D460" s="6"/>
      <c r="E460" s="6">
        <v>58.06</v>
      </c>
      <c r="F460" s="6"/>
      <c r="G460" s="6"/>
      <c r="H460" s="6">
        <v>2</v>
      </c>
      <c r="I460" s="6">
        <v>262.36</v>
      </c>
      <c r="J460" s="6">
        <v>100</v>
      </c>
      <c r="K460" s="6">
        <v>13118</v>
      </c>
      <c r="L460" s="6"/>
      <c r="M460" s="6"/>
      <c r="N460" s="6">
        <f t="shared" si="39"/>
        <v>102</v>
      </c>
      <c r="O460" s="6">
        <f t="shared" si="40"/>
        <v>13380.36</v>
      </c>
      <c r="P460" s="6">
        <v>-1</v>
      </c>
      <c r="Q460" s="6">
        <v>-93</v>
      </c>
      <c r="R460" s="6"/>
      <c r="S460" s="6"/>
    </row>
    <row r="461" spans="1:19" s="1" customFormat="1" ht="15" hidden="1" customHeight="1" outlineLevel="1" x14ac:dyDescent="0.25">
      <c r="A461" s="2" t="s">
        <v>839</v>
      </c>
      <c r="B461" s="2" t="s">
        <v>840</v>
      </c>
      <c r="C461" s="13">
        <v>289.54000000000002</v>
      </c>
      <c r="D461" s="6">
        <v>531</v>
      </c>
      <c r="E461" s="6">
        <v>100</v>
      </c>
      <c r="F461" s="6"/>
      <c r="G461" s="6"/>
      <c r="H461" s="6">
        <v>1</v>
      </c>
      <c r="I461" s="6">
        <v>289.54000000000002</v>
      </c>
      <c r="J461" s="6">
        <v>50</v>
      </c>
      <c r="K461" s="6">
        <v>14477</v>
      </c>
      <c r="L461" s="6"/>
      <c r="M461" s="6"/>
      <c r="N461" s="6">
        <f t="shared" si="39"/>
        <v>51</v>
      </c>
      <c r="O461" s="6">
        <f t="shared" si="40"/>
        <v>14766.54</v>
      </c>
      <c r="P461" s="6">
        <v>3</v>
      </c>
      <c r="Q461" s="6">
        <v>790</v>
      </c>
      <c r="R461" s="6">
        <f t="shared" si="43"/>
        <v>33.050847457627121</v>
      </c>
      <c r="S461" s="6">
        <f t="shared" si="44"/>
        <v>9569.5423728813566</v>
      </c>
    </row>
    <row r="462" spans="1:19" s="1" customFormat="1" ht="15" hidden="1" customHeight="1" outlineLevel="1" x14ac:dyDescent="0.25">
      <c r="A462" s="2" t="s">
        <v>829</v>
      </c>
      <c r="B462" s="2" t="s">
        <v>830</v>
      </c>
      <c r="C462" s="13">
        <v>34.119999999999997</v>
      </c>
      <c r="D462" s="6">
        <v>921.24</v>
      </c>
      <c r="E462" s="6">
        <v>100</v>
      </c>
      <c r="F462" s="6">
        <v>10</v>
      </c>
      <c r="G462" s="6">
        <v>341.2</v>
      </c>
      <c r="H462" s="6">
        <v>15</v>
      </c>
      <c r="I462" s="6">
        <v>511.8</v>
      </c>
      <c r="J462" s="6">
        <v>1860</v>
      </c>
      <c r="K462" s="6">
        <v>63463.199999999997</v>
      </c>
      <c r="L462" s="6"/>
      <c r="M462" s="6"/>
      <c r="N462" s="6">
        <f t="shared" si="39"/>
        <v>1885</v>
      </c>
      <c r="O462" s="6">
        <f t="shared" si="40"/>
        <v>64316.2</v>
      </c>
      <c r="P462" s="6">
        <v>32</v>
      </c>
      <c r="Q462" s="6">
        <v>1152</v>
      </c>
      <c r="R462" s="6">
        <f t="shared" si="43"/>
        <v>1496.5767878077374</v>
      </c>
      <c r="S462" s="6">
        <f t="shared" si="44"/>
        <v>51063.199999999997</v>
      </c>
    </row>
    <row r="463" spans="1:19" s="1" customFormat="1" ht="15" hidden="1" customHeight="1" outlineLevel="1" x14ac:dyDescent="0.25">
      <c r="A463" s="2" t="s">
        <v>243</v>
      </c>
      <c r="B463" s="2" t="s">
        <v>244</v>
      </c>
      <c r="C463" s="13">
        <v>1472.29</v>
      </c>
      <c r="D463" s="6">
        <v>967.78</v>
      </c>
      <c r="E463" s="6">
        <v>100</v>
      </c>
      <c r="F463" s="6"/>
      <c r="G463" s="6"/>
      <c r="H463" s="6">
        <v>1</v>
      </c>
      <c r="I463" s="6">
        <v>1472.29</v>
      </c>
      <c r="J463" s="6">
        <v>88</v>
      </c>
      <c r="K463" s="6">
        <v>129561.52</v>
      </c>
      <c r="L463" s="6"/>
      <c r="M463" s="6"/>
      <c r="N463" s="6">
        <f t="shared" si="39"/>
        <v>89</v>
      </c>
      <c r="O463" s="6">
        <f t="shared" si="40"/>
        <v>131033.81</v>
      </c>
      <c r="P463" s="6">
        <v>2</v>
      </c>
      <c r="Q463" s="6">
        <v>3563</v>
      </c>
      <c r="R463" s="6">
        <f t="shared" si="43"/>
        <v>71.632643782677874</v>
      </c>
      <c r="S463" s="6">
        <f t="shared" si="44"/>
        <v>105464.0251147988</v>
      </c>
    </row>
    <row r="464" spans="1:19" s="1" customFormat="1" ht="15" hidden="1" customHeight="1" outlineLevel="1" x14ac:dyDescent="0.25">
      <c r="A464" s="2" t="s">
        <v>1301</v>
      </c>
      <c r="B464" s="2" t="s">
        <v>1302</v>
      </c>
      <c r="C464" s="13">
        <v>136.94</v>
      </c>
      <c r="D464" s="6">
        <v>631.52</v>
      </c>
      <c r="E464" s="6">
        <v>100</v>
      </c>
      <c r="F464" s="6"/>
      <c r="G464" s="6"/>
      <c r="H464" s="6">
        <v>10</v>
      </c>
      <c r="I464" s="6">
        <v>1369.4</v>
      </c>
      <c r="J464" s="6">
        <v>735</v>
      </c>
      <c r="K464" s="6">
        <v>100650.9</v>
      </c>
      <c r="L464" s="6"/>
      <c r="M464" s="6"/>
      <c r="N464" s="6">
        <f t="shared" si="39"/>
        <v>745</v>
      </c>
      <c r="O464" s="6">
        <f t="shared" si="40"/>
        <v>102020.3</v>
      </c>
      <c r="P464" s="6">
        <v>28</v>
      </c>
      <c r="Q464" s="6">
        <v>4062</v>
      </c>
      <c r="R464" s="6">
        <f t="shared" si="43"/>
        <v>525.50544717506966</v>
      </c>
      <c r="S464" s="6">
        <f t="shared" si="44"/>
        <v>71962.71593615404</v>
      </c>
    </row>
    <row r="465" spans="1:19" s="1" customFormat="1" ht="15" hidden="1" customHeight="1" outlineLevel="1" x14ac:dyDescent="0.25">
      <c r="A465" s="2" t="s">
        <v>823</v>
      </c>
      <c r="B465" s="2" t="s">
        <v>824</v>
      </c>
      <c r="C465" s="13">
        <v>34.119999999999997</v>
      </c>
      <c r="D465" s="6">
        <v>1041.94</v>
      </c>
      <c r="E465" s="6">
        <v>100</v>
      </c>
      <c r="F465" s="6"/>
      <c r="G465" s="6"/>
      <c r="H465" s="6">
        <v>10</v>
      </c>
      <c r="I465" s="6">
        <v>341.2</v>
      </c>
      <c r="J465" s="6">
        <v>2405</v>
      </c>
      <c r="K465" s="6">
        <v>82058.600000000006</v>
      </c>
      <c r="L465" s="6"/>
      <c r="M465" s="6"/>
      <c r="N465" s="6">
        <f t="shared" si="39"/>
        <v>2415</v>
      </c>
      <c r="O465" s="6">
        <f t="shared" si="40"/>
        <v>82399.799999999988</v>
      </c>
      <c r="P465" s="6">
        <v>81</v>
      </c>
      <c r="Q465" s="6">
        <v>2854</v>
      </c>
      <c r="R465" s="6">
        <f t="shared" si="43"/>
        <v>1989.5250206345854</v>
      </c>
      <c r="S465" s="6">
        <f t="shared" si="44"/>
        <v>67882.593704052051</v>
      </c>
    </row>
    <row r="466" spans="1:19" s="1" customFormat="1" ht="15" hidden="1" customHeight="1" outlineLevel="1" x14ac:dyDescent="0.25">
      <c r="A466" s="2" t="s">
        <v>1105</v>
      </c>
      <c r="B466" s="2" t="s">
        <v>1106</v>
      </c>
      <c r="C466" s="13">
        <v>173.92</v>
      </c>
      <c r="D466" s="6">
        <v>747.13</v>
      </c>
      <c r="E466" s="6">
        <v>100</v>
      </c>
      <c r="F466" s="6"/>
      <c r="G466" s="6"/>
      <c r="H466" s="6">
        <v>15</v>
      </c>
      <c r="I466" s="6">
        <v>2608.8000000000002</v>
      </c>
      <c r="J466" s="6">
        <v>392</v>
      </c>
      <c r="K466" s="6">
        <v>68176.639999999999</v>
      </c>
      <c r="L466" s="6"/>
      <c r="M466" s="6"/>
      <c r="N466" s="6">
        <f t="shared" si="39"/>
        <v>407</v>
      </c>
      <c r="O466" s="6">
        <f t="shared" si="40"/>
        <v>70785.439999999988</v>
      </c>
      <c r="P466" s="6">
        <v>19</v>
      </c>
      <c r="Q466" s="6">
        <v>3494</v>
      </c>
      <c r="R466" s="6">
        <f t="shared" si="43"/>
        <v>297.55860425896429</v>
      </c>
      <c r="S466" s="6">
        <f t="shared" si="44"/>
        <v>51751.392452719068</v>
      </c>
    </row>
    <row r="467" spans="1:19" s="1" customFormat="1" ht="15" hidden="1" customHeight="1" outlineLevel="1" x14ac:dyDescent="0.25">
      <c r="A467" s="2" t="s">
        <v>496</v>
      </c>
      <c r="B467" s="2" t="s">
        <v>497</v>
      </c>
      <c r="C467" s="13">
        <v>153.15</v>
      </c>
      <c r="D467" s="6">
        <v>947.17</v>
      </c>
      <c r="E467" s="6">
        <v>100</v>
      </c>
      <c r="F467" s="6"/>
      <c r="G467" s="6"/>
      <c r="H467" s="6"/>
      <c r="I467" s="6"/>
      <c r="J467" s="6">
        <v>121</v>
      </c>
      <c r="K467" s="6">
        <v>18531.150000000001</v>
      </c>
      <c r="L467" s="6">
        <v>1400</v>
      </c>
      <c r="M467" s="6">
        <v>214410</v>
      </c>
      <c r="N467" s="6">
        <f t="shared" si="39"/>
        <v>1521</v>
      </c>
      <c r="O467" s="6">
        <f t="shared" si="40"/>
        <v>232941.15</v>
      </c>
      <c r="P467" s="6">
        <v>10</v>
      </c>
      <c r="Q467" s="6">
        <v>1438</v>
      </c>
      <c r="R467" s="6">
        <f t="shared" si="43"/>
        <v>98.005183863509203</v>
      </c>
      <c r="S467" s="6">
        <f t="shared" si="44"/>
        <v>15009.493908696435</v>
      </c>
    </row>
    <row r="468" spans="1:19" s="1" customFormat="1" ht="15" hidden="1" customHeight="1" outlineLevel="1" x14ac:dyDescent="0.25">
      <c r="A468" s="2" t="s">
        <v>833</v>
      </c>
      <c r="B468" s="2" t="s">
        <v>834</v>
      </c>
      <c r="C468" s="13">
        <v>24.96</v>
      </c>
      <c r="D468" s="6">
        <v>191.21</v>
      </c>
      <c r="E468" s="6">
        <v>100</v>
      </c>
      <c r="F468" s="6"/>
      <c r="G468" s="6"/>
      <c r="H468" s="6">
        <v>100</v>
      </c>
      <c r="I468" s="6">
        <v>2496</v>
      </c>
      <c r="J468" s="6">
        <v>563</v>
      </c>
      <c r="K468" s="6">
        <v>14052.48</v>
      </c>
      <c r="L468" s="6"/>
      <c r="M468" s="6"/>
      <c r="N468" s="6">
        <f t="shared" si="39"/>
        <v>663</v>
      </c>
      <c r="O468" s="6">
        <f t="shared" si="40"/>
        <v>16548.48</v>
      </c>
      <c r="P468" s="6">
        <v>22</v>
      </c>
      <c r="Q468" s="6">
        <v>603</v>
      </c>
      <c r="R468" s="6">
        <f t="shared" si="43"/>
        <v>33.006798807593768</v>
      </c>
      <c r="S468" s="6">
        <f t="shared" si="44"/>
        <v>823.84969823754045</v>
      </c>
    </row>
    <row r="469" spans="1:19" s="1" customFormat="1" ht="15" hidden="1" customHeight="1" outlineLevel="1" x14ac:dyDescent="0.25">
      <c r="A469" s="2" t="s">
        <v>827</v>
      </c>
      <c r="B469" s="2" t="s">
        <v>828</v>
      </c>
      <c r="C469" s="13">
        <v>34.119999999999997</v>
      </c>
      <c r="D469" s="6">
        <v>514.55999999999995</v>
      </c>
      <c r="E469" s="6">
        <v>100</v>
      </c>
      <c r="F469" s="6"/>
      <c r="G469" s="6"/>
      <c r="H469" s="6">
        <v>10</v>
      </c>
      <c r="I469" s="6">
        <v>341.2</v>
      </c>
      <c r="J469" s="6">
        <v>869</v>
      </c>
      <c r="K469" s="6">
        <v>29650.28</v>
      </c>
      <c r="L469" s="6"/>
      <c r="M469" s="6"/>
      <c r="N469" s="6">
        <f t="shared" si="39"/>
        <v>879</v>
      </c>
      <c r="O469" s="6">
        <f t="shared" si="40"/>
        <v>29991.48</v>
      </c>
      <c r="P469" s="6">
        <v>85</v>
      </c>
      <c r="Q469" s="6">
        <v>2975</v>
      </c>
      <c r="R469" s="6">
        <f t="shared" si="43"/>
        <v>565.01212686567158</v>
      </c>
      <c r="S469" s="6">
        <f t="shared" si="44"/>
        <v>19278.213768656711</v>
      </c>
    </row>
    <row r="470" spans="1:19" s="1" customFormat="1" ht="15" hidden="1" customHeight="1" outlineLevel="1" x14ac:dyDescent="0.25">
      <c r="A470" s="2" t="s">
        <v>1151</v>
      </c>
      <c r="B470" s="2" t="s">
        <v>1152</v>
      </c>
      <c r="C470" s="13">
        <v>705.15</v>
      </c>
      <c r="D470" s="6">
        <v>1177</v>
      </c>
      <c r="E470" s="6">
        <v>100</v>
      </c>
      <c r="F470" s="6"/>
      <c r="G470" s="6"/>
      <c r="H470" s="6"/>
      <c r="I470" s="6"/>
      <c r="J470" s="6">
        <v>56</v>
      </c>
      <c r="K470" s="6">
        <v>39488.400000000001</v>
      </c>
      <c r="L470" s="6"/>
      <c r="M470" s="6"/>
      <c r="N470" s="6">
        <f t="shared" si="39"/>
        <v>56</v>
      </c>
      <c r="O470" s="6">
        <f t="shared" si="40"/>
        <v>39488.400000000001</v>
      </c>
      <c r="P470" s="6">
        <v>2</v>
      </c>
      <c r="Q470" s="6">
        <v>1465</v>
      </c>
      <c r="R470" s="6">
        <f t="shared" si="43"/>
        <v>47.435853865760407</v>
      </c>
      <c r="S470" s="6">
        <f t="shared" si="44"/>
        <v>33449.392353440948</v>
      </c>
    </row>
    <row r="471" spans="1:19" s="1" customFormat="1" ht="15" hidden="1" customHeight="1" outlineLevel="1" x14ac:dyDescent="0.25">
      <c r="A471" s="2" t="s">
        <v>462</v>
      </c>
      <c r="B471" s="2" t="s">
        <v>463</v>
      </c>
      <c r="C471" s="13">
        <v>575.76</v>
      </c>
      <c r="D471" s="6">
        <v>421</v>
      </c>
      <c r="E471" s="6">
        <v>100</v>
      </c>
      <c r="F471" s="6"/>
      <c r="G471" s="6"/>
      <c r="H471" s="6"/>
      <c r="I471" s="6"/>
      <c r="J471" s="6">
        <v>312</v>
      </c>
      <c r="K471" s="6">
        <v>179637.12</v>
      </c>
      <c r="L471" s="6">
        <v>700</v>
      </c>
      <c r="M471" s="6">
        <v>403032</v>
      </c>
      <c r="N471" s="6">
        <f t="shared" si="39"/>
        <v>1012</v>
      </c>
      <c r="O471" s="6">
        <f t="shared" si="40"/>
        <v>582669.12</v>
      </c>
      <c r="P471" s="6">
        <v>1</v>
      </c>
      <c r="Q471" s="6">
        <v>602</v>
      </c>
      <c r="R471" s="6">
        <f t="shared" si="43"/>
        <v>178.60332541567698</v>
      </c>
      <c r="S471" s="6">
        <f t="shared" si="44"/>
        <v>102832.65064133017</v>
      </c>
    </row>
    <row r="472" spans="1:19" s="1" customFormat="1" ht="15" hidden="1" customHeight="1" outlineLevel="1" x14ac:dyDescent="0.25">
      <c r="A472" s="2" t="s">
        <v>345</v>
      </c>
      <c r="B472" s="2" t="s">
        <v>346</v>
      </c>
      <c r="C472" s="13">
        <v>295.68</v>
      </c>
      <c r="D472" s="6">
        <v>97.33</v>
      </c>
      <c r="E472" s="6">
        <v>29.03</v>
      </c>
      <c r="F472" s="6"/>
      <c r="G472" s="6"/>
      <c r="H472" s="6">
        <v>5</v>
      </c>
      <c r="I472" s="6">
        <v>1478.4</v>
      </c>
      <c r="J472" s="6">
        <v>187</v>
      </c>
      <c r="K472" s="6">
        <v>55292.160000000003</v>
      </c>
      <c r="L472" s="6"/>
      <c r="M472" s="6"/>
      <c r="N472" s="6">
        <f t="shared" si="39"/>
        <v>192</v>
      </c>
      <c r="O472" s="6">
        <f t="shared" si="40"/>
        <v>56770.559999999998</v>
      </c>
      <c r="P472" s="6">
        <v>19</v>
      </c>
      <c r="Q472" s="6">
        <v>5971</v>
      </c>
      <c r="R472" s="6"/>
      <c r="S472" s="6"/>
    </row>
    <row r="473" spans="1:19" s="1" customFormat="1" ht="15" hidden="1" customHeight="1" outlineLevel="1" x14ac:dyDescent="0.25">
      <c r="A473" s="2" t="s">
        <v>618</v>
      </c>
      <c r="B473" s="2" t="s">
        <v>619</v>
      </c>
      <c r="C473" s="13">
        <v>395.23</v>
      </c>
      <c r="D473" s="6">
        <v>843.8</v>
      </c>
      <c r="E473" s="6">
        <v>100</v>
      </c>
      <c r="F473" s="6"/>
      <c r="G473" s="6"/>
      <c r="H473" s="6"/>
      <c r="I473" s="6"/>
      <c r="J473" s="6">
        <v>86</v>
      </c>
      <c r="K473" s="6">
        <v>33989.78</v>
      </c>
      <c r="L473" s="6"/>
      <c r="M473" s="6"/>
      <c r="N473" s="6">
        <f t="shared" si="39"/>
        <v>86</v>
      </c>
      <c r="O473" s="6">
        <f t="shared" si="40"/>
        <v>33989.78</v>
      </c>
      <c r="P473" s="6">
        <v>3</v>
      </c>
      <c r="Q473" s="6">
        <v>1378</v>
      </c>
      <c r="R473" s="6">
        <f t="shared" si="43"/>
        <v>67.654420478786435</v>
      </c>
      <c r="S473" s="6">
        <f t="shared" si="44"/>
        <v>26739.056605830763</v>
      </c>
    </row>
    <row r="474" spans="1:19" s="1" customFormat="1" ht="15" hidden="1" customHeight="1" outlineLevel="1" x14ac:dyDescent="0.25">
      <c r="A474" s="2" t="s">
        <v>784</v>
      </c>
      <c r="B474" s="2" t="s">
        <v>785</v>
      </c>
      <c r="C474" s="13">
        <v>394.36</v>
      </c>
      <c r="D474" s="6">
        <v>84.61</v>
      </c>
      <c r="E474" s="6">
        <v>100</v>
      </c>
      <c r="F474" s="6"/>
      <c r="G474" s="6"/>
      <c r="H474" s="6"/>
      <c r="I474" s="6"/>
      <c r="J474" s="6">
        <v>36</v>
      </c>
      <c r="K474" s="6">
        <v>14196.96</v>
      </c>
      <c r="L474" s="6"/>
      <c r="M474" s="6"/>
      <c r="N474" s="6">
        <f t="shared" si="39"/>
        <v>36</v>
      </c>
      <c r="O474" s="6">
        <f t="shared" si="40"/>
        <v>14196.960000000001</v>
      </c>
      <c r="P474" s="6">
        <v>17</v>
      </c>
      <c r="Q474" s="6">
        <v>6911</v>
      </c>
      <c r="R474" s="6"/>
      <c r="S474" s="6"/>
    </row>
    <row r="475" spans="1:19" s="1" customFormat="1" ht="15" hidden="1" customHeight="1" outlineLevel="1" x14ac:dyDescent="0.25">
      <c r="A475" s="2" t="s">
        <v>831</v>
      </c>
      <c r="B475" s="2" t="s">
        <v>832</v>
      </c>
      <c r="C475" s="13">
        <v>34.119999999999997</v>
      </c>
      <c r="D475" s="6">
        <v>1178.05</v>
      </c>
      <c r="E475" s="6">
        <v>100</v>
      </c>
      <c r="F475" s="6"/>
      <c r="G475" s="6"/>
      <c r="H475" s="6">
        <v>10</v>
      </c>
      <c r="I475" s="6">
        <v>341.2</v>
      </c>
      <c r="J475" s="6">
        <v>2494</v>
      </c>
      <c r="K475" s="6">
        <v>85095.28</v>
      </c>
      <c r="L475" s="6"/>
      <c r="M475" s="6"/>
      <c r="N475" s="6">
        <f t="shared" si="39"/>
        <v>2504</v>
      </c>
      <c r="O475" s="6">
        <f t="shared" si="40"/>
        <v>85436.479999999996</v>
      </c>
      <c r="P475" s="6">
        <v>62</v>
      </c>
      <c r="Q475" s="6">
        <v>2205</v>
      </c>
      <c r="R475" s="6">
        <f t="shared" si="43"/>
        <v>2112.9295870294131</v>
      </c>
      <c r="S475" s="6">
        <f t="shared" si="44"/>
        <v>72093.157509443568</v>
      </c>
    </row>
    <row r="476" spans="1:19" s="1" customFormat="1" ht="15" hidden="1" customHeight="1" outlineLevel="1" x14ac:dyDescent="0.25">
      <c r="A476" s="2" t="s">
        <v>1071</v>
      </c>
      <c r="B476" s="2" t="s">
        <v>1072</v>
      </c>
      <c r="C476" s="13">
        <v>139.02000000000001</v>
      </c>
      <c r="D476" s="6">
        <v>3855.55</v>
      </c>
      <c r="E476" s="6">
        <v>100</v>
      </c>
      <c r="F476" s="6"/>
      <c r="G476" s="6"/>
      <c r="H476" s="6"/>
      <c r="I476" s="6"/>
      <c r="J476" s="6">
        <v>450</v>
      </c>
      <c r="K476" s="6">
        <v>62559</v>
      </c>
      <c r="L476" s="6"/>
      <c r="M476" s="6"/>
      <c r="N476" s="6">
        <f t="shared" si="39"/>
        <v>450</v>
      </c>
      <c r="O476" s="6">
        <f t="shared" si="40"/>
        <v>62559.000000000007</v>
      </c>
      <c r="P476" s="6">
        <v>3</v>
      </c>
      <c r="Q476" s="6">
        <v>425</v>
      </c>
      <c r="R476" s="6">
        <f t="shared" si="43"/>
        <v>428.99132419499165</v>
      </c>
      <c r="S476" s="6">
        <f t="shared" si="44"/>
        <v>59638.373889587747</v>
      </c>
    </row>
    <row r="477" spans="1:19" s="1" customFormat="1" ht="15" hidden="1" customHeight="1" outlineLevel="1" x14ac:dyDescent="0.25">
      <c r="A477" s="2" t="s">
        <v>825</v>
      </c>
      <c r="B477" s="2" t="s">
        <v>826</v>
      </c>
      <c r="C477" s="13">
        <v>34.119999999999997</v>
      </c>
      <c r="D477" s="6">
        <v>617.97</v>
      </c>
      <c r="E477" s="6">
        <v>100</v>
      </c>
      <c r="F477" s="6">
        <v>10</v>
      </c>
      <c r="G477" s="6">
        <v>341.2</v>
      </c>
      <c r="H477" s="6">
        <v>10</v>
      </c>
      <c r="I477" s="6">
        <v>341.2</v>
      </c>
      <c r="J477" s="6">
        <v>1484</v>
      </c>
      <c r="K477" s="6">
        <v>50634.080000000002</v>
      </c>
      <c r="L477" s="6"/>
      <c r="M477" s="6"/>
      <c r="N477" s="6">
        <f t="shared" si="39"/>
        <v>1504</v>
      </c>
      <c r="O477" s="6">
        <f t="shared" si="40"/>
        <v>51316.479999999996</v>
      </c>
      <c r="P477" s="6">
        <v>62</v>
      </c>
      <c r="Q477" s="6">
        <v>2185</v>
      </c>
      <c r="R477" s="6">
        <f t="shared" si="43"/>
        <v>1051.7460070877225</v>
      </c>
      <c r="S477" s="6">
        <f t="shared" si="44"/>
        <v>35885.57376183309</v>
      </c>
    </row>
    <row r="478" spans="1:19" s="1" customFormat="1" ht="15" hidden="1" customHeight="1" outlineLevel="1" x14ac:dyDescent="0.25">
      <c r="A478" s="2" t="s">
        <v>512</v>
      </c>
      <c r="B478" s="2" t="s">
        <v>513</v>
      </c>
      <c r="C478" s="13">
        <v>270</v>
      </c>
      <c r="D478" s="6">
        <v>3101.46</v>
      </c>
      <c r="E478" s="6">
        <v>100</v>
      </c>
      <c r="F478" s="6"/>
      <c r="G478" s="6"/>
      <c r="H478" s="6">
        <v>10</v>
      </c>
      <c r="I478" s="6">
        <v>2700</v>
      </c>
      <c r="J478" s="6">
        <v>1272</v>
      </c>
      <c r="K478" s="6">
        <v>343440</v>
      </c>
      <c r="L478" s="6"/>
      <c r="M478" s="6"/>
      <c r="N478" s="6">
        <f t="shared" si="39"/>
        <v>1282</v>
      </c>
      <c r="O478" s="6">
        <f t="shared" si="40"/>
        <v>346140</v>
      </c>
      <c r="P478" s="6">
        <v>13</v>
      </c>
      <c r="Q478" s="6">
        <v>3425</v>
      </c>
      <c r="R478" s="6">
        <f t="shared" si="43"/>
        <v>1198.1767038749492</v>
      </c>
      <c r="S478" s="6">
        <f t="shared" si="44"/>
        <v>323507.71004623629</v>
      </c>
    </row>
    <row r="479" spans="1:19" s="1" customFormat="1" ht="15" hidden="1" customHeight="1" outlineLevel="1" x14ac:dyDescent="0.25">
      <c r="A479" s="2" t="s">
        <v>895</v>
      </c>
      <c r="B479" s="2" t="s">
        <v>896</v>
      </c>
      <c r="C479" s="13">
        <v>115</v>
      </c>
      <c r="D479" s="6">
        <v>481.08</v>
      </c>
      <c r="E479" s="6">
        <v>100</v>
      </c>
      <c r="F479" s="6"/>
      <c r="G479" s="6"/>
      <c r="H479" s="6">
        <v>20</v>
      </c>
      <c r="I479" s="6">
        <v>2300</v>
      </c>
      <c r="J479" s="6">
        <v>97</v>
      </c>
      <c r="K479" s="6">
        <v>11155</v>
      </c>
      <c r="L479" s="6"/>
      <c r="M479" s="6"/>
      <c r="N479" s="6">
        <f t="shared" si="39"/>
        <v>117</v>
      </c>
      <c r="O479" s="6">
        <f t="shared" si="40"/>
        <v>13455</v>
      </c>
      <c r="P479" s="6">
        <v>5</v>
      </c>
      <c r="Q479" s="6">
        <v>602</v>
      </c>
      <c r="R479" s="6">
        <f t="shared" si="43"/>
        <v>60.706660014966324</v>
      </c>
      <c r="S479" s="6">
        <f t="shared" si="44"/>
        <v>6981.2659017211272</v>
      </c>
    </row>
    <row r="480" spans="1:19" s="1" customFormat="1" ht="15" hidden="1" customHeight="1" outlineLevel="1" x14ac:dyDescent="0.25">
      <c r="A480" s="2" t="s">
        <v>943</v>
      </c>
      <c r="B480" s="2" t="s">
        <v>944</v>
      </c>
      <c r="C480" s="13">
        <v>227</v>
      </c>
      <c r="D480" s="6">
        <v>8499.65</v>
      </c>
      <c r="E480" s="6">
        <v>100</v>
      </c>
      <c r="F480" s="6"/>
      <c r="G480" s="6"/>
      <c r="H480" s="6"/>
      <c r="I480" s="6"/>
      <c r="J480" s="6">
        <v>1547</v>
      </c>
      <c r="K480" s="6">
        <v>351169</v>
      </c>
      <c r="L480" s="6"/>
      <c r="M480" s="6"/>
      <c r="N480" s="6">
        <f t="shared" si="39"/>
        <v>1547</v>
      </c>
      <c r="O480" s="6">
        <f t="shared" si="40"/>
        <v>351169</v>
      </c>
      <c r="P480" s="6">
        <v>4</v>
      </c>
      <c r="Q480" s="6">
        <v>733</v>
      </c>
      <c r="R480" s="6">
        <f t="shared" si="43"/>
        <v>1514.2386510032766</v>
      </c>
      <c r="S480" s="6">
        <f t="shared" si="44"/>
        <v>343732.17377774377</v>
      </c>
    </row>
    <row r="481" spans="1:19" s="1" customFormat="1" ht="15" hidden="1" customHeight="1" outlineLevel="1" x14ac:dyDescent="0.25">
      <c r="A481" s="2" t="s">
        <v>1297</v>
      </c>
      <c r="B481" s="2" t="s">
        <v>1298</v>
      </c>
      <c r="C481" s="13">
        <v>92.25</v>
      </c>
      <c r="D481" s="6">
        <v>956.9</v>
      </c>
      <c r="E481" s="6">
        <v>100</v>
      </c>
      <c r="F481" s="6"/>
      <c r="G481" s="6"/>
      <c r="H481" s="6">
        <v>10</v>
      </c>
      <c r="I481" s="6">
        <v>922.5</v>
      </c>
      <c r="J481" s="6">
        <v>810</v>
      </c>
      <c r="K481" s="6">
        <v>74722.5</v>
      </c>
      <c r="L481" s="6"/>
      <c r="M481" s="6"/>
      <c r="N481" s="6">
        <f t="shared" si="39"/>
        <v>820</v>
      </c>
      <c r="O481" s="6">
        <f t="shared" si="40"/>
        <v>75645</v>
      </c>
      <c r="P481" s="6">
        <v>24</v>
      </c>
      <c r="Q481" s="6">
        <v>2321</v>
      </c>
      <c r="R481" s="6">
        <f t="shared" si="43"/>
        <v>657.63298150276944</v>
      </c>
      <c r="S481" s="6">
        <f t="shared" si="44"/>
        <v>60666.642543630478</v>
      </c>
    </row>
    <row r="482" spans="1:19" s="1" customFormat="1" ht="15" hidden="1" customHeight="1" outlineLevel="1" x14ac:dyDescent="0.25">
      <c r="A482" s="2" t="s">
        <v>923</v>
      </c>
      <c r="B482" s="2" t="s">
        <v>924</v>
      </c>
      <c r="C482" s="13">
        <v>224.98</v>
      </c>
      <c r="D482" s="6">
        <v>4113.33</v>
      </c>
      <c r="E482" s="6">
        <v>100</v>
      </c>
      <c r="F482" s="6"/>
      <c r="G482" s="6"/>
      <c r="H482" s="6"/>
      <c r="I482" s="6"/>
      <c r="J482" s="6">
        <v>99</v>
      </c>
      <c r="K482" s="6">
        <v>22273.02</v>
      </c>
      <c r="L482" s="6"/>
      <c r="M482" s="6"/>
      <c r="N482" s="6">
        <f t="shared" si="39"/>
        <v>99</v>
      </c>
      <c r="O482" s="6">
        <f t="shared" si="40"/>
        <v>22273.02</v>
      </c>
      <c r="P482" s="6">
        <v>1</v>
      </c>
      <c r="Q482" s="6">
        <v>232</v>
      </c>
      <c r="R482" s="6">
        <f t="shared" si="43"/>
        <v>94.667743652952723</v>
      </c>
      <c r="S482" s="6">
        <f t="shared" si="44"/>
        <v>21298.348967041304</v>
      </c>
    </row>
    <row r="483" spans="1:19" s="1" customFormat="1" ht="15" hidden="1" customHeight="1" outlineLevel="1" x14ac:dyDescent="0.25">
      <c r="A483" s="2" t="s">
        <v>821</v>
      </c>
      <c r="B483" s="2" t="s">
        <v>822</v>
      </c>
      <c r="C483" s="13">
        <v>34.119999999999997</v>
      </c>
      <c r="D483" s="6">
        <v>1134.54</v>
      </c>
      <c r="E483" s="6">
        <v>100</v>
      </c>
      <c r="F483" s="6">
        <v>5</v>
      </c>
      <c r="G483" s="6">
        <v>170.6</v>
      </c>
      <c r="H483" s="6">
        <v>15</v>
      </c>
      <c r="I483" s="6">
        <v>511.8</v>
      </c>
      <c r="J483" s="6">
        <v>2607</v>
      </c>
      <c r="K483" s="6">
        <v>88950.84</v>
      </c>
      <c r="L483" s="6"/>
      <c r="M483" s="6"/>
      <c r="N483" s="6">
        <f t="shared" si="39"/>
        <v>2627</v>
      </c>
      <c r="O483" s="6">
        <f t="shared" si="40"/>
        <v>89633.239999999991</v>
      </c>
      <c r="P483" s="6">
        <v>56</v>
      </c>
      <c r="Q483" s="6">
        <v>1954</v>
      </c>
      <c r="R483" s="6">
        <f t="shared" si="43"/>
        <v>2193.3874345549739</v>
      </c>
      <c r="S483" s="6">
        <f t="shared" si="44"/>
        <v>74838.379267015698</v>
      </c>
    </row>
    <row r="484" spans="1:19" s="1" customFormat="1" ht="15" hidden="1" customHeight="1" outlineLevel="1" x14ac:dyDescent="0.25">
      <c r="A484" s="2" t="s">
        <v>562</v>
      </c>
      <c r="B484" s="2" t="s">
        <v>563</v>
      </c>
      <c r="C484" s="13">
        <v>47.04</v>
      </c>
      <c r="D484" s="6">
        <v>150.77000000000001</v>
      </c>
      <c r="E484" s="6">
        <v>100</v>
      </c>
      <c r="F484" s="6"/>
      <c r="G484" s="6"/>
      <c r="H484" s="6"/>
      <c r="I484" s="6"/>
      <c r="J484" s="6">
        <v>62</v>
      </c>
      <c r="K484" s="6">
        <v>2916.48</v>
      </c>
      <c r="L484" s="6"/>
      <c r="M484" s="6"/>
      <c r="N484" s="6">
        <f t="shared" si="39"/>
        <v>62</v>
      </c>
      <c r="O484" s="6">
        <f t="shared" si="40"/>
        <v>2916.48</v>
      </c>
      <c r="P484" s="6">
        <v>14</v>
      </c>
      <c r="Q484" s="6">
        <v>613</v>
      </c>
      <c r="R484" s="6"/>
      <c r="S484" s="6"/>
    </row>
    <row r="485" spans="1:19" s="1" customFormat="1" ht="15" hidden="1" customHeight="1" outlineLevel="1" x14ac:dyDescent="0.25">
      <c r="A485" s="2" t="s">
        <v>1089</v>
      </c>
      <c r="B485" s="2" t="s">
        <v>1090</v>
      </c>
      <c r="C485" s="13">
        <v>138.76</v>
      </c>
      <c r="D485" s="6">
        <v>952.85</v>
      </c>
      <c r="E485" s="6">
        <v>100</v>
      </c>
      <c r="F485" s="6"/>
      <c r="G485" s="6"/>
      <c r="H485" s="6">
        <v>20</v>
      </c>
      <c r="I485" s="6">
        <v>2775.2</v>
      </c>
      <c r="J485" s="6">
        <v>199</v>
      </c>
      <c r="K485" s="6">
        <v>27613.24</v>
      </c>
      <c r="L485" s="6"/>
      <c r="M485" s="6"/>
      <c r="N485" s="6">
        <f t="shared" si="39"/>
        <v>219</v>
      </c>
      <c r="O485" s="6">
        <f t="shared" si="40"/>
        <v>30388.44</v>
      </c>
      <c r="P485" s="6">
        <v>9</v>
      </c>
      <c r="Q485" s="6">
        <v>1302</v>
      </c>
      <c r="R485" s="6">
        <f t="shared" si="43"/>
        <v>161.40751429920763</v>
      </c>
      <c r="S485" s="6">
        <f t="shared" si="44"/>
        <v>22396.90668415805</v>
      </c>
    </row>
    <row r="486" spans="1:19" s="1" customFormat="1" ht="15" hidden="1" customHeight="1" outlineLevel="1" x14ac:dyDescent="0.25">
      <c r="A486" s="2" t="s">
        <v>1091</v>
      </c>
      <c r="B486" s="2" t="s">
        <v>1092</v>
      </c>
      <c r="C486" s="13">
        <v>134.33000000000001</v>
      </c>
      <c r="D486" s="6">
        <v>415.27</v>
      </c>
      <c r="E486" s="6">
        <v>100</v>
      </c>
      <c r="F486" s="6"/>
      <c r="G486" s="6"/>
      <c r="H486" s="6">
        <v>4</v>
      </c>
      <c r="I486" s="6">
        <v>537.32000000000005</v>
      </c>
      <c r="J486" s="6">
        <v>317</v>
      </c>
      <c r="K486" s="6">
        <v>42582.61</v>
      </c>
      <c r="L486" s="6"/>
      <c r="M486" s="6"/>
      <c r="N486" s="6">
        <f t="shared" si="39"/>
        <v>321</v>
      </c>
      <c r="O486" s="6">
        <f t="shared" si="40"/>
        <v>43119.930000000008</v>
      </c>
      <c r="P486" s="6">
        <v>25</v>
      </c>
      <c r="Q486" s="6">
        <v>3400</v>
      </c>
      <c r="R486" s="6">
        <f t="shared" si="43"/>
        <v>179.59541984732823</v>
      </c>
      <c r="S486" s="6">
        <f t="shared" si="44"/>
        <v>24125.052748091603</v>
      </c>
    </row>
    <row r="487" spans="1:19" s="1" customFormat="1" ht="15" hidden="1" customHeight="1" outlineLevel="1" x14ac:dyDescent="0.25">
      <c r="A487" s="2" t="s">
        <v>1113</v>
      </c>
      <c r="B487" s="2" t="s">
        <v>1114</v>
      </c>
      <c r="C487" s="13">
        <v>211.64</v>
      </c>
      <c r="D487" s="6">
        <v>429.07</v>
      </c>
      <c r="E487" s="6">
        <v>100</v>
      </c>
      <c r="F487" s="6"/>
      <c r="G487" s="6"/>
      <c r="H487" s="6"/>
      <c r="I487" s="6"/>
      <c r="J487" s="6">
        <v>51</v>
      </c>
      <c r="K487" s="6">
        <v>10793.64</v>
      </c>
      <c r="L487" s="6"/>
      <c r="M487" s="6"/>
      <c r="N487" s="6">
        <f t="shared" si="39"/>
        <v>51</v>
      </c>
      <c r="O487" s="6">
        <f t="shared" si="40"/>
        <v>10793.64</v>
      </c>
      <c r="P487" s="6">
        <v>8</v>
      </c>
      <c r="Q487" s="6">
        <v>1413</v>
      </c>
      <c r="R487" s="6">
        <f t="shared" si="43"/>
        <v>29.604889645046264</v>
      </c>
      <c r="S487" s="6">
        <f t="shared" si="44"/>
        <v>6265.5788444775908</v>
      </c>
    </row>
    <row r="488" spans="1:19" s="1" customFormat="1" ht="15" hidden="1" customHeight="1" outlineLevel="1" x14ac:dyDescent="0.25">
      <c r="A488" s="2" t="s">
        <v>464</v>
      </c>
      <c r="B488" s="2" t="s">
        <v>465</v>
      </c>
      <c r="C488" s="13">
        <v>599.24</v>
      </c>
      <c r="D488" s="6"/>
      <c r="E488" s="6">
        <v>100</v>
      </c>
      <c r="F488" s="6"/>
      <c r="G488" s="6"/>
      <c r="H488" s="6"/>
      <c r="I488" s="6"/>
      <c r="J488" s="6">
        <v>179</v>
      </c>
      <c r="K488" s="6">
        <v>107263.96</v>
      </c>
      <c r="L488" s="6"/>
      <c r="M488" s="6"/>
      <c r="N488" s="6">
        <f t="shared" si="39"/>
        <v>179</v>
      </c>
      <c r="O488" s="6">
        <f t="shared" si="40"/>
        <v>107263.96</v>
      </c>
      <c r="P488" s="6"/>
      <c r="Q488" s="6"/>
      <c r="R488" s="6"/>
      <c r="S488" s="6"/>
    </row>
    <row r="489" spans="1:19" s="1" customFormat="1" ht="15" hidden="1" customHeight="1" outlineLevel="1" x14ac:dyDescent="0.25">
      <c r="A489" s="2" t="s">
        <v>746</v>
      </c>
      <c r="B489" s="2" t="s">
        <v>747</v>
      </c>
      <c r="C489" s="13">
        <v>347.88</v>
      </c>
      <c r="D489" s="6">
        <v>75.959999999999994</v>
      </c>
      <c r="E489" s="6">
        <v>100</v>
      </c>
      <c r="F489" s="6"/>
      <c r="G489" s="6"/>
      <c r="H489" s="6">
        <v>7</v>
      </c>
      <c r="I489" s="6">
        <v>2435.16</v>
      </c>
      <c r="J489" s="6">
        <v>500</v>
      </c>
      <c r="K489" s="6">
        <v>173940</v>
      </c>
      <c r="L489" s="6"/>
      <c r="M489" s="6"/>
      <c r="N489" s="6">
        <f t="shared" ref="N489:N552" si="45">IF(J489+L489+H489+F489&lt;=0,"",J489+L489+H489+F489)</f>
        <v>507</v>
      </c>
      <c r="O489" s="6">
        <f t="shared" ref="O489:O552" si="46">IFERROR(C489*N489,"")</f>
        <v>176375.16</v>
      </c>
      <c r="P489" s="6">
        <v>9</v>
      </c>
      <c r="Q489" s="6">
        <v>3201</v>
      </c>
      <c r="R489" s="6"/>
      <c r="S489" s="6"/>
    </row>
    <row r="490" spans="1:19" s="1" customFormat="1" ht="15" hidden="1" customHeight="1" outlineLevel="1" x14ac:dyDescent="0.25">
      <c r="A490" s="2" t="s">
        <v>875</v>
      </c>
      <c r="B490" s="2" t="s">
        <v>876</v>
      </c>
      <c r="C490" s="13">
        <v>301.31</v>
      </c>
      <c r="D490" s="6">
        <v>883.55</v>
      </c>
      <c r="E490" s="6">
        <v>100</v>
      </c>
      <c r="F490" s="6"/>
      <c r="G490" s="6"/>
      <c r="H490" s="6"/>
      <c r="I490" s="6"/>
      <c r="J490" s="6">
        <v>64</v>
      </c>
      <c r="K490" s="6">
        <v>19283.84</v>
      </c>
      <c r="L490" s="6"/>
      <c r="M490" s="6"/>
      <c r="N490" s="6">
        <f t="shared" si="45"/>
        <v>64</v>
      </c>
      <c r="O490" s="6">
        <f t="shared" si="46"/>
        <v>19283.84</v>
      </c>
      <c r="P490" s="6">
        <v>4</v>
      </c>
      <c r="Q490" s="6">
        <v>1154</v>
      </c>
      <c r="R490" s="6">
        <f t="shared" ref="R490:R553" si="47">J490/D490*(D490-180)</f>
        <v>50.961688642408461</v>
      </c>
      <c r="S490" s="6">
        <f t="shared" ref="S490:S553" si="48">R490*C490</f>
        <v>15355.266404844093</v>
      </c>
    </row>
    <row r="491" spans="1:19" s="1" customFormat="1" ht="15" hidden="1" customHeight="1" outlineLevel="1" x14ac:dyDescent="0.25">
      <c r="A491" s="2" t="s">
        <v>97</v>
      </c>
      <c r="B491" s="2" t="s">
        <v>98</v>
      </c>
      <c r="C491" s="13">
        <v>654.1</v>
      </c>
      <c r="D491" s="6">
        <v>398.18</v>
      </c>
      <c r="E491" s="6">
        <v>100</v>
      </c>
      <c r="F491" s="6"/>
      <c r="G491" s="6"/>
      <c r="H491" s="6"/>
      <c r="I491" s="6"/>
      <c r="J491" s="6">
        <v>66</v>
      </c>
      <c r="K491" s="6">
        <v>43170.6</v>
      </c>
      <c r="L491" s="6"/>
      <c r="M491" s="6"/>
      <c r="N491" s="6">
        <f t="shared" si="45"/>
        <v>66</v>
      </c>
      <c r="O491" s="6">
        <f t="shared" si="46"/>
        <v>43170.6</v>
      </c>
      <c r="P491" s="6">
        <v>5</v>
      </c>
      <c r="Q491" s="6">
        <v>3234</v>
      </c>
      <c r="R491" s="6">
        <f t="shared" si="47"/>
        <v>36.164247325330251</v>
      </c>
      <c r="S491" s="6">
        <f t="shared" si="48"/>
        <v>23655.034175498517</v>
      </c>
    </row>
    <row r="492" spans="1:19" s="1" customFormat="1" ht="15" hidden="1" customHeight="1" outlineLevel="1" x14ac:dyDescent="0.25">
      <c r="A492" s="2" t="s">
        <v>899</v>
      </c>
      <c r="B492" s="2" t="s">
        <v>900</v>
      </c>
      <c r="C492" s="13">
        <v>145</v>
      </c>
      <c r="D492" s="6">
        <v>81.430000000000007</v>
      </c>
      <c r="E492" s="6">
        <v>100</v>
      </c>
      <c r="F492" s="6"/>
      <c r="G492" s="6"/>
      <c r="H492" s="6"/>
      <c r="I492" s="6"/>
      <c r="J492" s="6">
        <v>1</v>
      </c>
      <c r="K492" s="6">
        <v>145</v>
      </c>
      <c r="L492" s="6">
        <v>200</v>
      </c>
      <c r="M492" s="6">
        <v>29000</v>
      </c>
      <c r="N492" s="6">
        <f t="shared" si="45"/>
        <v>201</v>
      </c>
      <c r="O492" s="6">
        <f t="shared" si="46"/>
        <v>29145</v>
      </c>
      <c r="P492" s="6">
        <v>7</v>
      </c>
      <c r="Q492" s="6">
        <v>725</v>
      </c>
      <c r="R492" s="6"/>
      <c r="S492" s="6"/>
    </row>
    <row r="493" spans="1:19" s="1" customFormat="1" ht="15" hidden="1" customHeight="1" outlineLevel="1" x14ac:dyDescent="0.25">
      <c r="A493" s="2" t="s">
        <v>819</v>
      </c>
      <c r="B493" s="2" t="s">
        <v>820</v>
      </c>
      <c r="C493" s="13">
        <v>34.119999999999997</v>
      </c>
      <c r="D493" s="6">
        <v>1161.47</v>
      </c>
      <c r="E493" s="6">
        <v>100</v>
      </c>
      <c r="F493" s="6"/>
      <c r="G493" s="6"/>
      <c r="H493" s="6">
        <v>10</v>
      </c>
      <c r="I493" s="6">
        <v>341.2</v>
      </c>
      <c r="J493" s="6">
        <v>1758</v>
      </c>
      <c r="K493" s="6">
        <v>59982.96</v>
      </c>
      <c r="L493" s="6"/>
      <c r="M493" s="6"/>
      <c r="N493" s="6">
        <f t="shared" si="45"/>
        <v>1768</v>
      </c>
      <c r="O493" s="6">
        <f t="shared" si="46"/>
        <v>60324.159999999996</v>
      </c>
      <c r="P493" s="6">
        <v>37</v>
      </c>
      <c r="Q493" s="6">
        <v>1311</v>
      </c>
      <c r="R493" s="6">
        <f t="shared" si="47"/>
        <v>1485.5521537362135</v>
      </c>
      <c r="S493" s="6">
        <f t="shared" si="48"/>
        <v>50687.039485479603</v>
      </c>
    </row>
    <row r="494" spans="1:19" s="1" customFormat="1" ht="15" hidden="1" customHeight="1" outlineLevel="1" x14ac:dyDescent="0.25">
      <c r="A494" s="2" t="s">
        <v>1099</v>
      </c>
      <c r="B494" s="2" t="s">
        <v>1100</v>
      </c>
      <c r="C494" s="13">
        <v>184.03</v>
      </c>
      <c r="D494" s="6">
        <v>108.5</v>
      </c>
      <c r="E494" s="6">
        <v>100</v>
      </c>
      <c r="F494" s="6"/>
      <c r="G494" s="6"/>
      <c r="H494" s="6"/>
      <c r="I494" s="6"/>
      <c r="J494" s="6">
        <v>17</v>
      </c>
      <c r="K494" s="6">
        <v>3128.51</v>
      </c>
      <c r="L494" s="6"/>
      <c r="M494" s="6"/>
      <c r="N494" s="6">
        <f t="shared" si="45"/>
        <v>17</v>
      </c>
      <c r="O494" s="6">
        <f t="shared" si="46"/>
        <v>3128.51</v>
      </c>
      <c r="P494" s="6">
        <v>18</v>
      </c>
      <c r="Q494" s="6">
        <v>3453</v>
      </c>
      <c r="R494" s="6"/>
      <c r="S494" s="6"/>
    </row>
    <row r="495" spans="1:19" s="1" customFormat="1" ht="15" hidden="1" customHeight="1" outlineLevel="1" x14ac:dyDescent="0.25">
      <c r="A495" s="2" t="s">
        <v>1073</v>
      </c>
      <c r="B495" s="2" t="s">
        <v>1074</v>
      </c>
      <c r="C495" s="13">
        <v>134.22</v>
      </c>
      <c r="D495" s="6">
        <v>618.67999999999995</v>
      </c>
      <c r="E495" s="6">
        <v>100</v>
      </c>
      <c r="F495" s="6"/>
      <c r="G495" s="6"/>
      <c r="H495" s="6"/>
      <c r="I495" s="6"/>
      <c r="J495" s="6">
        <v>362</v>
      </c>
      <c r="K495" s="6">
        <v>48587.64</v>
      </c>
      <c r="L495" s="6"/>
      <c r="M495" s="6"/>
      <c r="N495" s="6">
        <f t="shared" si="45"/>
        <v>362</v>
      </c>
      <c r="O495" s="6">
        <f t="shared" si="46"/>
        <v>48587.64</v>
      </c>
      <c r="P495" s="6">
        <v>20</v>
      </c>
      <c r="Q495" s="6">
        <v>2840</v>
      </c>
      <c r="R495" s="6">
        <f t="shared" si="47"/>
        <v>256.67899398719851</v>
      </c>
      <c r="S495" s="6">
        <f t="shared" si="48"/>
        <v>34451.454572961782</v>
      </c>
    </row>
    <row r="496" spans="1:19" s="1" customFormat="1" ht="15" hidden="1" customHeight="1" outlineLevel="1" x14ac:dyDescent="0.25">
      <c r="A496" s="2" t="s">
        <v>532</v>
      </c>
      <c r="B496" s="2" t="s">
        <v>533</v>
      </c>
      <c r="C496" s="13">
        <v>69</v>
      </c>
      <c r="D496" s="6">
        <v>6609</v>
      </c>
      <c r="E496" s="6">
        <v>61.29</v>
      </c>
      <c r="F496" s="6"/>
      <c r="G496" s="6"/>
      <c r="H496" s="6"/>
      <c r="I496" s="6"/>
      <c r="J496" s="6">
        <v>1190</v>
      </c>
      <c r="K496" s="6">
        <v>82110</v>
      </c>
      <c r="L496" s="6"/>
      <c r="M496" s="6"/>
      <c r="N496" s="6">
        <f t="shared" si="45"/>
        <v>1190</v>
      </c>
      <c r="O496" s="6">
        <f t="shared" si="46"/>
        <v>82110</v>
      </c>
      <c r="P496" s="6">
        <v>3</v>
      </c>
      <c r="Q496" s="6">
        <v>241</v>
      </c>
      <c r="R496" s="6">
        <f t="shared" si="47"/>
        <v>1157.5896504766226</v>
      </c>
      <c r="S496" s="6">
        <f t="shared" si="48"/>
        <v>79873.685882886959</v>
      </c>
    </row>
    <row r="497" spans="1:19" s="1" customFormat="1" ht="15" hidden="1" customHeight="1" outlineLevel="1" x14ac:dyDescent="0.25">
      <c r="A497" s="2" t="s">
        <v>861</v>
      </c>
      <c r="B497" s="2" t="s">
        <v>862</v>
      </c>
      <c r="C497" s="13">
        <v>145</v>
      </c>
      <c r="D497" s="6">
        <v>652.59</v>
      </c>
      <c r="E497" s="6">
        <v>100</v>
      </c>
      <c r="F497" s="6"/>
      <c r="G497" s="6"/>
      <c r="H497" s="6">
        <v>15</v>
      </c>
      <c r="I497" s="6">
        <v>2175</v>
      </c>
      <c r="J497" s="6">
        <v>133</v>
      </c>
      <c r="K497" s="6">
        <v>19285</v>
      </c>
      <c r="L497" s="6"/>
      <c r="M497" s="6"/>
      <c r="N497" s="6">
        <f t="shared" si="45"/>
        <v>148</v>
      </c>
      <c r="O497" s="6">
        <f t="shared" si="46"/>
        <v>21460</v>
      </c>
      <c r="P497" s="6">
        <v>4</v>
      </c>
      <c r="Q497" s="6">
        <v>603</v>
      </c>
      <c r="R497" s="6">
        <f t="shared" si="47"/>
        <v>96.315404771755624</v>
      </c>
      <c r="S497" s="6">
        <f t="shared" si="48"/>
        <v>13965.733691904565</v>
      </c>
    </row>
    <row r="498" spans="1:19" s="1" customFormat="1" ht="15" hidden="1" customHeight="1" outlineLevel="1" x14ac:dyDescent="0.25">
      <c r="A498" s="2" t="s">
        <v>542</v>
      </c>
      <c r="B498" s="2" t="s">
        <v>543</v>
      </c>
      <c r="C498" s="13">
        <v>1142.96</v>
      </c>
      <c r="D498" s="6">
        <v>3503.67</v>
      </c>
      <c r="E498" s="6">
        <v>100</v>
      </c>
      <c r="F498" s="6"/>
      <c r="G498" s="6"/>
      <c r="H498" s="6"/>
      <c r="I498" s="6"/>
      <c r="J498" s="6">
        <v>94</v>
      </c>
      <c r="K498" s="6">
        <v>107438.24</v>
      </c>
      <c r="L498" s="6"/>
      <c r="M498" s="6"/>
      <c r="N498" s="6">
        <f t="shared" si="45"/>
        <v>94</v>
      </c>
      <c r="O498" s="6">
        <f t="shared" si="46"/>
        <v>107438.24</v>
      </c>
      <c r="P498" s="6">
        <v>1</v>
      </c>
      <c r="Q498" s="6">
        <v>797</v>
      </c>
      <c r="R498" s="6">
        <f t="shared" si="47"/>
        <v>89.170778069852474</v>
      </c>
      <c r="S498" s="6">
        <f t="shared" si="48"/>
        <v>101918.63250271858</v>
      </c>
    </row>
    <row r="499" spans="1:19" s="1" customFormat="1" ht="15" hidden="1" customHeight="1" outlineLevel="1" x14ac:dyDescent="0.25">
      <c r="A499" s="2" t="s">
        <v>885</v>
      </c>
      <c r="B499" s="2" t="s">
        <v>886</v>
      </c>
      <c r="C499" s="13">
        <v>148.5</v>
      </c>
      <c r="D499" s="6">
        <v>82.08</v>
      </c>
      <c r="E499" s="6">
        <v>80.650000000000006</v>
      </c>
      <c r="F499" s="6"/>
      <c r="G499" s="6"/>
      <c r="H499" s="6">
        <v>20</v>
      </c>
      <c r="I499" s="6">
        <v>2970</v>
      </c>
      <c r="J499" s="6">
        <v>15</v>
      </c>
      <c r="K499" s="6">
        <v>2227.5</v>
      </c>
      <c r="L499" s="6"/>
      <c r="M499" s="6"/>
      <c r="N499" s="6">
        <f t="shared" si="45"/>
        <v>35</v>
      </c>
      <c r="O499" s="6">
        <f t="shared" si="46"/>
        <v>5197.5</v>
      </c>
      <c r="P499" s="6">
        <v>42</v>
      </c>
      <c r="Q499" s="6">
        <v>5979</v>
      </c>
      <c r="R499" s="6"/>
      <c r="S499" s="6"/>
    </row>
    <row r="500" spans="1:19" s="1" customFormat="1" ht="15" hidden="1" customHeight="1" outlineLevel="1" x14ac:dyDescent="0.25">
      <c r="A500" s="2" t="s">
        <v>1339</v>
      </c>
      <c r="B500" s="2" t="s">
        <v>1340</v>
      </c>
      <c r="C500" s="13">
        <v>417.67</v>
      </c>
      <c r="D500" s="6">
        <v>1237.17</v>
      </c>
      <c r="E500" s="6">
        <v>100</v>
      </c>
      <c r="F500" s="6"/>
      <c r="G500" s="6"/>
      <c r="H500" s="6"/>
      <c r="I500" s="6"/>
      <c r="J500" s="6">
        <v>491</v>
      </c>
      <c r="K500" s="6">
        <v>205075.97</v>
      </c>
      <c r="L500" s="6"/>
      <c r="M500" s="6"/>
      <c r="N500" s="6">
        <f t="shared" si="45"/>
        <v>491</v>
      </c>
      <c r="O500" s="6">
        <f t="shared" si="46"/>
        <v>205075.97</v>
      </c>
      <c r="P500" s="6">
        <v>8</v>
      </c>
      <c r="Q500" s="6">
        <v>3350</v>
      </c>
      <c r="R500" s="6">
        <f t="shared" si="47"/>
        <v>419.56276825335237</v>
      </c>
      <c r="S500" s="6">
        <f t="shared" si="48"/>
        <v>175238.78141637769</v>
      </c>
    </row>
    <row r="501" spans="1:19" s="1" customFormat="1" ht="15" hidden="1" customHeight="1" outlineLevel="1" x14ac:dyDescent="0.25">
      <c r="A501" s="2" t="s">
        <v>1227</v>
      </c>
      <c r="B501" s="2" t="s">
        <v>1228</v>
      </c>
      <c r="C501" s="13">
        <v>195.3</v>
      </c>
      <c r="D501" s="6">
        <v>734.46</v>
      </c>
      <c r="E501" s="6">
        <v>100</v>
      </c>
      <c r="F501" s="6"/>
      <c r="G501" s="6"/>
      <c r="H501" s="6"/>
      <c r="I501" s="6"/>
      <c r="J501" s="6">
        <v>179</v>
      </c>
      <c r="K501" s="6">
        <v>34958.699999999997</v>
      </c>
      <c r="L501" s="6"/>
      <c r="M501" s="6"/>
      <c r="N501" s="6">
        <f t="shared" si="45"/>
        <v>179</v>
      </c>
      <c r="O501" s="6">
        <f t="shared" si="46"/>
        <v>34958.700000000004</v>
      </c>
      <c r="P501" s="6">
        <v>8</v>
      </c>
      <c r="Q501" s="6">
        <v>1481</v>
      </c>
      <c r="R501" s="6">
        <f t="shared" si="47"/>
        <v>135.13103504615637</v>
      </c>
      <c r="S501" s="6">
        <f t="shared" si="48"/>
        <v>26391.091144514339</v>
      </c>
    </row>
    <row r="502" spans="1:19" s="1" customFormat="1" ht="15" hidden="1" customHeight="1" outlineLevel="1" x14ac:dyDescent="0.25">
      <c r="A502" s="2" t="s">
        <v>89</v>
      </c>
      <c r="B502" s="2" t="s">
        <v>90</v>
      </c>
      <c r="C502" s="13">
        <v>223.7</v>
      </c>
      <c r="D502" s="6">
        <v>1072.8599999999999</v>
      </c>
      <c r="E502" s="6">
        <v>100</v>
      </c>
      <c r="F502" s="6"/>
      <c r="G502" s="6"/>
      <c r="H502" s="6"/>
      <c r="I502" s="6"/>
      <c r="J502" s="6">
        <v>149</v>
      </c>
      <c r="K502" s="6">
        <v>33331.300000000003</v>
      </c>
      <c r="L502" s="6"/>
      <c r="M502" s="6"/>
      <c r="N502" s="6">
        <f t="shared" si="45"/>
        <v>149</v>
      </c>
      <c r="O502" s="6">
        <f t="shared" si="46"/>
        <v>33331.299999999996</v>
      </c>
      <c r="P502" s="6">
        <v>2</v>
      </c>
      <c r="Q502" s="6">
        <v>545</v>
      </c>
      <c r="R502" s="6">
        <f t="shared" si="47"/>
        <v>124.00139813209552</v>
      </c>
      <c r="S502" s="6">
        <f t="shared" si="48"/>
        <v>27739.112762149765</v>
      </c>
    </row>
    <row r="503" spans="1:19" s="1" customFormat="1" ht="15" hidden="1" customHeight="1" outlineLevel="1" x14ac:dyDescent="0.25">
      <c r="A503" s="2" t="s">
        <v>410</v>
      </c>
      <c r="B503" s="2" t="s">
        <v>411</v>
      </c>
      <c r="C503" s="13">
        <v>38.81</v>
      </c>
      <c r="D503" s="6">
        <v>304.83999999999997</v>
      </c>
      <c r="E503" s="6">
        <v>44.09</v>
      </c>
      <c r="F503" s="6"/>
      <c r="G503" s="6"/>
      <c r="H503" s="6">
        <v>100</v>
      </c>
      <c r="I503" s="6">
        <v>3881</v>
      </c>
      <c r="J503" s="6">
        <v>630</v>
      </c>
      <c r="K503" s="6">
        <v>24450.3</v>
      </c>
      <c r="L503" s="6"/>
      <c r="M503" s="6"/>
      <c r="N503" s="6">
        <f t="shared" si="45"/>
        <v>730</v>
      </c>
      <c r="O503" s="6">
        <f t="shared" si="46"/>
        <v>28331.300000000003</v>
      </c>
      <c r="P503" s="6">
        <v>23</v>
      </c>
      <c r="Q503" s="6">
        <v>950</v>
      </c>
      <c r="R503" s="6">
        <f t="shared" si="47"/>
        <v>258.00157459650961</v>
      </c>
      <c r="S503" s="6">
        <f t="shared" si="48"/>
        <v>10013.041110090538</v>
      </c>
    </row>
    <row r="504" spans="1:19" s="1" customFormat="1" ht="15" hidden="1" customHeight="1" outlineLevel="1" x14ac:dyDescent="0.25">
      <c r="A504" s="2" t="s">
        <v>1131</v>
      </c>
      <c r="B504" s="2" t="s">
        <v>1132</v>
      </c>
      <c r="C504" s="13">
        <v>488.26</v>
      </c>
      <c r="D504" s="6">
        <v>1834.25</v>
      </c>
      <c r="E504" s="6">
        <v>100</v>
      </c>
      <c r="F504" s="6"/>
      <c r="G504" s="6"/>
      <c r="H504" s="6"/>
      <c r="I504" s="6"/>
      <c r="J504" s="6">
        <v>54</v>
      </c>
      <c r="K504" s="6">
        <v>26366.04</v>
      </c>
      <c r="L504" s="6"/>
      <c r="M504" s="6"/>
      <c r="N504" s="6">
        <f t="shared" si="45"/>
        <v>54</v>
      </c>
      <c r="O504" s="6">
        <f t="shared" si="46"/>
        <v>26366.04</v>
      </c>
      <c r="P504" s="6">
        <v>1</v>
      </c>
      <c r="Q504" s="6">
        <v>674</v>
      </c>
      <c r="R504" s="6">
        <f t="shared" si="47"/>
        <v>48.700831402480581</v>
      </c>
      <c r="S504" s="6">
        <f t="shared" si="48"/>
        <v>23778.667940575167</v>
      </c>
    </row>
    <row r="505" spans="1:19" s="1" customFormat="1" ht="15" hidden="1" customHeight="1" outlineLevel="1" x14ac:dyDescent="0.25">
      <c r="A505" s="2" t="s">
        <v>1197</v>
      </c>
      <c r="B505" s="2" t="s">
        <v>1198</v>
      </c>
      <c r="C505" s="13">
        <v>153.4</v>
      </c>
      <c r="D505" s="6"/>
      <c r="E505" s="6">
        <v>100</v>
      </c>
      <c r="F505" s="6"/>
      <c r="G505" s="6"/>
      <c r="H505" s="6"/>
      <c r="I505" s="6"/>
      <c r="J505" s="6">
        <v>114</v>
      </c>
      <c r="K505" s="6">
        <v>17487.599999999999</v>
      </c>
      <c r="L505" s="6"/>
      <c r="M505" s="6"/>
      <c r="N505" s="6">
        <f t="shared" si="45"/>
        <v>114</v>
      </c>
      <c r="O505" s="6">
        <f t="shared" si="46"/>
        <v>17487.600000000002</v>
      </c>
      <c r="P505" s="6"/>
      <c r="Q505" s="6"/>
      <c r="R505" s="6"/>
      <c r="S505" s="6"/>
    </row>
    <row r="506" spans="1:19" s="1" customFormat="1" ht="15" hidden="1" customHeight="1" outlineLevel="1" x14ac:dyDescent="0.25">
      <c r="A506" s="2" t="s">
        <v>1033</v>
      </c>
      <c r="B506" s="2" t="s">
        <v>1034</v>
      </c>
      <c r="C506" s="13">
        <v>48.43</v>
      </c>
      <c r="D506" s="6">
        <v>2588.13</v>
      </c>
      <c r="E506" s="6">
        <v>100</v>
      </c>
      <c r="F506" s="6"/>
      <c r="G506" s="6"/>
      <c r="H506" s="6"/>
      <c r="I506" s="6"/>
      <c r="J506" s="6">
        <v>409</v>
      </c>
      <c r="K506" s="6">
        <v>19807.87</v>
      </c>
      <c r="L506" s="6"/>
      <c r="M506" s="6"/>
      <c r="N506" s="6">
        <f t="shared" si="45"/>
        <v>409</v>
      </c>
      <c r="O506" s="6">
        <f t="shared" si="46"/>
        <v>19807.87</v>
      </c>
      <c r="P506" s="6">
        <v>5</v>
      </c>
      <c r="Q506" s="6">
        <v>257</v>
      </c>
      <c r="R506" s="6">
        <f t="shared" si="47"/>
        <v>380.55475188649717</v>
      </c>
      <c r="S506" s="6">
        <f t="shared" si="48"/>
        <v>18430.266633863059</v>
      </c>
    </row>
    <row r="507" spans="1:19" s="1" customFormat="1" ht="15" hidden="1" customHeight="1" outlineLevel="1" x14ac:dyDescent="0.25">
      <c r="A507" s="2" t="s">
        <v>971</v>
      </c>
      <c r="B507" s="2" t="s">
        <v>972</v>
      </c>
      <c r="C507" s="13">
        <v>364.68</v>
      </c>
      <c r="D507" s="6">
        <v>699</v>
      </c>
      <c r="E507" s="6">
        <v>100</v>
      </c>
      <c r="F507" s="6"/>
      <c r="G507" s="6"/>
      <c r="H507" s="6"/>
      <c r="I507" s="6"/>
      <c r="J507" s="6">
        <v>142</v>
      </c>
      <c r="K507" s="6">
        <v>51784.56</v>
      </c>
      <c r="L507" s="6"/>
      <c r="M507" s="6"/>
      <c r="N507" s="6">
        <f t="shared" si="45"/>
        <v>142</v>
      </c>
      <c r="O507" s="6">
        <f t="shared" si="46"/>
        <v>51784.56</v>
      </c>
      <c r="P507" s="6">
        <v>3</v>
      </c>
      <c r="Q507" s="6">
        <v>1287</v>
      </c>
      <c r="R507" s="6">
        <f t="shared" si="47"/>
        <v>105.43347639484979</v>
      </c>
      <c r="S507" s="6">
        <f t="shared" si="48"/>
        <v>38449.480171673822</v>
      </c>
    </row>
    <row r="508" spans="1:19" s="1" customFormat="1" ht="15" hidden="1" customHeight="1" outlineLevel="1" x14ac:dyDescent="0.25">
      <c r="A508" s="2" t="s">
        <v>720</v>
      </c>
      <c r="B508" s="2" t="s">
        <v>721</v>
      </c>
      <c r="C508" s="13">
        <v>976.52</v>
      </c>
      <c r="D508" s="6">
        <v>1954</v>
      </c>
      <c r="E508" s="6">
        <v>100</v>
      </c>
      <c r="F508" s="6"/>
      <c r="G508" s="6"/>
      <c r="H508" s="6">
        <v>3</v>
      </c>
      <c r="I508" s="6">
        <v>2929.56</v>
      </c>
      <c r="J508" s="6">
        <v>99</v>
      </c>
      <c r="K508" s="6">
        <v>96675.48</v>
      </c>
      <c r="L508" s="6"/>
      <c r="M508" s="6"/>
      <c r="N508" s="6">
        <f t="shared" si="45"/>
        <v>102</v>
      </c>
      <c r="O508" s="6">
        <f t="shared" si="46"/>
        <v>99605.04</v>
      </c>
      <c r="P508" s="6">
        <v>2</v>
      </c>
      <c r="Q508" s="6">
        <v>1830</v>
      </c>
      <c r="R508" s="6">
        <f t="shared" si="47"/>
        <v>89.880245649948833</v>
      </c>
      <c r="S508" s="6">
        <f t="shared" si="48"/>
        <v>87769.857482088031</v>
      </c>
    </row>
    <row r="509" spans="1:19" s="1" customFormat="1" ht="15" hidden="1" customHeight="1" outlineLevel="1" x14ac:dyDescent="0.25">
      <c r="A509" s="2" t="s">
        <v>584</v>
      </c>
      <c r="B509" s="2" t="s">
        <v>585</v>
      </c>
      <c r="C509" s="13">
        <v>448.89</v>
      </c>
      <c r="D509" s="6">
        <v>864.33</v>
      </c>
      <c r="E509" s="6">
        <v>100</v>
      </c>
      <c r="F509" s="6"/>
      <c r="G509" s="6"/>
      <c r="H509" s="6">
        <v>3</v>
      </c>
      <c r="I509" s="6">
        <v>1346.67</v>
      </c>
      <c r="J509" s="6">
        <v>82</v>
      </c>
      <c r="K509" s="6">
        <v>36808.980000000003</v>
      </c>
      <c r="L509" s="6"/>
      <c r="M509" s="6"/>
      <c r="N509" s="6">
        <f t="shared" si="45"/>
        <v>85</v>
      </c>
      <c r="O509" s="6">
        <f t="shared" si="46"/>
        <v>38155.65</v>
      </c>
      <c r="P509" s="6">
        <v>1</v>
      </c>
      <c r="Q509" s="6">
        <v>647</v>
      </c>
      <c r="R509" s="6">
        <f t="shared" si="47"/>
        <v>64.923189059734128</v>
      </c>
      <c r="S509" s="6">
        <f t="shared" si="48"/>
        <v>29143.370337024051</v>
      </c>
    </row>
    <row r="510" spans="1:19" s="1" customFormat="1" ht="15" hidden="1" customHeight="1" outlineLevel="1" x14ac:dyDescent="0.25">
      <c r="A510" s="2" t="s">
        <v>1147</v>
      </c>
      <c r="B510" s="2" t="s">
        <v>1148</v>
      </c>
      <c r="C510" s="13">
        <v>675.61</v>
      </c>
      <c r="D510" s="6">
        <v>5759.5</v>
      </c>
      <c r="E510" s="6">
        <v>100</v>
      </c>
      <c r="F510" s="6"/>
      <c r="G510" s="6"/>
      <c r="H510" s="6"/>
      <c r="I510" s="6"/>
      <c r="J510" s="6">
        <v>115</v>
      </c>
      <c r="K510" s="6">
        <v>77695.149999999994</v>
      </c>
      <c r="L510" s="6"/>
      <c r="M510" s="6"/>
      <c r="N510" s="6">
        <f t="shared" si="45"/>
        <v>115</v>
      </c>
      <c r="O510" s="6">
        <f t="shared" si="46"/>
        <v>77695.150000000009</v>
      </c>
      <c r="P510" s="6">
        <v>1</v>
      </c>
      <c r="Q510" s="6">
        <v>471</v>
      </c>
      <c r="R510" s="6">
        <f t="shared" si="47"/>
        <v>111.40593801545273</v>
      </c>
      <c r="S510" s="6">
        <f t="shared" si="48"/>
        <v>75266.965782620027</v>
      </c>
    </row>
    <row r="511" spans="1:19" s="1" customFormat="1" ht="15" hidden="1" customHeight="1" outlineLevel="1" x14ac:dyDescent="0.25">
      <c r="A511" s="2" t="s">
        <v>1005</v>
      </c>
      <c r="B511" s="2" t="s">
        <v>1006</v>
      </c>
      <c r="C511" s="13">
        <v>69.739999999999995</v>
      </c>
      <c r="D511" s="6">
        <v>379.87</v>
      </c>
      <c r="E511" s="6">
        <v>100</v>
      </c>
      <c r="F511" s="6">
        <v>30</v>
      </c>
      <c r="G511" s="6">
        <v>2092.1999999999998</v>
      </c>
      <c r="H511" s="6">
        <v>10</v>
      </c>
      <c r="I511" s="6">
        <v>697.4</v>
      </c>
      <c r="J511" s="6">
        <v>2066</v>
      </c>
      <c r="K511" s="6">
        <v>144082.84</v>
      </c>
      <c r="L511" s="6"/>
      <c r="M511" s="6"/>
      <c r="N511" s="6">
        <f t="shared" si="45"/>
        <v>2106</v>
      </c>
      <c r="O511" s="6">
        <f t="shared" si="46"/>
        <v>146872.44</v>
      </c>
      <c r="P511" s="6">
        <v>35</v>
      </c>
      <c r="Q511" s="6">
        <v>2569</v>
      </c>
      <c r="R511" s="6">
        <f t="shared" si="47"/>
        <v>1087.0335114644483</v>
      </c>
      <c r="S511" s="6">
        <f t="shared" si="48"/>
        <v>75809.717089530619</v>
      </c>
    </row>
    <row r="512" spans="1:19" s="1" customFormat="1" ht="15" hidden="1" customHeight="1" outlineLevel="1" x14ac:dyDescent="0.25">
      <c r="A512" s="2" t="s">
        <v>979</v>
      </c>
      <c r="B512" s="2" t="s">
        <v>980</v>
      </c>
      <c r="C512" s="13">
        <v>199</v>
      </c>
      <c r="D512" s="6">
        <v>39.15</v>
      </c>
      <c r="E512" s="6">
        <v>68.819999999999993</v>
      </c>
      <c r="F512" s="6"/>
      <c r="G512" s="6"/>
      <c r="H512" s="6"/>
      <c r="I512" s="6"/>
      <c r="J512" s="6"/>
      <c r="K512" s="6"/>
      <c r="L512" s="6"/>
      <c r="M512" s="6"/>
      <c r="N512" s="6" t="str">
        <f t="shared" si="45"/>
        <v/>
      </c>
      <c r="O512" s="6" t="str">
        <f t="shared" si="46"/>
        <v/>
      </c>
      <c r="P512" s="6">
        <v>9</v>
      </c>
      <c r="Q512" s="6">
        <v>1698</v>
      </c>
      <c r="R512" s="6"/>
      <c r="S512" s="6"/>
    </row>
    <row r="513" spans="1:19" s="1" customFormat="1" ht="15" hidden="1" customHeight="1" outlineLevel="1" x14ac:dyDescent="0.25">
      <c r="A513" s="2" t="s">
        <v>1109</v>
      </c>
      <c r="B513" s="2" t="s">
        <v>1110</v>
      </c>
      <c r="C513" s="13">
        <v>302.74</v>
      </c>
      <c r="D513" s="6">
        <v>861.12</v>
      </c>
      <c r="E513" s="6">
        <v>100</v>
      </c>
      <c r="F513" s="6"/>
      <c r="G513" s="6"/>
      <c r="H513" s="6">
        <v>5</v>
      </c>
      <c r="I513" s="6">
        <v>1513.7</v>
      </c>
      <c r="J513" s="6">
        <v>44</v>
      </c>
      <c r="K513" s="6">
        <v>13320.56</v>
      </c>
      <c r="L513" s="6"/>
      <c r="M513" s="6"/>
      <c r="N513" s="6">
        <f t="shared" si="45"/>
        <v>49</v>
      </c>
      <c r="O513" s="6">
        <f t="shared" si="46"/>
        <v>14834.26</v>
      </c>
      <c r="P513" s="6">
        <v>2</v>
      </c>
      <c r="Q513" s="6">
        <v>632</v>
      </c>
      <c r="R513" s="6">
        <f t="shared" si="47"/>
        <v>34.802675585284284</v>
      </c>
      <c r="S513" s="6">
        <f t="shared" si="48"/>
        <v>10536.162006688965</v>
      </c>
    </row>
    <row r="514" spans="1:19" s="1" customFormat="1" ht="15" hidden="1" customHeight="1" outlineLevel="1" x14ac:dyDescent="0.25">
      <c r="A514" s="2" t="s">
        <v>1035</v>
      </c>
      <c r="B514" s="2" t="s">
        <v>1036</v>
      </c>
      <c r="C514" s="13">
        <v>96.83</v>
      </c>
      <c r="D514" s="6">
        <v>617.14</v>
      </c>
      <c r="E514" s="6">
        <v>100</v>
      </c>
      <c r="F514" s="6"/>
      <c r="G514" s="6"/>
      <c r="H514" s="6">
        <v>10</v>
      </c>
      <c r="I514" s="6">
        <v>968.3</v>
      </c>
      <c r="J514" s="6">
        <v>166</v>
      </c>
      <c r="K514" s="6">
        <v>16073.78</v>
      </c>
      <c r="L514" s="6"/>
      <c r="M514" s="6"/>
      <c r="N514" s="6">
        <f t="shared" si="45"/>
        <v>176</v>
      </c>
      <c r="O514" s="6">
        <f t="shared" si="46"/>
        <v>17042.079999999998</v>
      </c>
      <c r="P514" s="6">
        <v>8</v>
      </c>
      <c r="Q514" s="6">
        <v>820</v>
      </c>
      <c r="R514" s="6">
        <f t="shared" si="47"/>
        <v>117.58310918106103</v>
      </c>
      <c r="S514" s="6">
        <f t="shared" si="48"/>
        <v>11385.572462002139</v>
      </c>
    </row>
    <row r="515" spans="1:19" s="1" customFormat="1" ht="15" hidden="1" customHeight="1" outlineLevel="1" x14ac:dyDescent="0.25">
      <c r="A515" s="2" t="s">
        <v>1207</v>
      </c>
      <c r="B515" s="2" t="s">
        <v>1208</v>
      </c>
      <c r="C515" s="13">
        <v>153.4</v>
      </c>
      <c r="D515" s="6"/>
      <c r="E515" s="6">
        <v>100</v>
      </c>
      <c r="F515" s="6"/>
      <c r="G515" s="6"/>
      <c r="H515" s="6"/>
      <c r="I515" s="6"/>
      <c r="J515" s="6">
        <v>110</v>
      </c>
      <c r="K515" s="6">
        <v>16874</v>
      </c>
      <c r="L515" s="6"/>
      <c r="M515" s="6"/>
      <c r="N515" s="6">
        <f t="shared" si="45"/>
        <v>110</v>
      </c>
      <c r="O515" s="6">
        <f t="shared" si="46"/>
        <v>16874</v>
      </c>
      <c r="P515" s="6"/>
      <c r="Q515" s="6"/>
      <c r="R515" s="6"/>
      <c r="S515" s="6"/>
    </row>
    <row r="516" spans="1:19" s="1" customFormat="1" ht="15" hidden="1" customHeight="1" outlineLevel="1" x14ac:dyDescent="0.25">
      <c r="A516" s="2" t="s">
        <v>1253</v>
      </c>
      <c r="B516" s="2" t="s">
        <v>1254</v>
      </c>
      <c r="C516" s="13">
        <v>56.72</v>
      </c>
      <c r="D516" s="6">
        <v>221.85</v>
      </c>
      <c r="E516" s="6">
        <v>100</v>
      </c>
      <c r="F516" s="6"/>
      <c r="G516" s="6"/>
      <c r="H516" s="6">
        <v>210</v>
      </c>
      <c r="I516" s="6">
        <v>11911.2</v>
      </c>
      <c r="J516" s="6">
        <v>82</v>
      </c>
      <c r="K516" s="6">
        <v>4651.04</v>
      </c>
      <c r="L516" s="6">
        <v>400</v>
      </c>
      <c r="M516" s="6">
        <v>22688</v>
      </c>
      <c r="N516" s="6">
        <f t="shared" si="45"/>
        <v>692</v>
      </c>
      <c r="O516" s="6">
        <f t="shared" si="46"/>
        <v>39250.239999999998</v>
      </c>
      <c r="P516" s="6">
        <v>43</v>
      </c>
      <c r="Q516" s="6">
        <v>2485</v>
      </c>
      <c r="R516" s="6">
        <f t="shared" si="47"/>
        <v>15.468559837728193</v>
      </c>
      <c r="S516" s="6">
        <f t="shared" si="48"/>
        <v>877.37671399594308</v>
      </c>
    </row>
    <row r="517" spans="1:19" s="1" customFormat="1" ht="15" hidden="1" customHeight="1" outlineLevel="1" x14ac:dyDescent="0.25">
      <c r="A517" s="2" t="s">
        <v>1097</v>
      </c>
      <c r="B517" s="2" t="s">
        <v>1098</v>
      </c>
      <c r="C517" s="13">
        <v>156.44</v>
      </c>
      <c r="D517" s="6">
        <v>640.54</v>
      </c>
      <c r="E517" s="6">
        <v>100</v>
      </c>
      <c r="F517" s="6"/>
      <c r="G517" s="6"/>
      <c r="H517" s="6">
        <v>10</v>
      </c>
      <c r="I517" s="6">
        <v>1564.4</v>
      </c>
      <c r="J517" s="6">
        <v>361</v>
      </c>
      <c r="K517" s="6">
        <v>56474.84</v>
      </c>
      <c r="L517" s="6"/>
      <c r="M517" s="6"/>
      <c r="N517" s="6">
        <f t="shared" si="45"/>
        <v>371</v>
      </c>
      <c r="O517" s="6">
        <f t="shared" si="46"/>
        <v>58039.24</v>
      </c>
      <c r="P517" s="6">
        <v>19</v>
      </c>
      <c r="Q517" s="6">
        <v>3184</v>
      </c>
      <c r="R517" s="6">
        <f t="shared" si="47"/>
        <v>259.55434477159895</v>
      </c>
      <c r="S517" s="6">
        <f t="shared" si="48"/>
        <v>40604.681696068939</v>
      </c>
    </row>
    <row r="518" spans="1:19" s="1" customFormat="1" ht="15" hidden="1" customHeight="1" outlineLevel="1" x14ac:dyDescent="0.25">
      <c r="A518" s="2" t="s">
        <v>590</v>
      </c>
      <c r="B518" s="2" t="s">
        <v>591</v>
      </c>
      <c r="C518" s="13">
        <v>680</v>
      </c>
      <c r="D518" s="6">
        <v>493.9</v>
      </c>
      <c r="E518" s="6">
        <v>100</v>
      </c>
      <c r="F518" s="6"/>
      <c r="G518" s="6"/>
      <c r="H518" s="6"/>
      <c r="I518" s="6"/>
      <c r="J518" s="6">
        <v>51</v>
      </c>
      <c r="K518" s="6">
        <v>34680</v>
      </c>
      <c r="L518" s="6"/>
      <c r="M518" s="6"/>
      <c r="N518" s="6">
        <f t="shared" si="45"/>
        <v>51</v>
      </c>
      <c r="O518" s="6">
        <f t="shared" si="46"/>
        <v>34680</v>
      </c>
      <c r="P518" s="6">
        <v>2</v>
      </c>
      <c r="Q518" s="6">
        <v>1413</v>
      </c>
      <c r="R518" s="6">
        <f t="shared" si="47"/>
        <v>32.413241546871838</v>
      </c>
      <c r="S518" s="6">
        <f t="shared" si="48"/>
        <v>22041.004251872851</v>
      </c>
    </row>
    <row r="519" spans="1:19" s="1" customFormat="1" ht="15" hidden="1" customHeight="1" outlineLevel="1" x14ac:dyDescent="0.25">
      <c r="A519" s="2" t="s">
        <v>897</v>
      </c>
      <c r="B519" s="2" t="s">
        <v>898</v>
      </c>
      <c r="C519" s="13">
        <v>135</v>
      </c>
      <c r="D519" s="6">
        <v>925</v>
      </c>
      <c r="E519" s="6">
        <v>100</v>
      </c>
      <c r="F519" s="6"/>
      <c r="G519" s="6"/>
      <c r="H519" s="6"/>
      <c r="I519" s="6"/>
      <c r="J519" s="6">
        <v>280</v>
      </c>
      <c r="K519" s="6">
        <v>37800</v>
      </c>
      <c r="L519" s="6"/>
      <c r="M519" s="6"/>
      <c r="N519" s="6">
        <f t="shared" si="45"/>
        <v>280</v>
      </c>
      <c r="O519" s="6">
        <f t="shared" si="46"/>
        <v>37800</v>
      </c>
      <c r="P519" s="6">
        <v>10</v>
      </c>
      <c r="Q519" s="6">
        <v>1383</v>
      </c>
      <c r="R519" s="6">
        <f t="shared" si="47"/>
        <v>225.51351351351352</v>
      </c>
      <c r="S519" s="6">
        <f t="shared" si="48"/>
        <v>30444.324324324323</v>
      </c>
    </row>
    <row r="520" spans="1:19" s="1" customFormat="1" ht="15" hidden="1" customHeight="1" outlineLevel="1" x14ac:dyDescent="0.25">
      <c r="A520" s="2" t="s">
        <v>915</v>
      </c>
      <c r="B520" s="2" t="s">
        <v>916</v>
      </c>
      <c r="C520" s="13">
        <v>255</v>
      </c>
      <c r="D520" s="6">
        <v>496.65</v>
      </c>
      <c r="E520" s="6">
        <v>100</v>
      </c>
      <c r="F520" s="6"/>
      <c r="G520" s="6"/>
      <c r="H520" s="6">
        <v>5</v>
      </c>
      <c r="I520" s="6">
        <v>1275</v>
      </c>
      <c r="J520" s="6">
        <v>99</v>
      </c>
      <c r="K520" s="6">
        <v>25245</v>
      </c>
      <c r="L520" s="6">
        <v>100</v>
      </c>
      <c r="M520" s="6">
        <v>25500</v>
      </c>
      <c r="N520" s="6">
        <f t="shared" si="45"/>
        <v>204</v>
      </c>
      <c r="O520" s="6">
        <f t="shared" si="46"/>
        <v>52020</v>
      </c>
      <c r="P520" s="6">
        <v>7</v>
      </c>
      <c r="Q520" s="6">
        <v>1765</v>
      </c>
      <c r="R520" s="6">
        <f t="shared" si="47"/>
        <v>63.119601328903649</v>
      </c>
      <c r="S520" s="6">
        <f t="shared" si="48"/>
        <v>16095.49833887043</v>
      </c>
    </row>
    <row r="521" spans="1:19" s="1" customFormat="1" ht="15" hidden="1" customHeight="1" outlineLevel="1" x14ac:dyDescent="0.25">
      <c r="A521" s="2" t="s">
        <v>1135</v>
      </c>
      <c r="B521" s="2" t="s">
        <v>1136</v>
      </c>
      <c r="C521" s="13">
        <v>553.98</v>
      </c>
      <c r="D521" s="6">
        <v>1670</v>
      </c>
      <c r="E521" s="6">
        <v>100</v>
      </c>
      <c r="F521" s="6"/>
      <c r="G521" s="6"/>
      <c r="H521" s="6"/>
      <c r="I521" s="6"/>
      <c r="J521" s="6">
        <v>42</v>
      </c>
      <c r="K521" s="6">
        <v>23267.16</v>
      </c>
      <c r="L521" s="6"/>
      <c r="M521" s="6"/>
      <c r="N521" s="6">
        <f t="shared" si="45"/>
        <v>42</v>
      </c>
      <c r="O521" s="6">
        <f t="shared" si="46"/>
        <v>23267.16</v>
      </c>
      <c r="P521" s="6">
        <v>1</v>
      </c>
      <c r="Q521" s="6">
        <v>386</v>
      </c>
      <c r="R521" s="6">
        <f t="shared" si="47"/>
        <v>37.473053892215567</v>
      </c>
      <c r="S521" s="6">
        <f t="shared" si="48"/>
        <v>20759.32239520958</v>
      </c>
    </row>
    <row r="522" spans="1:19" s="1" customFormat="1" ht="15" hidden="1" customHeight="1" outlineLevel="1" x14ac:dyDescent="0.25">
      <c r="A522" s="2" t="s">
        <v>947</v>
      </c>
      <c r="B522" s="2" t="s">
        <v>948</v>
      </c>
      <c r="C522" s="13">
        <v>291.58</v>
      </c>
      <c r="D522" s="6">
        <v>3034.5</v>
      </c>
      <c r="E522" s="6">
        <v>100</v>
      </c>
      <c r="F522" s="6"/>
      <c r="G522" s="6"/>
      <c r="H522" s="6"/>
      <c r="I522" s="6"/>
      <c r="J522" s="6">
        <v>116</v>
      </c>
      <c r="K522" s="6">
        <v>33823.279999999999</v>
      </c>
      <c r="L522" s="6"/>
      <c r="M522" s="6"/>
      <c r="N522" s="6">
        <f t="shared" si="45"/>
        <v>116</v>
      </c>
      <c r="O522" s="6">
        <f t="shared" si="46"/>
        <v>33823.279999999999</v>
      </c>
      <c r="P522" s="6">
        <v>0</v>
      </c>
      <c r="Q522" s="6">
        <v>103</v>
      </c>
      <c r="R522" s="6">
        <f t="shared" si="47"/>
        <v>109.11913000494316</v>
      </c>
      <c r="S522" s="6">
        <f t="shared" si="48"/>
        <v>31816.955926841325</v>
      </c>
    </row>
    <row r="523" spans="1:19" s="1" customFormat="1" ht="15" hidden="1" customHeight="1" outlineLevel="1" x14ac:dyDescent="0.25">
      <c r="A523" s="2" t="s">
        <v>1095</v>
      </c>
      <c r="B523" s="2" t="s">
        <v>1096</v>
      </c>
      <c r="C523" s="13">
        <v>105.46</v>
      </c>
      <c r="D523" s="6">
        <v>8534.6299999999992</v>
      </c>
      <c r="E523" s="6">
        <v>100</v>
      </c>
      <c r="F523" s="6"/>
      <c r="G523" s="6"/>
      <c r="H523" s="6"/>
      <c r="I523" s="6"/>
      <c r="J523" s="6">
        <v>729</v>
      </c>
      <c r="K523" s="6">
        <v>76880.34</v>
      </c>
      <c r="L523" s="6"/>
      <c r="M523" s="6"/>
      <c r="N523" s="6">
        <f t="shared" si="45"/>
        <v>729</v>
      </c>
      <c r="O523" s="6">
        <f t="shared" si="46"/>
        <v>76880.34</v>
      </c>
      <c r="P523" s="6">
        <v>3</v>
      </c>
      <c r="Q523" s="6">
        <v>284</v>
      </c>
      <c r="R523" s="6">
        <f t="shared" si="47"/>
        <v>713.62499253043188</v>
      </c>
      <c r="S523" s="6">
        <f t="shared" si="48"/>
        <v>75258.891712259341</v>
      </c>
    </row>
    <row r="524" spans="1:19" s="1" customFormat="1" ht="15" hidden="1" customHeight="1" outlineLevel="1" x14ac:dyDescent="0.25">
      <c r="A524" s="2" t="s">
        <v>498</v>
      </c>
      <c r="B524" s="2" t="s">
        <v>499</v>
      </c>
      <c r="C524" s="13">
        <v>182.67</v>
      </c>
      <c r="D524" s="6">
        <v>1886.83</v>
      </c>
      <c r="E524" s="6">
        <v>100</v>
      </c>
      <c r="F524" s="6"/>
      <c r="G524" s="6"/>
      <c r="H524" s="6">
        <v>10</v>
      </c>
      <c r="I524" s="6">
        <v>1826.7</v>
      </c>
      <c r="J524" s="6">
        <v>160</v>
      </c>
      <c r="K524" s="6">
        <v>29227.200000000001</v>
      </c>
      <c r="L524" s="6"/>
      <c r="M524" s="6"/>
      <c r="N524" s="6">
        <f t="shared" si="45"/>
        <v>170</v>
      </c>
      <c r="O524" s="6">
        <f t="shared" si="46"/>
        <v>31053.899999999998</v>
      </c>
      <c r="P524" s="6">
        <v>4</v>
      </c>
      <c r="Q524" s="6">
        <v>760</v>
      </c>
      <c r="R524" s="6">
        <f t="shared" si="47"/>
        <v>144.73630374755541</v>
      </c>
      <c r="S524" s="6">
        <f t="shared" si="48"/>
        <v>26438.980605565946</v>
      </c>
    </row>
    <row r="525" spans="1:19" s="1" customFormat="1" ht="15" hidden="1" customHeight="1" outlineLevel="1" x14ac:dyDescent="0.25">
      <c r="A525" s="2" t="s">
        <v>883</v>
      </c>
      <c r="B525" s="2" t="s">
        <v>884</v>
      </c>
      <c r="C525" s="13">
        <v>355</v>
      </c>
      <c r="D525" s="6">
        <v>1089.1099999999999</v>
      </c>
      <c r="E525" s="6">
        <v>100</v>
      </c>
      <c r="F525" s="6"/>
      <c r="G525" s="6"/>
      <c r="H525" s="6"/>
      <c r="I525" s="6"/>
      <c r="J525" s="6">
        <v>105</v>
      </c>
      <c r="K525" s="6">
        <v>37275</v>
      </c>
      <c r="L525" s="6"/>
      <c r="M525" s="6"/>
      <c r="N525" s="6">
        <f t="shared" si="45"/>
        <v>105</v>
      </c>
      <c r="O525" s="6">
        <f t="shared" si="46"/>
        <v>37275</v>
      </c>
      <c r="P525" s="6">
        <v>2</v>
      </c>
      <c r="Q525" s="6">
        <v>768</v>
      </c>
      <c r="R525" s="6">
        <f t="shared" si="47"/>
        <v>87.646380989982646</v>
      </c>
      <c r="S525" s="6">
        <f t="shared" si="48"/>
        <v>31114.465251443838</v>
      </c>
    </row>
    <row r="526" spans="1:19" s="1" customFormat="1" ht="15" hidden="1" customHeight="1" outlineLevel="1" x14ac:dyDescent="0.25">
      <c r="A526" s="2" t="s">
        <v>995</v>
      </c>
      <c r="B526" s="2" t="s">
        <v>996</v>
      </c>
      <c r="C526" s="13">
        <v>120.5</v>
      </c>
      <c r="D526" s="6">
        <v>594.83000000000004</v>
      </c>
      <c r="E526" s="6">
        <v>100</v>
      </c>
      <c r="F526" s="6"/>
      <c r="G526" s="6"/>
      <c r="H526" s="6"/>
      <c r="I526" s="6"/>
      <c r="J526" s="6">
        <v>279</v>
      </c>
      <c r="K526" s="6">
        <v>33619.5</v>
      </c>
      <c r="L526" s="6"/>
      <c r="M526" s="6"/>
      <c r="N526" s="6">
        <f t="shared" si="45"/>
        <v>279</v>
      </c>
      <c r="O526" s="6">
        <f t="shared" si="46"/>
        <v>33619.5</v>
      </c>
      <c r="P526" s="6">
        <v>4</v>
      </c>
      <c r="Q526" s="6">
        <v>546</v>
      </c>
      <c r="R526" s="6">
        <f t="shared" si="47"/>
        <v>194.57251651732429</v>
      </c>
      <c r="S526" s="6">
        <f t="shared" si="48"/>
        <v>23445.988240337578</v>
      </c>
    </row>
    <row r="527" spans="1:19" s="1" customFormat="1" ht="15" hidden="1" customHeight="1" outlineLevel="1" x14ac:dyDescent="0.25">
      <c r="A527" s="2" t="s">
        <v>1009</v>
      </c>
      <c r="B527" s="2" t="s">
        <v>1010</v>
      </c>
      <c r="C527" s="13">
        <v>48.43</v>
      </c>
      <c r="D527" s="6">
        <v>171.19</v>
      </c>
      <c r="E527" s="6">
        <v>100</v>
      </c>
      <c r="F527" s="6"/>
      <c r="G527" s="6"/>
      <c r="H527" s="6"/>
      <c r="I527" s="6"/>
      <c r="J527" s="6">
        <v>110</v>
      </c>
      <c r="K527" s="6">
        <v>5327.3</v>
      </c>
      <c r="L527" s="6"/>
      <c r="M527" s="6"/>
      <c r="N527" s="6">
        <f t="shared" si="45"/>
        <v>110</v>
      </c>
      <c r="O527" s="6">
        <f t="shared" si="46"/>
        <v>5327.3</v>
      </c>
      <c r="P527" s="6">
        <v>20</v>
      </c>
      <c r="Q527" s="6">
        <v>1000</v>
      </c>
      <c r="R527" s="6"/>
      <c r="S527" s="6"/>
    </row>
    <row r="528" spans="1:19" s="1" customFormat="1" ht="15" hidden="1" customHeight="1" outlineLevel="1" x14ac:dyDescent="0.25">
      <c r="A528" s="2" t="s">
        <v>85</v>
      </c>
      <c r="B528" s="2" t="s">
        <v>86</v>
      </c>
      <c r="C528" s="13">
        <v>100.06</v>
      </c>
      <c r="D528" s="6">
        <v>117.08</v>
      </c>
      <c r="E528" s="6">
        <v>100</v>
      </c>
      <c r="F528" s="6"/>
      <c r="G528" s="6"/>
      <c r="H528" s="6">
        <v>6</v>
      </c>
      <c r="I528" s="6">
        <v>600.36</v>
      </c>
      <c r="J528" s="6">
        <v>668</v>
      </c>
      <c r="K528" s="6">
        <v>66840.08</v>
      </c>
      <c r="L528" s="6"/>
      <c r="M528" s="6"/>
      <c r="N528" s="6">
        <f t="shared" si="45"/>
        <v>674</v>
      </c>
      <c r="O528" s="6">
        <f t="shared" si="46"/>
        <v>67440.44</v>
      </c>
      <c r="P528" s="6">
        <v>119</v>
      </c>
      <c r="Q528" s="6">
        <v>12289</v>
      </c>
      <c r="R528" s="6"/>
      <c r="S528" s="6"/>
    </row>
    <row r="529" spans="1:19" s="1" customFormat="1" ht="15" hidden="1" customHeight="1" outlineLevel="1" x14ac:dyDescent="0.25">
      <c r="A529" s="2" t="s">
        <v>760</v>
      </c>
      <c r="B529" s="2" t="s">
        <v>761</v>
      </c>
      <c r="C529" s="13">
        <v>47.6</v>
      </c>
      <c r="D529" s="6">
        <v>1267.67</v>
      </c>
      <c r="E529" s="6">
        <v>100</v>
      </c>
      <c r="F529" s="6"/>
      <c r="G529" s="6"/>
      <c r="H529" s="6"/>
      <c r="I529" s="6"/>
      <c r="J529" s="6">
        <v>2042</v>
      </c>
      <c r="K529" s="6">
        <v>97199.2</v>
      </c>
      <c r="L529" s="6"/>
      <c r="M529" s="6"/>
      <c r="N529" s="6">
        <f t="shared" si="45"/>
        <v>2042</v>
      </c>
      <c r="O529" s="6">
        <f t="shared" si="46"/>
        <v>97199.2</v>
      </c>
      <c r="P529" s="6">
        <v>50</v>
      </c>
      <c r="Q529" s="6">
        <v>2499</v>
      </c>
      <c r="R529" s="6">
        <f t="shared" si="47"/>
        <v>1752.0507229799553</v>
      </c>
      <c r="S529" s="6">
        <f t="shared" si="48"/>
        <v>83397.614413845877</v>
      </c>
    </row>
    <row r="530" spans="1:19" s="1" customFormat="1" ht="15" hidden="1" customHeight="1" outlineLevel="1" x14ac:dyDescent="0.25">
      <c r="A530" s="2" t="s">
        <v>514</v>
      </c>
      <c r="B530" s="2" t="s">
        <v>515</v>
      </c>
      <c r="C530" s="13">
        <v>145</v>
      </c>
      <c r="D530" s="6">
        <v>903.3</v>
      </c>
      <c r="E530" s="6">
        <v>100</v>
      </c>
      <c r="F530" s="6"/>
      <c r="G530" s="6"/>
      <c r="H530" s="6">
        <v>10</v>
      </c>
      <c r="I530" s="6">
        <v>1450</v>
      </c>
      <c r="J530" s="6">
        <v>198</v>
      </c>
      <c r="K530" s="6">
        <v>28710</v>
      </c>
      <c r="L530" s="6"/>
      <c r="M530" s="6"/>
      <c r="N530" s="6">
        <f t="shared" si="45"/>
        <v>208</v>
      </c>
      <c r="O530" s="6">
        <f t="shared" si="46"/>
        <v>30160</v>
      </c>
      <c r="P530" s="6">
        <v>7</v>
      </c>
      <c r="Q530" s="6">
        <v>1011</v>
      </c>
      <c r="R530" s="6">
        <f t="shared" si="47"/>
        <v>158.54466954500165</v>
      </c>
      <c r="S530" s="6">
        <f t="shared" si="48"/>
        <v>22988.977084025239</v>
      </c>
    </row>
    <row r="531" spans="1:19" s="1" customFormat="1" ht="15" hidden="1" customHeight="1" outlineLevel="1" x14ac:dyDescent="0.25">
      <c r="A531" s="2" t="s">
        <v>630</v>
      </c>
      <c r="B531" s="2" t="s">
        <v>631</v>
      </c>
      <c r="C531" s="13">
        <v>97.83</v>
      </c>
      <c r="D531" s="6">
        <v>122.81</v>
      </c>
      <c r="E531" s="6">
        <v>29.03</v>
      </c>
      <c r="F531" s="6">
        <v>30</v>
      </c>
      <c r="G531" s="6">
        <v>2934.9</v>
      </c>
      <c r="H531" s="6">
        <v>5</v>
      </c>
      <c r="I531" s="6">
        <v>489.15</v>
      </c>
      <c r="J531" s="6">
        <v>318</v>
      </c>
      <c r="K531" s="6">
        <v>31109.94</v>
      </c>
      <c r="L531" s="6"/>
      <c r="M531" s="6"/>
      <c r="N531" s="6">
        <f t="shared" si="45"/>
        <v>353</v>
      </c>
      <c r="O531" s="6">
        <f t="shared" si="46"/>
        <v>34533.99</v>
      </c>
      <c r="P531" s="6">
        <v>26</v>
      </c>
      <c r="Q531" s="6">
        <v>2627</v>
      </c>
      <c r="R531" s="6"/>
      <c r="S531" s="6"/>
    </row>
    <row r="532" spans="1:19" s="1" customFormat="1" ht="15" hidden="1" customHeight="1" outlineLevel="1" x14ac:dyDescent="0.25">
      <c r="A532" s="2" t="s">
        <v>999</v>
      </c>
      <c r="B532" s="2" t="s">
        <v>1000</v>
      </c>
      <c r="C532" s="13">
        <v>138.59</v>
      </c>
      <c r="D532" s="6">
        <v>1333.51</v>
      </c>
      <c r="E532" s="6">
        <v>100</v>
      </c>
      <c r="F532" s="6"/>
      <c r="G532" s="6"/>
      <c r="H532" s="6">
        <v>8</v>
      </c>
      <c r="I532" s="6">
        <v>1108.72</v>
      </c>
      <c r="J532" s="6">
        <v>537</v>
      </c>
      <c r="K532" s="6">
        <v>74422.83</v>
      </c>
      <c r="L532" s="6"/>
      <c r="M532" s="6"/>
      <c r="N532" s="6">
        <f t="shared" si="45"/>
        <v>545</v>
      </c>
      <c r="O532" s="6">
        <f t="shared" si="46"/>
        <v>75531.55</v>
      </c>
      <c r="P532" s="6">
        <v>8</v>
      </c>
      <c r="Q532" s="6">
        <v>1208</v>
      </c>
      <c r="R532" s="6">
        <f t="shared" si="47"/>
        <v>464.51460431492831</v>
      </c>
      <c r="S532" s="6">
        <f t="shared" si="48"/>
        <v>64377.079012005917</v>
      </c>
    </row>
    <row r="533" spans="1:19" s="1" customFormat="1" ht="15" hidden="1" customHeight="1" outlineLevel="1" x14ac:dyDescent="0.25">
      <c r="A533" s="2" t="s">
        <v>1211</v>
      </c>
      <c r="B533" s="2" t="s">
        <v>1212</v>
      </c>
      <c r="C533" s="13">
        <v>381.32</v>
      </c>
      <c r="D533" s="6">
        <v>2409.11</v>
      </c>
      <c r="E533" s="6">
        <v>100</v>
      </c>
      <c r="F533" s="6"/>
      <c r="G533" s="6"/>
      <c r="H533" s="6"/>
      <c r="I533" s="6"/>
      <c r="J533" s="6">
        <v>230</v>
      </c>
      <c r="K533" s="6">
        <v>87703.6</v>
      </c>
      <c r="L533" s="6"/>
      <c r="M533" s="6"/>
      <c r="N533" s="6">
        <f t="shared" si="45"/>
        <v>230</v>
      </c>
      <c r="O533" s="6">
        <f t="shared" si="46"/>
        <v>87703.599999999991</v>
      </c>
      <c r="P533" s="6">
        <v>2</v>
      </c>
      <c r="Q533" s="6">
        <v>963</v>
      </c>
      <c r="R533" s="6">
        <f t="shared" si="47"/>
        <v>212.81523052081474</v>
      </c>
      <c r="S533" s="6">
        <f t="shared" si="48"/>
        <v>81150.703702197075</v>
      </c>
    </row>
    <row r="534" spans="1:19" s="1" customFormat="1" ht="15" hidden="1" customHeight="1" outlineLevel="1" x14ac:dyDescent="0.25">
      <c r="A534" s="2" t="s">
        <v>1145</v>
      </c>
      <c r="B534" s="2" t="s">
        <v>1146</v>
      </c>
      <c r="C534" s="13">
        <v>383.57</v>
      </c>
      <c r="D534" s="6">
        <v>13026</v>
      </c>
      <c r="E534" s="6">
        <v>100</v>
      </c>
      <c r="F534" s="6"/>
      <c r="G534" s="6"/>
      <c r="H534" s="6"/>
      <c r="I534" s="6"/>
      <c r="J534" s="6">
        <v>276</v>
      </c>
      <c r="K534" s="6">
        <v>105865.32</v>
      </c>
      <c r="L534" s="6"/>
      <c r="M534" s="6"/>
      <c r="N534" s="6">
        <f t="shared" si="45"/>
        <v>276</v>
      </c>
      <c r="O534" s="6">
        <f t="shared" si="46"/>
        <v>105865.31999999999</v>
      </c>
      <c r="P534" s="6">
        <v>1</v>
      </c>
      <c r="Q534" s="6">
        <v>268</v>
      </c>
      <c r="R534" s="6">
        <f t="shared" si="47"/>
        <v>272.18608935974203</v>
      </c>
      <c r="S534" s="6">
        <f t="shared" si="48"/>
        <v>104402.41829571624</v>
      </c>
    </row>
    <row r="535" spans="1:19" s="1" customFormat="1" ht="15" hidden="1" customHeight="1" outlineLevel="1" x14ac:dyDescent="0.25">
      <c r="A535" s="2" t="s">
        <v>1139</v>
      </c>
      <c r="B535" s="2" t="s">
        <v>1140</v>
      </c>
      <c r="C535" s="13">
        <v>331.27</v>
      </c>
      <c r="D535" s="6">
        <v>2768.74</v>
      </c>
      <c r="E535" s="6">
        <v>100</v>
      </c>
      <c r="F535" s="6"/>
      <c r="G535" s="6"/>
      <c r="H535" s="6">
        <v>9</v>
      </c>
      <c r="I535" s="6">
        <v>2981.43</v>
      </c>
      <c r="J535" s="6">
        <v>663</v>
      </c>
      <c r="K535" s="6">
        <v>219632.01</v>
      </c>
      <c r="L535" s="6"/>
      <c r="M535" s="6"/>
      <c r="N535" s="6">
        <f t="shared" si="45"/>
        <v>672</v>
      </c>
      <c r="O535" s="6">
        <f t="shared" si="46"/>
        <v>222613.44</v>
      </c>
      <c r="P535" s="6">
        <v>8</v>
      </c>
      <c r="Q535" s="6">
        <v>2791</v>
      </c>
      <c r="R535" s="6">
        <f t="shared" si="47"/>
        <v>619.89736125457796</v>
      </c>
      <c r="S535" s="6">
        <f t="shared" si="48"/>
        <v>205353.39886280402</v>
      </c>
    </row>
    <row r="536" spans="1:19" s="1" customFormat="1" ht="15" hidden="1" customHeight="1" outlineLevel="1" x14ac:dyDescent="0.25">
      <c r="A536" s="2" t="s">
        <v>965</v>
      </c>
      <c r="B536" s="2" t="s">
        <v>966</v>
      </c>
      <c r="C536" s="13">
        <v>75</v>
      </c>
      <c r="D536" s="6">
        <v>10.09</v>
      </c>
      <c r="E536" s="6">
        <v>100</v>
      </c>
      <c r="F536" s="6"/>
      <c r="G536" s="6"/>
      <c r="H536" s="6">
        <v>5</v>
      </c>
      <c r="I536" s="6">
        <v>375</v>
      </c>
      <c r="J536" s="6">
        <v>2</v>
      </c>
      <c r="K536" s="6">
        <v>150</v>
      </c>
      <c r="L536" s="6"/>
      <c r="M536" s="6"/>
      <c r="N536" s="6">
        <f t="shared" si="45"/>
        <v>7</v>
      </c>
      <c r="O536" s="6">
        <f t="shared" si="46"/>
        <v>525</v>
      </c>
      <c r="P536" s="6">
        <v>2</v>
      </c>
      <c r="Q536" s="6">
        <v>131</v>
      </c>
      <c r="R536" s="6"/>
      <c r="S536" s="6"/>
    </row>
    <row r="537" spans="1:19" s="1" customFormat="1" ht="15" hidden="1" customHeight="1" outlineLevel="1" x14ac:dyDescent="0.25">
      <c r="A537" s="2" t="s">
        <v>63</v>
      </c>
      <c r="B537" s="2" t="s">
        <v>64</v>
      </c>
      <c r="C537" s="13">
        <v>173</v>
      </c>
      <c r="D537" s="6">
        <v>120.04</v>
      </c>
      <c r="E537" s="6">
        <v>43.01</v>
      </c>
      <c r="F537" s="6"/>
      <c r="G537" s="6"/>
      <c r="H537" s="6">
        <v>30</v>
      </c>
      <c r="I537" s="6">
        <v>5190</v>
      </c>
      <c r="J537" s="6">
        <v>158</v>
      </c>
      <c r="K537" s="6">
        <v>27334</v>
      </c>
      <c r="L537" s="6"/>
      <c r="M537" s="6"/>
      <c r="N537" s="6">
        <f t="shared" si="45"/>
        <v>188</v>
      </c>
      <c r="O537" s="6">
        <f t="shared" si="46"/>
        <v>32524</v>
      </c>
      <c r="P537" s="6">
        <v>37</v>
      </c>
      <c r="Q537" s="6">
        <v>6864</v>
      </c>
      <c r="R537" s="6"/>
      <c r="S537" s="6"/>
    </row>
    <row r="538" spans="1:19" s="1" customFormat="1" ht="15" hidden="1" customHeight="1" outlineLevel="1" x14ac:dyDescent="0.25">
      <c r="A538" s="2" t="s">
        <v>837</v>
      </c>
      <c r="B538" s="2" t="s">
        <v>838</v>
      </c>
      <c r="C538" s="13">
        <v>249.77</v>
      </c>
      <c r="D538" s="6">
        <v>36803.17</v>
      </c>
      <c r="E538" s="6">
        <v>100</v>
      </c>
      <c r="F538" s="6"/>
      <c r="G538" s="6"/>
      <c r="H538" s="6"/>
      <c r="I538" s="6"/>
      <c r="J538" s="6">
        <v>2371</v>
      </c>
      <c r="K538" s="6">
        <v>592204.67000000004</v>
      </c>
      <c r="L538" s="6"/>
      <c r="M538" s="6"/>
      <c r="N538" s="6">
        <f t="shared" si="45"/>
        <v>2371</v>
      </c>
      <c r="O538" s="6">
        <f t="shared" si="46"/>
        <v>592204.67000000004</v>
      </c>
      <c r="P538" s="6">
        <v>2</v>
      </c>
      <c r="Q538" s="6">
        <v>397</v>
      </c>
      <c r="R538" s="6">
        <f t="shared" si="47"/>
        <v>2359.4037163103071</v>
      </c>
      <c r="S538" s="6">
        <f t="shared" si="48"/>
        <v>589308.26622282539</v>
      </c>
    </row>
    <row r="539" spans="1:19" s="1" customFormat="1" ht="15" hidden="1" customHeight="1" outlineLevel="1" x14ac:dyDescent="0.25">
      <c r="A539" s="2" t="s">
        <v>544</v>
      </c>
      <c r="B539" s="2" t="s">
        <v>545</v>
      </c>
      <c r="C539" s="13">
        <v>1588.53</v>
      </c>
      <c r="D539" s="6">
        <v>7068</v>
      </c>
      <c r="E539" s="6">
        <v>100</v>
      </c>
      <c r="F539" s="6"/>
      <c r="G539" s="6"/>
      <c r="H539" s="6">
        <v>1</v>
      </c>
      <c r="I539" s="6">
        <v>1588.53</v>
      </c>
      <c r="J539" s="6">
        <v>32</v>
      </c>
      <c r="K539" s="6">
        <v>50832.959999999999</v>
      </c>
      <c r="L539" s="6"/>
      <c r="M539" s="6"/>
      <c r="N539" s="6">
        <f t="shared" si="45"/>
        <v>33</v>
      </c>
      <c r="O539" s="6">
        <f t="shared" si="46"/>
        <v>52421.49</v>
      </c>
      <c r="P539" s="6">
        <v>0</v>
      </c>
      <c r="Q539" s="6">
        <v>554</v>
      </c>
      <c r="R539" s="6">
        <f t="shared" si="47"/>
        <v>31.185059422750427</v>
      </c>
      <c r="S539" s="6">
        <f t="shared" si="48"/>
        <v>49538.402444821739</v>
      </c>
    </row>
    <row r="540" spans="1:19" s="1" customFormat="1" ht="15" hidden="1" customHeight="1" outlineLevel="1" x14ac:dyDescent="0.25">
      <c r="A540" s="2" t="s">
        <v>408</v>
      </c>
      <c r="B540" s="2" t="s">
        <v>409</v>
      </c>
      <c r="C540" s="13">
        <v>34.119999999999997</v>
      </c>
      <c r="D540" s="6">
        <v>605.41</v>
      </c>
      <c r="E540" s="6">
        <v>100</v>
      </c>
      <c r="F540" s="6"/>
      <c r="G540" s="6"/>
      <c r="H540" s="6">
        <v>10</v>
      </c>
      <c r="I540" s="6">
        <v>341.2</v>
      </c>
      <c r="J540" s="6">
        <v>1708</v>
      </c>
      <c r="K540" s="6">
        <v>58276.959999999999</v>
      </c>
      <c r="L540" s="6"/>
      <c r="M540" s="6"/>
      <c r="N540" s="6">
        <f t="shared" si="45"/>
        <v>1718</v>
      </c>
      <c r="O540" s="6">
        <f t="shared" si="46"/>
        <v>58618.159999999996</v>
      </c>
      <c r="P540" s="6">
        <v>88</v>
      </c>
      <c r="Q540" s="6">
        <v>3105</v>
      </c>
      <c r="R540" s="6">
        <f t="shared" si="47"/>
        <v>1200.1788539997688</v>
      </c>
      <c r="S540" s="6">
        <f t="shared" si="48"/>
        <v>40950.102498472108</v>
      </c>
    </row>
    <row r="541" spans="1:19" s="1" customFormat="1" ht="15" hidden="1" customHeight="1" outlineLevel="1" x14ac:dyDescent="0.25">
      <c r="A541" s="2" t="s">
        <v>1203</v>
      </c>
      <c r="B541" s="2" t="s">
        <v>1204</v>
      </c>
      <c r="C541" s="13">
        <v>99.71</v>
      </c>
      <c r="D541" s="6"/>
      <c r="E541" s="6">
        <v>100</v>
      </c>
      <c r="F541" s="6"/>
      <c r="G541" s="6"/>
      <c r="H541" s="6"/>
      <c r="I541" s="6"/>
      <c r="J541" s="6">
        <v>130</v>
      </c>
      <c r="K541" s="6">
        <v>12962.3</v>
      </c>
      <c r="L541" s="6"/>
      <c r="M541" s="6"/>
      <c r="N541" s="6">
        <f t="shared" si="45"/>
        <v>130</v>
      </c>
      <c r="O541" s="6">
        <f t="shared" si="46"/>
        <v>12962.3</v>
      </c>
      <c r="P541" s="6"/>
      <c r="Q541" s="6"/>
      <c r="R541" s="6"/>
      <c r="S541" s="6"/>
    </row>
    <row r="542" spans="1:19" s="1" customFormat="1" ht="15" hidden="1" customHeight="1" outlineLevel="1" x14ac:dyDescent="0.25">
      <c r="A542" s="2" t="s">
        <v>1251</v>
      </c>
      <c r="B542" s="2" t="s">
        <v>1252</v>
      </c>
      <c r="C542" s="13">
        <v>56.72</v>
      </c>
      <c r="D542" s="6">
        <v>222.27</v>
      </c>
      <c r="E542" s="6">
        <v>100</v>
      </c>
      <c r="F542" s="6"/>
      <c r="G542" s="6"/>
      <c r="H542" s="6">
        <v>110</v>
      </c>
      <c r="I542" s="6">
        <v>6239.2</v>
      </c>
      <c r="J542" s="6">
        <v>160</v>
      </c>
      <c r="K542" s="6">
        <v>9075.2000000000007</v>
      </c>
      <c r="L542" s="6"/>
      <c r="M542" s="6"/>
      <c r="N542" s="6">
        <f t="shared" si="45"/>
        <v>270</v>
      </c>
      <c r="O542" s="6">
        <f t="shared" si="46"/>
        <v>15314.4</v>
      </c>
      <c r="P542" s="6">
        <v>27</v>
      </c>
      <c r="Q542" s="6">
        <v>1553</v>
      </c>
      <c r="R542" s="6">
        <f t="shared" si="47"/>
        <v>30.427858010527743</v>
      </c>
      <c r="S542" s="6">
        <f t="shared" si="48"/>
        <v>1725.8681063571335</v>
      </c>
    </row>
    <row r="543" spans="1:19" s="1" customFormat="1" ht="15" hidden="1" customHeight="1" outlineLevel="1" x14ac:dyDescent="0.25">
      <c r="A543" s="2" t="s">
        <v>1039</v>
      </c>
      <c r="B543" s="2" t="s">
        <v>1040</v>
      </c>
      <c r="C543" s="13">
        <v>96.83</v>
      </c>
      <c r="D543" s="6">
        <v>269.61</v>
      </c>
      <c r="E543" s="6">
        <v>100</v>
      </c>
      <c r="F543" s="6"/>
      <c r="G543" s="6"/>
      <c r="H543" s="6">
        <v>20</v>
      </c>
      <c r="I543" s="6">
        <v>1936.6</v>
      </c>
      <c r="J543" s="6">
        <v>157</v>
      </c>
      <c r="K543" s="6">
        <v>15202.31</v>
      </c>
      <c r="L543" s="6"/>
      <c r="M543" s="6"/>
      <c r="N543" s="6">
        <f t="shared" si="45"/>
        <v>177</v>
      </c>
      <c r="O543" s="6">
        <f t="shared" si="46"/>
        <v>17138.91</v>
      </c>
      <c r="P543" s="6">
        <v>12</v>
      </c>
      <c r="Q543" s="6">
        <v>1216</v>
      </c>
      <c r="R543" s="6">
        <f t="shared" si="47"/>
        <v>52.181929453655286</v>
      </c>
      <c r="S543" s="6">
        <f t="shared" si="48"/>
        <v>5052.7762289974416</v>
      </c>
    </row>
    <row r="544" spans="1:19" s="1" customFormat="1" ht="15" hidden="1" customHeight="1" outlineLevel="1" x14ac:dyDescent="0.25">
      <c r="A544" s="2" t="s">
        <v>716</v>
      </c>
      <c r="B544" s="2" t="s">
        <v>717</v>
      </c>
      <c r="C544" s="13">
        <v>878.87</v>
      </c>
      <c r="D544" s="6">
        <v>2147</v>
      </c>
      <c r="E544" s="6">
        <v>100</v>
      </c>
      <c r="F544" s="6"/>
      <c r="G544" s="6"/>
      <c r="H544" s="6">
        <v>1</v>
      </c>
      <c r="I544" s="6">
        <v>878.87</v>
      </c>
      <c r="J544" s="6">
        <v>22</v>
      </c>
      <c r="K544" s="6">
        <v>19335.14</v>
      </c>
      <c r="L544" s="6"/>
      <c r="M544" s="6"/>
      <c r="N544" s="6">
        <f t="shared" si="45"/>
        <v>23</v>
      </c>
      <c r="O544" s="6">
        <f t="shared" si="46"/>
        <v>20214.009999999998</v>
      </c>
      <c r="P544" s="6"/>
      <c r="Q544" s="6"/>
      <c r="R544" s="6">
        <f t="shared" si="47"/>
        <v>20.155565905915228</v>
      </c>
      <c r="S544" s="6">
        <f t="shared" si="48"/>
        <v>17714.122207731718</v>
      </c>
    </row>
    <row r="545" spans="1:19" s="1" customFormat="1" ht="15" hidden="1" customHeight="1" outlineLevel="1" x14ac:dyDescent="0.25">
      <c r="A545" s="2" t="s">
        <v>1241</v>
      </c>
      <c r="B545" s="2" t="s">
        <v>1242</v>
      </c>
      <c r="C545" s="13">
        <v>240</v>
      </c>
      <c r="D545" s="6">
        <v>2264.1999999999998</v>
      </c>
      <c r="E545" s="6">
        <v>100</v>
      </c>
      <c r="F545" s="6"/>
      <c r="G545" s="6"/>
      <c r="H545" s="6"/>
      <c r="I545" s="6"/>
      <c r="J545" s="6">
        <v>97</v>
      </c>
      <c r="K545" s="6">
        <v>23280</v>
      </c>
      <c r="L545" s="6"/>
      <c r="M545" s="6"/>
      <c r="N545" s="6">
        <f t="shared" si="45"/>
        <v>97</v>
      </c>
      <c r="O545" s="6">
        <f t="shared" si="46"/>
        <v>23280</v>
      </c>
      <c r="P545" s="6"/>
      <c r="Q545" s="6"/>
      <c r="R545" s="6">
        <f t="shared" si="47"/>
        <v>89.288667078879953</v>
      </c>
      <c r="S545" s="6">
        <f t="shared" si="48"/>
        <v>21429.280098931187</v>
      </c>
    </row>
    <row r="546" spans="1:19" s="1" customFormat="1" ht="15" hidden="1" customHeight="1" outlineLevel="1" x14ac:dyDescent="0.25">
      <c r="A546" s="2" t="s">
        <v>1137</v>
      </c>
      <c r="B546" s="2" t="s">
        <v>1138</v>
      </c>
      <c r="C546" s="13">
        <v>215.96</v>
      </c>
      <c r="D546" s="6">
        <v>405.35</v>
      </c>
      <c r="E546" s="6">
        <v>100</v>
      </c>
      <c r="F546" s="6"/>
      <c r="G546" s="6"/>
      <c r="H546" s="6"/>
      <c r="I546" s="6"/>
      <c r="J546" s="6">
        <v>6</v>
      </c>
      <c r="K546" s="6">
        <v>1295.76</v>
      </c>
      <c r="L546" s="6"/>
      <c r="M546" s="6"/>
      <c r="N546" s="6">
        <f t="shared" si="45"/>
        <v>6</v>
      </c>
      <c r="O546" s="6">
        <f t="shared" si="46"/>
        <v>1295.76</v>
      </c>
      <c r="P546" s="6">
        <v>6</v>
      </c>
      <c r="Q546" s="6">
        <v>1378</v>
      </c>
      <c r="R546" s="6">
        <f t="shared" si="47"/>
        <v>3.335635870235599</v>
      </c>
      <c r="S546" s="6">
        <f t="shared" si="48"/>
        <v>720.36392253607994</v>
      </c>
    </row>
    <row r="547" spans="1:19" s="1" customFormat="1" ht="15" hidden="1" customHeight="1" outlineLevel="1" x14ac:dyDescent="0.25">
      <c r="A547" s="2" t="s">
        <v>1283</v>
      </c>
      <c r="B547" s="2" t="s">
        <v>1284</v>
      </c>
      <c r="C547" s="13">
        <v>65.680000000000007</v>
      </c>
      <c r="D547" s="6">
        <v>2104.4299999999998</v>
      </c>
      <c r="E547" s="6">
        <v>100</v>
      </c>
      <c r="F547" s="6"/>
      <c r="G547" s="6"/>
      <c r="H547" s="6">
        <v>15</v>
      </c>
      <c r="I547" s="6">
        <v>985.2</v>
      </c>
      <c r="J547" s="6">
        <v>446</v>
      </c>
      <c r="K547" s="6">
        <v>29293.279999999999</v>
      </c>
      <c r="L547" s="6"/>
      <c r="M547" s="6"/>
      <c r="N547" s="6">
        <f t="shared" si="45"/>
        <v>461</v>
      </c>
      <c r="O547" s="6">
        <f t="shared" si="46"/>
        <v>30278.480000000003</v>
      </c>
      <c r="P547" s="6">
        <v>7</v>
      </c>
      <c r="Q547" s="6">
        <v>496</v>
      </c>
      <c r="R547" s="6">
        <f t="shared" si="47"/>
        <v>407.85190289056897</v>
      </c>
      <c r="S547" s="6">
        <f t="shared" si="48"/>
        <v>26787.712981852572</v>
      </c>
    </row>
    <row r="548" spans="1:19" s="1" customFormat="1" ht="15" hidden="1" customHeight="1" outlineLevel="1" x14ac:dyDescent="0.25">
      <c r="A548" s="2" t="s">
        <v>871</v>
      </c>
      <c r="B548" s="2" t="s">
        <v>872</v>
      </c>
      <c r="C548" s="13">
        <v>111.41</v>
      </c>
      <c r="D548" s="6">
        <v>603.09</v>
      </c>
      <c r="E548" s="6">
        <v>100</v>
      </c>
      <c r="F548" s="6"/>
      <c r="G548" s="6"/>
      <c r="H548" s="6"/>
      <c r="I548" s="6"/>
      <c r="J548" s="6">
        <v>176</v>
      </c>
      <c r="K548" s="6">
        <v>19608.16</v>
      </c>
      <c r="L548" s="6"/>
      <c r="M548" s="6"/>
      <c r="N548" s="6">
        <f t="shared" si="45"/>
        <v>176</v>
      </c>
      <c r="O548" s="6">
        <f t="shared" si="46"/>
        <v>19608.16</v>
      </c>
      <c r="P548" s="6">
        <v>12</v>
      </c>
      <c r="Q548" s="6">
        <v>1360</v>
      </c>
      <c r="R548" s="6">
        <f t="shared" si="47"/>
        <v>123.47052678704671</v>
      </c>
      <c r="S548" s="6">
        <f t="shared" si="48"/>
        <v>13755.851389344873</v>
      </c>
    </row>
    <row r="549" spans="1:19" s="1" customFormat="1" ht="15" hidden="1" customHeight="1" outlineLevel="1" x14ac:dyDescent="0.25">
      <c r="A549" s="2" t="s">
        <v>1223</v>
      </c>
      <c r="B549" s="2" t="s">
        <v>1224</v>
      </c>
      <c r="C549" s="13">
        <v>154.93</v>
      </c>
      <c r="D549" s="6">
        <v>591.85</v>
      </c>
      <c r="E549" s="6">
        <v>100</v>
      </c>
      <c r="F549" s="6"/>
      <c r="G549" s="6"/>
      <c r="H549" s="6"/>
      <c r="I549" s="6"/>
      <c r="J549" s="6">
        <v>378</v>
      </c>
      <c r="K549" s="6">
        <v>58563.54</v>
      </c>
      <c r="L549" s="6"/>
      <c r="M549" s="6"/>
      <c r="N549" s="6">
        <f t="shared" si="45"/>
        <v>378</v>
      </c>
      <c r="O549" s="6">
        <f t="shared" si="46"/>
        <v>58563.54</v>
      </c>
      <c r="P549" s="6">
        <v>4</v>
      </c>
      <c r="Q549" s="6">
        <v>692</v>
      </c>
      <c r="R549" s="6">
        <f t="shared" si="47"/>
        <v>263.0384387936133</v>
      </c>
      <c r="S549" s="6">
        <f t="shared" si="48"/>
        <v>40752.545322294507</v>
      </c>
    </row>
    <row r="550" spans="1:19" s="1" customFormat="1" ht="15" hidden="1" customHeight="1" outlineLevel="1" x14ac:dyDescent="0.25">
      <c r="A550" s="2" t="s">
        <v>1165</v>
      </c>
      <c r="B550" s="2" t="s">
        <v>1166</v>
      </c>
      <c r="C550" s="13">
        <v>997.08</v>
      </c>
      <c r="D550" s="6">
        <v>11272.5</v>
      </c>
      <c r="E550" s="6">
        <v>100</v>
      </c>
      <c r="F550" s="6"/>
      <c r="G550" s="6"/>
      <c r="H550" s="6"/>
      <c r="I550" s="6"/>
      <c r="J550" s="6">
        <v>241</v>
      </c>
      <c r="K550" s="6">
        <v>240296.28</v>
      </c>
      <c r="L550" s="6"/>
      <c r="M550" s="6"/>
      <c r="N550" s="6">
        <f t="shared" si="45"/>
        <v>241</v>
      </c>
      <c r="O550" s="6">
        <f t="shared" si="46"/>
        <v>240296.28</v>
      </c>
      <c r="P550" s="6">
        <v>1</v>
      </c>
      <c r="Q550" s="6">
        <v>773</v>
      </c>
      <c r="R550" s="6">
        <f t="shared" si="47"/>
        <v>237.15169660678646</v>
      </c>
      <c r="S550" s="6">
        <f t="shared" si="48"/>
        <v>236459.21365269466</v>
      </c>
    </row>
    <row r="551" spans="1:19" s="1" customFormat="1" ht="15" hidden="1" customHeight="1" outlineLevel="1" x14ac:dyDescent="0.25">
      <c r="A551" s="2" t="s">
        <v>949</v>
      </c>
      <c r="B551" s="2" t="s">
        <v>950</v>
      </c>
      <c r="C551" s="13">
        <v>350.88</v>
      </c>
      <c r="D551" s="6">
        <v>1369.5</v>
      </c>
      <c r="E551" s="6">
        <v>100</v>
      </c>
      <c r="F551" s="6"/>
      <c r="G551" s="6"/>
      <c r="H551" s="6"/>
      <c r="I551" s="6"/>
      <c r="J551" s="6">
        <v>125</v>
      </c>
      <c r="K551" s="6">
        <v>43860</v>
      </c>
      <c r="L551" s="6"/>
      <c r="M551" s="6"/>
      <c r="N551" s="6">
        <f t="shared" si="45"/>
        <v>125</v>
      </c>
      <c r="O551" s="6">
        <f t="shared" si="46"/>
        <v>43860</v>
      </c>
      <c r="P551" s="6"/>
      <c r="Q551" s="6"/>
      <c r="R551" s="6">
        <f t="shared" si="47"/>
        <v>108.57064622124864</v>
      </c>
      <c r="S551" s="6">
        <f t="shared" si="48"/>
        <v>38095.268346111719</v>
      </c>
    </row>
    <row r="552" spans="1:19" s="1" customFormat="1" ht="15" hidden="1" customHeight="1" outlineLevel="1" x14ac:dyDescent="0.25">
      <c r="A552" s="2" t="s">
        <v>1205</v>
      </c>
      <c r="B552" s="2" t="s">
        <v>1206</v>
      </c>
      <c r="C552" s="13">
        <v>99.71</v>
      </c>
      <c r="D552" s="6"/>
      <c r="E552" s="6">
        <v>100</v>
      </c>
      <c r="F552" s="6"/>
      <c r="G552" s="6"/>
      <c r="H552" s="6"/>
      <c r="I552" s="6"/>
      <c r="J552" s="6">
        <v>135</v>
      </c>
      <c r="K552" s="6">
        <v>13460.85</v>
      </c>
      <c r="L552" s="6"/>
      <c r="M552" s="6"/>
      <c r="N552" s="6">
        <f t="shared" si="45"/>
        <v>135</v>
      </c>
      <c r="O552" s="6">
        <f t="shared" si="46"/>
        <v>13460.849999999999</v>
      </c>
      <c r="P552" s="6"/>
      <c r="Q552" s="6"/>
      <c r="R552" s="6"/>
      <c r="S552" s="6"/>
    </row>
    <row r="553" spans="1:19" s="1" customFormat="1" ht="15" hidden="1" customHeight="1" outlineLevel="1" x14ac:dyDescent="0.25">
      <c r="A553" s="2" t="s">
        <v>1023</v>
      </c>
      <c r="B553" s="2" t="s">
        <v>1024</v>
      </c>
      <c r="C553" s="13">
        <v>48.43</v>
      </c>
      <c r="D553" s="6">
        <v>529.72</v>
      </c>
      <c r="E553" s="6">
        <v>100</v>
      </c>
      <c r="F553" s="6"/>
      <c r="G553" s="6"/>
      <c r="H553" s="6">
        <v>25</v>
      </c>
      <c r="I553" s="6">
        <v>1210.75</v>
      </c>
      <c r="J553" s="6">
        <v>224</v>
      </c>
      <c r="K553" s="6">
        <v>10848.32</v>
      </c>
      <c r="L553" s="6"/>
      <c r="M553" s="6"/>
      <c r="N553" s="6">
        <f t="shared" ref="N553:N616" si="49">IF(J553+L553+H553+F553&lt;=0,"",J553+L553+H553+F553)</f>
        <v>249</v>
      </c>
      <c r="O553" s="6">
        <f t="shared" ref="O553:O616" si="50">IFERROR(C553*N553,"")</f>
        <v>12059.07</v>
      </c>
      <c r="P553" s="6">
        <v>9</v>
      </c>
      <c r="Q553" s="6">
        <v>470</v>
      </c>
      <c r="R553" s="6">
        <f t="shared" si="47"/>
        <v>147.88431624254324</v>
      </c>
      <c r="S553" s="6">
        <f t="shared" si="48"/>
        <v>7162.0374356263692</v>
      </c>
    </row>
    <row r="554" spans="1:19" s="1" customFormat="1" ht="15" hidden="1" customHeight="1" outlineLevel="1" x14ac:dyDescent="0.25">
      <c r="A554" s="2" t="s">
        <v>460</v>
      </c>
      <c r="B554" s="2" t="s">
        <v>461</v>
      </c>
      <c r="C554" s="13">
        <v>526.11</v>
      </c>
      <c r="D554" s="6">
        <v>2251.5500000000002</v>
      </c>
      <c r="E554" s="6">
        <v>100</v>
      </c>
      <c r="F554" s="6"/>
      <c r="G554" s="6"/>
      <c r="H554" s="6"/>
      <c r="I554" s="6"/>
      <c r="J554" s="6">
        <v>259</v>
      </c>
      <c r="K554" s="6">
        <v>136262.49</v>
      </c>
      <c r="L554" s="6"/>
      <c r="M554" s="6"/>
      <c r="N554" s="6">
        <f t="shared" si="49"/>
        <v>259</v>
      </c>
      <c r="O554" s="6">
        <f t="shared" si="50"/>
        <v>136262.49</v>
      </c>
      <c r="P554" s="6">
        <v>4</v>
      </c>
      <c r="Q554" s="6">
        <v>2087</v>
      </c>
      <c r="R554" s="6">
        <f t="shared" ref="R554:R617" si="51">J554/D554*(D554-180)</f>
        <v>238.29426395150008</v>
      </c>
      <c r="S554" s="6">
        <f t="shared" ref="S554:S617" si="52">R554*C554</f>
        <v>125368.99520752371</v>
      </c>
    </row>
    <row r="555" spans="1:19" s="1" customFormat="1" ht="15" hidden="1" customHeight="1" outlineLevel="1" x14ac:dyDescent="0.25">
      <c r="A555" s="2" t="s">
        <v>877</v>
      </c>
      <c r="B555" s="2" t="s">
        <v>878</v>
      </c>
      <c r="C555" s="13">
        <v>116.02</v>
      </c>
      <c r="D555" s="6">
        <v>242.44</v>
      </c>
      <c r="E555" s="6">
        <v>100</v>
      </c>
      <c r="F555" s="6"/>
      <c r="G555" s="6"/>
      <c r="H555" s="6">
        <v>20</v>
      </c>
      <c r="I555" s="6">
        <v>2320.4</v>
      </c>
      <c r="J555" s="6">
        <v>189</v>
      </c>
      <c r="K555" s="6">
        <v>21927.78</v>
      </c>
      <c r="L555" s="6"/>
      <c r="M555" s="6"/>
      <c r="N555" s="6">
        <f t="shared" si="49"/>
        <v>209</v>
      </c>
      <c r="O555" s="6">
        <f t="shared" si="50"/>
        <v>24248.18</v>
      </c>
      <c r="P555" s="6">
        <v>32</v>
      </c>
      <c r="Q555" s="6">
        <v>3808</v>
      </c>
      <c r="R555" s="6">
        <f t="shared" si="51"/>
        <v>48.676621019633721</v>
      </c>
      <c r="S555" s="6">
        <f t="shared" si="52"/>
        <v>5647.4615706979039</v>
      </c>
    </row>
    <row r="556" spans="1:19" s="1" customFormat="1" ht="15" hidden="1" customHeight="1" outlineLevel="1" x14ac:dyDescent="0.25">
      <c r="A556" s="2" t="s">
        <v>588</v>
      </c>
      <c r="B556" s="2" t="s">
        <v>589</v>
      </c>
      <c r="C556" s="13">
        <v>622.19000000000005</v>
      </c>
      <c r="D556" s="6">
        <v>755</v>
      </c>
      <c r="E556" s="6">
        <v>100</v>
      </c>
      <c r="F556" s="6"/>
      <c r="G556" s="6"/>
      <c r="H556" s="6">
        <v>3</v>
      </c>
      <c r="I556" s="6">
        <v>1866.57</v>
      </c>
      <c r="J556" s="6">
        <v>68</v>
      </c>
      <c r="K556" s="6">
        <v>42308.92</v>
      </c>
      <c r="L556" s="6"/>
      <c r="M556" s="6"/>
      <c r="N556" s="6">
        <f t="shared" si="49"/>
        <v>71</v>
      </c>
      <c r="O556" s="6">
        <f t="shared" si="50"/>
        <v>44175.490000000005</v>
      </c>
      <c r="P556" s="6">
        <v>2</v>
      </c>
      <c r="Q556" s="6">
        <v>1223</v>
      </c>
      <c r="R556" s="6">
        <f t="shared" si="51"/>
        <v>51.788079470198674</v>
      </c>
      <c r="S556" s="6">
        <f t="shared" si="52"/>
        <v>32222.025165562914</v>
      </c>
    </row>
    <row r="557" spans="1:19" s="1" customFormat="1" ht="15" hidden="1" customHeight="1" outlineLevel="1" x14ac:dyDescent="0.25">
      <c r="A557" s="2" t="s">
        <v>1143</v>
      </c>
      <c r="B557" s="2" t="s">
        <v>1144</v>
      </c>
      <c r="C557" s="13">
        <v>257.08</v>
      </c>
      <c r="D557" s="6">
        <v>4471.5</v>
      </c>
      <c r="E557" s="6">
        <v>100</v>
      </c>
      <c r="F557" s="6"/>
      <c r="G557" s="6"/>
      <c r="H557" s="6"/>
      <c r="I557" s="6"/>
      <c r="J557" s="6">
        <v>63</v>
      </c>
      <c r="K557" s="6">
        <v>16196.04</v>
      </c>
      <c r="L557" s="6"/>
      <c r="M557" s="6"/>
      <c r="N557" s="6">
        <f t="shared" si="49"/>
        <v>63</v>
      </c>
      <c r="O557" s="6">
        <f t="shared" si="50"/>
        <v>16196.039999999999</v>
      </c>
      <c r="P557" s="6">
        <v>1</v>
      </c>
      <c r="Q557" s="6">
        <v>179</v>
      </c>
      <c r="R557" s="6">
        <f t="shared" si="51"/>
        <v>60.463938275746393</v>
      </c>
      <c r="S557" s="6">
        <f t="shared" si="52"/>
        <v>15544.069251928882</v>
      </c>
    </row>
    <row r="558" spans="1:19" s="1" customFormat="1" ht="15" hidden="1" customHeight="1" outlineLevel="1" x14ac:dyDescent="0.25">
      <c r="A558" s="2" t="s">
        <v>536</v>
      </c>
      <c r="B558" s="2" t="s">
        <v>537</v>
      </c>
      <c r="C558" s="13">
        <v>350</v>
      </c>
      <c r="D558" s="6"/>
      <c r="E558" s="6">
        <v>16.13</v>
      </c>
      <c r="F558" s="6"/>
      <c r="G558" s="6"/>
      <c r="H558" s="6"/>
      <c r="I558" s="6"/>
      <c r="J558" s="6"/>
      <c r="K558" s="6"/>
      <c r="L558" s="6"/>
      <c r="M558" s="6"/>
      <c r="N558" s="6" t="str">
        <f t="shared" si="49"/>
        <v/>
      </c>
      <c r="O558" s="6" t="str">
        <f t="shared" si="50"/>
        <v/>
      </c>
      <c r="P558" s="6">
        <v>0</v>
      </c>
      <c r="Q558" s="6">
        <v>-343</v>
      </c>
      <c r="R558" s="6"/>
      <c r="S558" s="6"/>
    </row>
    <row r="559" spans="1:19" s="1" customFormat="1" ht="15" hidden="1" customHeight="1" outlineLevel="1" x14ac:dyDescent="0.25">
      <c r="A559" s="2" t="s">
        <v>1267</v>
      </c>
      <c r="B559" s="2" t="s">
        <v>1268</v>
      </c>
      <c r="C559" s="13">
        <v>27.99</v>
      </c>
      <c r="D559" s="6">
        <v>348.46</v>
      </c>
      <c r="E559" s="6">
        <v>64.52</v>
      </c>
      <c r="F559" s="6"/>
      <c r="G559" s="6"/>
      <c r="H559" s="6"/>
      <c r="I559" s="6"/>
      <c r="J559" s="6">
        <v>475</v>
      </c>
      <c r="K559" s="6">
        <v>13295.25</v>
      </c>
      <c r="L559" s="6"/>
      <c r="M559" s="6"/>
      <c r="N559" s="6">
        <f t="shared" si="49"/>
        <v>475</v>
      </c>
      <c r="O559" s="6">
        <f t="shared" si="50"/>
        <v>13295.25</v>
      </c>
      <c r="P559" s="6">
        <v>14</v>
      </c>
      <c r="Q559" s="6">
        <v>400</v>
      </c>
      <c r="R559" s="6">
        <f t="shared" si="51"/>
        <v>229.6346782988004</v>
      </c>
      <c r="S559" s="6">
        <f t="shared" si="52"/>
        <v>6427.4746455834229</v>
      </c>
    </row>
    <row r="560" spans="1:19" s="1" customFormat="1" ht="15" hidden="1" customHeight="1" outlineLevel="1" x14ac:dyDescent="0.25">
      <c r="A560" s="2" t="s">
        <v>1327</v>
      </c>
      <c r="B560" s="2" t="s">
        <v>1328</v>
      </c>
      <c r="C560" s="13">
        <v>553.98</v>
      </c>
      <c r="D560" s="6"/>
      <c r="E560" s="6">
        <v>100</v>
      </c>
      <c r="F560" s="6"/>
      <c r="G560" s="6"/>
      <c r="H560" s="6"/>
      <c r="I560" s="6"/>
      <c r="J560" s="6">
        <v>124</v>
      </c>
      <c r="K560" s="6">
        <v>68693.52</v>
      </c>
      <c r="L560" s="6"/>
      <c r="M560" s="6"/>
      <c r="N560" s="6">
        <f t="shared" si="49"/>
        <v>124</v>
      </c>
      <c r="O560" s="6">
        <f t="shared" si="50"/>
        <v>68693.52</v>
      </c>
      <c r="P560" s="6"/>
      <c r="Q560" s="6"/>
      <c r="R560" s="6"/>
      <c r="S560" s="6"/>
    </row>
    <row r="561" spans="1:19" s="1" customFormat="1" ht="15" hidden="1" customHeight="1" outlineLevel="1" x14ac:dyDescent="0.25">
      <c r="A561" s="2" t="s">
        <v>1123</v>
      </c>
      <c r="B561" s="2" t="s">
        <v>1124</v>
      </c>
      <c r="C561" s="13">
        <v>437.18</v>
      </c>
      <c r="D561" s="6">
        <v>592.77</v>
      </c>
      <c r="E561" s="6">
        <v>100</v>
      </c>
      <c r="F561" s="6"/>
      <c r="G561" s="6"/>
      <c r="H561" s="6"/>
      <c r="I561" s="6"/>
      <c r="J561" s="6">
        <v>50</v>
      </c>
      <c r="K561" s="6">
        <v>21859</v>
      </c>
      <c r="L561" s="6"/>
      <c r="M561" s="6"/>
      <c r="N561" s="6">
        <f t="shared" si="49"/>
        <v>50</v>
      </c>
      <c r="O561" s="6">
        <f t="shared" si="50"/>
        <v>21859</v>
      </c>
      <c r="P561" s="6">
        <v>4</v>
      </c>
      <c r="Q561" s="6">
        <v>1592</v>
      </c>
      <c r="R561" s="6">
        <f t="shared" si="51"/>
        <v>34.817045397034263</v>
      </c>
      <c r="S561" s="6">
        <f t="shared" si="52"/>
        <v>15221.31590667544</v>
      </c>
    </row>
    <row r="562" spans="1:19" s="1" customFormat="1" ht="15" hidden="1" customHeight="1" outlineLevel="1" x14ac:dyDescent="0.25">
      <c r="A562" s="2" t="s">
        <v>732</v>
      </c>
      <c r="B562" s="2" t="s">
        <v>733</v>
      </c>
      <c r="C562" s="13">
        <v>208.45</v>
      </c>
      <c r="D562" s="6">
        <v>387</v>
      </c>
      <c r="E562" s="6">
        <v>100</v>
      </c>
      <c r="F562" s="6"/>
      <c r="G562" s="6"/>
      <c r="H562" s="6">
        <v>1</v>
      </c>
      <c r="I562" s="6">
        <v>208.45</v>
      </c>
      <c r="J562" s="6">
        <v>260</v>
      </c>
      <c r="K562" s="6">
        <v>54197</v>
      </c>
      <c r="L562" s="6"/>
      <c r="M562" s="6"/>
      <c r="N562" s="6">
        <f t="shared" si="49"/>
        <v>261</v>
      </c>
      <c r="O562" s="6">
        <f t="shared" si="50"/>
        <v>54405.45</v>
      </c>
      <c r="P562" s="6">
        <v>5</v>
      </c>
      <c r="Q562" s="6">
        <v>1085</v>
      </c>
      <c r="R562" s="6">
        <f t="shared" si="51"/>
        <v>139.06976744186048</v>
      </c>
      <c r="S562" s="6">
        <f t="shared" si="52"/>
        <v>28989.093023255817</v>
      </c>
    </row>
    <row r="563" spans="1:19" s="1" customFormat="1" ht="15" hidden="1" customHeight="1" outlineLevel="1" x14ac:dyDescent="0.25">
      <c r="A563" s="2" t="s">
        <v>1295</v>
      </c>
      <c r="B563" s="2" t="s">
        <v>1296</v>
      </c>
      <c r="C563" s="13">
        <v>89.43</v>
      </c>
      <c r="D563" s="6">
        <v>729.05</v>
      </c>
      <c r="E563" s="6">
        <v>100</v>
      </c>
      <c r="F563" s="6"/>
      <c r="G563" s="6"/>
      <c r="H563" s="6">
        <v>6</v>
      </c>
      <c r="I563" s="6">
        <v>536.58000000000004</v>
      </c>
      <c r="J563" s="6">
        <v>304</v>
      </c>
      <c r="K563" s="6">
        <v>27186.720000000001</v>
      </c>
      <c r="L563" s="6"/>
      <c r="M563" s="6"/>
      <c r="N563" s="6">
        <f t="shared" si="49"/>
        <v>310</v>
      </c>
      <c r="O563" s="6">
        <f t="shared" si="50"/>
        <v>27723.300000000003</v>
      </c>
      <c r="P563" s="6">
        <v>8</v>
      </c>
      <c r="Q563" s="6">
        <v>717</v>
      </c>
      <c r="R563" s="6">
        <f t="shared" si="51"/>
        <v>228.94341951855154</v>
      </c>
      <c r="S563" s="6">
        <f t="shared" si="52"/>
        <v>20474.410007544066</v>
      </c>
    </row>
    <row r="564" spans="1:19" s="1" customFormat="1" ht="15" hidden="1" customHeight="1" outlineLevel="1" x14ac:dyDescent="0.25">
      <c r="A564" s="2" t="s">
        <v>1221</v>
      </c>
      <c r="B564" s="2" t="s">
        <v>1222</v>
      </c>
      <c r="C564" s="13">
        <v>114.56</v>
      </c>
      <c r="D564" s="6">
        <v>9</v>
      </c>
      <c r="E564" s="6">
        <v>10.75</v>
      </c>
      <c r="F564" s="6"/>
      <c r="G564" s="6"/>
      <c r="H564" s="6"/>
      <c r="I564" s="6"/>
      <c r="J564" s="6">
        <v>1400</v>
      </c>
      <c r="K564" s="6">
        <v>160384</v>
      </c>
      <c r="L564" s="6"/>
      <c r="M564" s="6"/>
      <c r="N564" s="6">
        <f t="shared" si="49"/>
        <v>1400</v>
      </c>
      <c r="O564" s="6">
        <f t="shared" si="50"/>
        <v>160384</v>
      </c>
      <c r="P564" s="6"/>
      <c r="Q564" s="6"/>
      <c r="R564" s="6"/>
      <c r="S564" s="6"/>
    </row>
    <row r="565" spans="1:19" s="1" customFormat="1" ht="15" hidden="1" customHeight="1" outlineLevel="1" x14ac:dyDescent="0.25">
      <c r="A565" s="2" t="s">
        <v>903</v>
      </c>
      <c r="B565" s="2" t="s">
        <v>904</v>
      </c>
      <c r="C565" s="13">
        <v>185</v>
      </c>
      <c r="D565" s="6">
        <v>316.02999999999997</v>
      </c>
      <c r="E565" s="6">
        <v>100</v>
      </c>
      <c r="F565" s="6"/>
      <c r="G565" s="6"/>
      <c r="H565" s="6">
        <v>10</v>
      </c>
      <c r="I565" s="6">
        <v>1850</v>
      </c>
      <c r="J565" s="6">
        <v>102</v>
      </c>
      <c r="K565" s="6">
        <v>18870</v>
      </c>
      <c r="L565" s="6"/>
      <c r="M565" s="6"/>
      <c r="N565" s="6">
        <f t="shared" si="49"/>
        <v>112</v>
      </c>
      <c r="O565" s="6">
        <f t="shared" si="50"/>
        <v>20720</v>
      </c>
      <c r="P565" s="6">
        <v>12</v>
      </c>
      <c r="Q565" s="6">
        <v>2332</v>
      </c>
      <c r="R565" s="6">
        <f t="shared" si="51"/>
        <v>43.904249596557285</v>
      </c>
      <c r="S565" s="6">
        <f t="shared" si="52"/>
        <v>8122.2861753630978</v>
      </c>
    </row>
    <row r="566" spans="1:19" s="1" customFormat="1" ht="15" hidden="1" customHeight="1" outlineLevel="1" x14ac:dyDescent="0.25">
      <c r="A566" s="2" t="s">
        <v>632</v>
      </c>
      <c r="B566" s="2" t="s">
        <v>633</v>
      </c>
      <c r="C566" s="13">
        <v>97.83</v>
      </c>
      <c r="D566" s="6">
        <v>373.18</v>
      </c>
      <c r="E566" s="6">
        <v>100</v>
      </c>
      <c r="F566" s="6"/>
      <c r="G566" s="6"/>
      <c r="H566" s="6"/>
      <c r="I566" s="6"/>
      <c r="J566" s="6">
        <v>406</v>
      </c>
      <c r="K566" s="6">
        <v>39718.980000000003</v>
      </c>
      <c r="L566" s="6"/>
      <c r="M566" s="6"/>
      <c r="N566" s="6">
        <f t="shared" si="49"/>
        <v>406</v>
      </c>
      <c r="O566" s="6">
        <f t="shared" si="50"/>
        <v>39718.979999999996</v>
      </c>
      <c r="P566" s="6">
        <v>28</v>
      </c>
      <c r="Q566" s="6">
        <v>2825</v>
      </c>
      <c r="R566" s="6">
        <f t="shared" si="51"/>
        <v>210.16956964467548</v>
      </c>
      <c r="S566" s="6">
        <f t="shared" si="52"/>
        <v>20560.8889983386</v>
      </c>
    </row>
    <row r="567" spans="1:19" s="1" customFormat="1" ht="15" hidden="1" customHeight="1" outlineLevel="1" x14ac:dyDescent="0.25">
      <c r="A567" s="2" t="s">
        <v>1341</v>
      </c>
      <c r="B567" s="2" t="s">
        <v>1342</v>
      </c>
      <c r="C567" s="13">
        <v>255.43</v>
      </c>
      <c r="D567" s="6">
        <v>359.87</v>
      </c>
      <c r="E567" s="6">
        <v>66.67</v>
      </c>
      <c r="F567" s="6"/>
      <c r="G567" s="6"/>
      <c r="H567" s="6">
        <v>12</v>
      </c>
      <c r="I567" s="6">
        <v>3065.16</v>
      </c>
      <c r="J567" s="6">
        <v>323</v>
      </c>
      <c r="K567" s="6">
        <v>82503.89</v>
      </c>
      <c r="L567" s="6"/>
      <c r="M567" s="6"/>
      <c r="N567" s="6">
        <f t="shared" si="49"/>
        <v>335</v>
      </c>
      <c r="O567" s="6">
        <f t="shared" si="50"/>
        <v>85569.05</v>
      </c>
      <c r="P567" s="6">
        <v>28</v>
      </c>
      <c r="Q567" s="6">
        <v>7472</v>
      </c>
      <c r="R567" s="6">
        <f t="shared" si="51"/>
        <v>161.4416594881485</v>
      </c>
      <c r="S567" s="6">
        <f t="shared" si="52"/>
        <v>41237.043083057775</v>
      </c>
    </row>
    <row r="568" spans="1:19" s="1" customFormat="1" ht="15" hidden="1" customHeight="1" outlineLevel="1" x14ac:dyDescent="0.25">
      <c r="A568" s="2" t="s">
        <v>1255</v>
      </c>
      <c r="B568" s="2" t="s">
        <v>1256</v>
      </c>
      <c r="C568" s="13">
        <v>56.72</v>
      </c>
      <c r="D568" s="6">
        <v>519.5</v>
      </c>
      <c r="E568" s="6">
        <v>66.67</v>
      </c>
      <c r="F568" s="6"/>
      <c r="G568" s="6"/>
      <c r="H568" s="6">
        <v>210</v>
      </c>
      <c r="I568" s="6">
        <v>11911.2</v>
      </c>
      <c r="J568" s="6">
        <v>130</v>
      </c>
      <c r="K568" s="6">
        <v>7373.6</v>
      </c>
      <c r="L568" s="6"/>
      <c r="M568" s="6"/>
      <c r="N568" s="6">
        <f t="shared" si="49"/>
        <v>340</v>
      </c>
      <c r="O568" s="6">
        <f t="shared" si="50"/>
        <v>19284.8</v>
      </c>
      <c r="P568" s="6">
        <v>20</v>
      </c>
      <c r="Q568" s="6">
        <v>1135</v>
      </c>
      <c r="R568" s="6">
        <f t="shared" si="51"/>
        <v>84.956689124157847</v>
      </c>
      <c r="S568" s="6">
        <f t="shared" si="52"/>
        <v>4818.7434071222333</v>
      </c>
    </row>
    <row r="569" spans="1:19" s="1" customFormat="1" ht="15" hidden="1" customHeight="1" outlineLevel="1" x14ac:dyDescent="0.25">
      <c r="A569" s="2" t="s">
        <v>1293</v>
      </c>
      <c r="B569" s="2" t="s">
        <v>1294</v>
      </c>
      <c r="C569" s="13">
        <v>88.04</v>
      </c>
      <c r="D569" s="6">
        <v>49.42</v>
      </c>
      <c r="E569" s="6">
        <v>80.650000000000006</v>
      </c>
      <c r="F569" s="6"/>
      <c r="G569" s="6"/>
      <c r="H569" s="6"/>
      <c r="I569" s="6"/>
      <c r="J569" s="6"/>
      <c r="K569" s="6"/>
      <c r="L569" s="6"/>
      <c r="M569" s="6"/>
      <c r="N569" s="6" t="str">
        <f t="shared" si="49"/>
        <v/>
      </c>
      <c r="O569" s="6" t="str">
        <f t="shared" si="50"/>
        <v/>
      </c>
      <c r="P569" s="6">
        <v>13</v>
      </c>
      <c r="Q569" s="6">
        <v>1155</v>
      </c>
      <c r="R569" s="6"/>
      <c r="S569" s="6"/>
    </row>
    <row r="570" spans="1:19" s="1" customFormat="1" ht="15" hidden="1" customHeight="1" outlineLevel="1" x14ac:dyDescent="0.25">
      <c r="A570" s="2" t="s">
        <v>913</v>
      </c>
      <c r="B570" s="2" t="s">
        <v>914</v>
      </c>
      <c r="C570" s="13">
        <v>204</v>
      </c>
      <c r="D570" s="6">
        <v>442.29</v>
      </c>
      <c r="E570" s="6">
        <v>100</v>
      </c>
      <c r="F570" s="6"/>
      <c r="G570" s="6"/>
      <c r="H570" s="6"/>
      <c r="I570" s="6"/>
      <c r="J570" s="6">
        <v>47</v>
      </c>
      <c r="K570" s="6">
        <v>9588</v>
      </c>
      <c r="L570" s="6"/>
      <c r="M570" s="6"/>
      <c r="N570" s="6">
        <f t="shared" si="49"/>
        <v>47</v>
      </c>
      <c r="O570" s="6">
        <f t="shared" si="50"/>
        <v>9588</v>
      </c>
      <c r="P570" s="6">
        <v>6</v>
      </c>
      <c r="Q570" s="6">
        <v>1279</v>
      </c>
      <c r="R570" s="6">
        <f t="shared" si="51"/>
        <v>27.872278369395648</v>
      </c>
      <c r="S570" s="6">
        <f t="shared" si="52"/>
        <v>5685.9447873567124</v>
      </c>
    </row>
    <row r="571" spans="1:19" s="1" customFormat="1" ht="15" hidden="1" customHeight="1" outlineLevel="1" x14ac:dyDescent="0.25">
      <c r="A571" s="2" t="s">
        <v>766</v>
      </c>
      <c r="B571" s="2" t="s">
        <v>767</v>
      </c>
      <c r="C571" s="13">
        <v>62.9</v>
      </c>
      <c r="D571" s="6">
        <v>11801.72</v>
      </c>
      <c r="E571" s="6">
        <v>100</v>
      </c>
      <c r="F571" s="6"/>
      <c r="G571" s="6"/>
      <c r="H571" s="6">
        <v>15</v>
      </c>
      <c r="I571" s="6">
        <v>943.5</v>
      </c>
      <c r="J571" s="6">
        <v>2261</v>
      </c>
      <c r="K571" s="6">
        <v>142216.9</v>
      </c>
      <c r="L571" s="6"/>
      <c r="M571" s="6"/>
      <c r="N571" s="6">
        <f t="shared" si="49"/>
        <v>2276</v>
      </c>
      <c r="O571" s="6">
        <f t="shared" si="50"/>
        <v>143160.4</v>
      </c>
      <c r="P571" s="6">
        <v>6</v>
      </c>
      <c r="Q571" s="6">
        <v>392</v>
      </c>
      <c r="R571" s="6">
        <f t="shared" si="51"/>
        <v>2226.5151960900616</v>
      </c>
      <c r="S571" s="6">
        <f t="shared" si="52"/>
        <v>140047.80583406487</v>
      </c>
    </row>
    <row r="572" spans="1:19" s="1" customFormat="1" ht="15" hidden="1" customHeight="1" outlineLevel="1" x14ac:dyDescent="0.25">
      <c r="A572" s="2" t="s">
        <v>997</v>
      </c>
      <c r="B572" s="2" t="s">
        <v>998</v>
      </c>
      <c r="C572" s="13">
        <v>120.5</v>
      </c>
      <c r="D572" s="6">
        <v>204.4</v>
      </c>
      <c r="E572" s="6">
        <v>100</v>
      </c>
      <c r="F572" s="6"/>
      <c r="G572" s="6"/>
      <c r="H572" s="6"/>
      <c r="I572" s="6"/>
      <c r="J572" s="6">
        <v>82</v>
      </c>
      <c r="K572" s="6">
        <v>9881</v>
      </c>
      <c r="L572" s="6"/>
      <c r="M572" s="6"/>
      <c r="N572" s="6">
        <f t="shared" si="49"/>
        <v>82</v>
      </c>
      <c r="O572" s="6">
        <f t="shared" si="50"/>
        <v>9881</v>
      </c>
      <c r="P572" s="6">
        <v>13</v>
      </c>
      <c r="Q572" s="6">
        <v>1681</v>
      </c>
      <c r="R572" s="6">
        <f t="shared" si="51"/>
        <v>9.7886497064579281</v>
      </c>
      <c r="S572" s="6">
        <f t="shared" si="52"/>
        <v>1179.5322896281803</v>
      </c>
    </row>
    <row r="573" spans="1:19" s="1" customFormat="1" ht="15" hidden="1" customHeight="1" outlineLevel="1" x14ac:dyDescent="0.25">
      <c r="A573" s="2" t="s">
        <v>909</v>
      </c>
      <c r="B573" s="2" t="s">
        <v>910</v>
      </c>
      <c r="C573" s="13">
        <v>137</v>
      </c>
      <c r="D573" s="6">
        <v>3068</v>
      </c>
      <c r="E573" s="6">
        <v>100</v>
      </c>
      <c r="F573" s="6"/>
      <c r="G573" s="6"/>
      <c r="H573" s="6"/>
      <c r="I573" s="6"/>
      <c r="J573" s="6">
        <v>98</v>
      </c>
      <c r="K573" s="6">
        <v>13426</v>
      </c>
      <c r="L573" s="6"/>
      <c r="M573" s="6"/>
      <c r="N573" s="6">
        <f t="shared" si="49"/>
        <v>98</v>
      </c>
      <c r="O573" s="6">
        <f t="shared" si="50"/>
        <v>13426</v>
      </c>
      <c r="P573" s="6">
        <v>1</v>
      </c>
      <c r="Q573" s="6">
        <v>151</v>
      </c>
      <c r="R573" s="6">
        <f t="shared" si="51"/>
        <v>92.250325945241201</v>
      </c>
      <c r="S573" s="6">
        <f t="shared" si="52"/>
        <v>12638.294654498044</v>
      </c>
    </row>
    <row r="574" spans="1:19" s="1" customFormat="1" ht="15" hidden="1" customHeight="1" outlineLevel="1" x14ac:dyDescent="0.25">
      <c r="A574" s="2" t="s">
        <v>664</v>
      </c>
      <c r="B574" s="2" t="s">
        <v>665</v>
      </c>
      <c r="C574" s="13">
        <v>544.6</v>
      </c>
      <c r="D574" s="6">
        <v>1241</v>
      </c>
      <c r="E574" s="6">
        <v>100</v>
      </c>
      <c r="F574" s="6"/>
      <c r="G574" s="6"/>
      <c r="H574" s="6"/>
      <c r="I574" s="6"/>
      <c r="J574" s="6">
        <v>48</v>
      </c>
      <c r="K574" s="6">
        <v>26140.799999999999</v>
      </c>
      <c r="L574" s="6"/>
      <c r="M574" s="6"/>
      <c r="N574" s="6">
        <f t="shared" si="49"/>
        <v>48</v>
      </c>
      <c r="O574" s="6">
        <f t="shared" si="50"/>
        <v>26140.800000000003</v>
      </c>
      <c r="P574" s="6">
        <v>1</v>
      </c>
      <c r="Q574" s="6">
        <v>595</v>
      </c>
      <c r="R574" s="6">
        <f t="shared" si="51"/>
        <v>41.037872683319904</v>
      </c>
      <c r="S574" s="6">
        <f t="shared" si="52"/>
        <v>22349.225463336021</v>
      </c>
    </row>
    <row r="575" spans="1:19" s="1" customFormat="1" ht="15" hidden="1" customHeight="1" outlineLevel="1" x14ac:dyDescent="0.25">
      <c r="A575" s="2" t="s">
        <v>1209</v>
      </c>
      <c r="B575" s="2" t="s">
        <v>1210</v>
      </c>
      <c r="C575" s="13">
        <v>381.32</v>
      </c>
      <c r="D575" s="6">
        <v>4279.6000000000004</v>
      </c>
      <c r="E575" s="6">
        <v>100</v>
      </c>
      <c r="F575" s="6"/>
      <c r="G575" s="6"/>
      <c r="H575" s="6"/>
      <c r="I575" s="6"/>
      <c r="J575" s="6">
        <v>455</v>
      </c>
      <c r="K575" s="6">
        <v>173500.6</v>
      </c>
      <c r="L575" s="6"/>
      <c r="M575" s="6"/>
      <c r="N575" s="6">
        <f t="shared" si="49"/>
        <v>455</v>
      </c>
      <c r="O575" s="6">
        <f t="shared" si="50"/>
        <v>173500.6</v>
      </c>
      <c r="P575" s="6">
        <v>3</v>
      </c>
      <c r="Q575" s="6">
        <v>1089</v>
      </c>
      <c r="R575" s="6">
        <f t="shared" si="51"/>
        <v>435.86269744835965</v>
      </c>
      <c r="S575" s="6">
        <f t="shared" si="52"/>
        <v>166203.1637910085</v>
      </c>
    </row>
    <row r="576" spans="1:19" s="1" customFormat="1" ht="15" hidden="1" customHeight="1" outlineLevel="1" x14ac:dyDescent="0.25">
      <c r="A576" s="2" t="s">
        <v>1259</v>
      </c>
      <c r="B576" s="2" t="s">
        <v>1260</v>
      </c>
      <c r="C576" s="13">
        <v>56.75</v>
      </c>
      <c r="D576" s="6">
        <v>489.93</v>
      </c>
      <c r="E576" s="6">
        <v>100</v>
      </c>
      <c r="F576" s="6"/>
      <c r="G576" s="6"/>
      <c r="H576" s="6">
        <v>110</v>
      </c>
      <c r="I576" s="6">
        <v>6242.5</v>
      </c>
      <c r="J576" s="6">
        <v>414</v>
      </c>
      <c r="K576" s="6">
        <v>23494.5</v>
      </c>
      <c r="L576" s="6">
        <v>400</v>
      </c>
      <c r="M576" s="6">
        <v>22700</v>
      </c>
      <c r="N576" s="6">
        <f t="shared" si="49"/>
        <v>924</v>
      </c>
      <c r="O576" s="6">
        <f t="shared" si="50"/>
        <v>52437</v>
      </c>
      <c r="P576" s="6">
        <v>27</v>
      </c>
      <c r="Q576" s="6">
        <v>1533</v>
      </c>
      <c r="R576" s="6">
        <f t="shared" si="51"/>
        <v>261.89663829526665</v>
      </c>
      <c r="S576" s="6">
        <f t="shared" si="52"/>
        <v>14862.634223256382</v>
      </c>
    </row>
    <row r="577" spans="1:19" s="1" customFormat="1" ht="15" hidden="1" customHeight="1" outlineLevel="1" x14ac:dyDescent="0.25">
      <c r="A577" s="2" t="s">
        <v>1031</v>
      </c>
      <c r="B577" s="2" t="s">
        <v>1032</v>
      </c>
      <c r="C577" s="13">
        <v>47.94</v>
      </c>
      <c r="D577" s="6">
        <v>1209.71</v>
      </c>
      <c r="E577" s="6">
        <v>100</v>
      </c>
      <c r="F577" s="6">
        <v>20</v>
      </c>
      <c r="G577" s="6">
        <v>958.8</v>
      </c>
      <c r="H577" s="6">
        <v>25</v>
      </c>
      <c r="I577" s="6">
        <v>1198.5</v>
      </c>
      <c r="J577" s="6">
        <v>770</v>
      </c>
      <c r="K577" s="6">
        <v>36913.800000000003</v>
      </c>
      <c r="L577" s="6"/>
      <c r="M577" s="6"/>
      <c r="N577" s="6">
        <f t="shared" si="49"/>
        <v>815</v>
      </c>
      <c r="O577" s="6">
        <f t="shared" si="50"/>
        <v>39071.1</v>
      </c>
      <c r="P577" s="6">
        <v>17</v>
      </c>
      <c r="Q577" s="6">
        <v>836</v>
      </c>
      <c r="R577" s="6">
        <f t="shared" si="51"/>
        <v>655.42708583048829</v>
      </c>
      <c r="S577" s="6">
        <f t="shared" si="52"/>
        <v>31421.174494713607</v>
      </c>
    </row>
    <row r="578" spans="1:19" s="1" customFormat="1" ht="15" hidden="1" customHeight="1" outlineLevel="1" x14ac:dyDescent="0.25">
      <c r="A578" s="2" t="s">
        <v>754</v>
      </c>
      <c r="B578" s="2" t="s">
        <v>755</v>
      </c>
      <c r="C578" s="13">
        <v>55.58</v>
      </c>
      <c r="D578" s="6">
        <v>184.2</v>
      </c>
      <c r="E578" s="6">
        <v>100</v>
      </c>
      <c r="F578" s="6"/>
      <c r="G578" s="6"/>
      <c r="H578" s="6">
        <v>210</v>
      </c>
      <c r="I578" s="6">
        <v>11671.8</v>
      </c>
      <c r="J578" s="6">
        <v>57</v>
      </c>
      <c r="K578" s="6">
        <v>3168.06</v>
      </c>
      <c r="L578" s="6">
        <v>800</v>
      </c>
      <c r="M578" s="6">
        <v>44464</v>
      </c>
      <c r="N578" s="6">
        <f t="shared" si="49"/>
        <v>1067</v>
      </c>
      <c r="O578" s="6">
        <f t="shared" si="50"/>
        <v>59303.86</v>
      </c>
      <c r="P578" s="6">
        <v>53</v>
      </c>
      <c r="Q578" s="6">
        <v>2951</v>
      </c>
      <c r="R578" s="6">
        <f t="shared" si="51"/>
        <v>1.2996742671009738</v>
      </c>
      <c r="S578" s="6">
        <f t="shared" si="52"/>
        <v>72.235895765472122</v>
      </c>
    </row>
    <row r="579" spans="1:19" s="1" customFormat="1" ht="15" hidden="1" customHeight="1" outlineLevel="1" x14ac:dyDescent="0.25">
      <c r="A579" s="2" t="s">
        <v>927</v>
      </c>
      <c r="B579" s="2" t="s">
        <v>928</v>
      </c>
      <c r="C579" s="13">
        <v>265.3</v>
      </c>
      <c r="D579" s="6">
        <v>724.6</v>
      </c>
      <c r="E579" s="6">
        <v>100</v>
      </c>
      <c r="F579" s="6"/>
      <c r="G579" s="6"/>
      <c r="H579" s="6"/>
      <c r="I579" s="6"/>
      <c r="J579" s="6">
        <v>62</v>
      </c>
      <c r="K579" s="6">
        <v>16448.599999999999</v>
      </c>
      <c r="L579" s="6"/>
      <c r="M579" s="6"/>
      <c r="N579" s="6">
        <f t="shared" si="49"/>
        <v>62</v>
      </c>
      <c r="O579" s="6">
        <f t="shared" si="50"/>
        <v>16448.600000000002</v>
      </c>
      <c r="P579" s="6">
        <v>3</v>
      </c>
      <c r="Q579" s="6">
        <v>933</v>
      </c>
      <c r="R579" s="6">
        <f t="shared" si="51"/>
        <v>46.598399116754074</v>
      </c>
      <c r="S579" s="6">
        <f t="shared" si="52"/>
        <v>12362.555285674856</v>
      </c>
    </row>
    <row r="580" spans="1:19" s="1" customFormat="1" ht="15" hidden="1" customHeight="1" outlineLevel="1" x14ac:dyDescent="0.25">
      <c r="A580" s="2" t="s">
        <v>851</v>
      </c>
      <c r="B580" s="2" t="s">
        <v>852</v>
      </c>
      <c r="C580" s="13">
        <v>1141.26</v>
      </c>
      <c r="D580" s="6"/>
      <c r="E580" s="6">
        <v>100</v>
      </c>
      <c r="F580" s="6"/>
      <c r="G580" s="6"/>
      <c r="H580" s="6"/>
      <c r="I580" s="6"/>
      <c r="J580" s="6">
        <v>291</v>
      </c>
      <c r="K580" s="6">
        <v>332106.65999999997</v>
      </c>
      <c r="L580" s="6"/>
      <c r="M580" s="6"/>
      <c r="N580" s="6">
        <f t="shared" si="49"/>
        <v>291</v>
      </c>
      <c r="O580" s="6">
        <f t="shared" si="50"/>
        <v>332106.65999999997</v>
      </c>
      <c r="P580" s="6"/>
      <c r="Q580" s="6"/>
      <c r="R580" s="6"/>
      <c r="S580" s="6"/>
    </row>
    <row r="581" spans="1:19" s="1" customFormat="1" ht="15" hidden="1" customHeight="1" outlineLevel="1" x14ac:dyDescent="0.25">
      <c r="A581" s="2" t="s">
        <v>484</v>
      </c>
      <c r="B581" s="2" t="s">
        <v>485</v>
      </c>
      <c r="C581" s="13">
        <v>116.13</v>
      </c>
      <c r="D581" s="6">
        <v>790.96</v>
      </c>
      <c r="E581" s="6">
        <v>100</v>
      </c>
      <c r="F581" s="6"/>
      <c r="G581" s="6"/>
      <c r="H581" s="6">
        <v>20</v>
      </c>
      <c r="I581" s="6">
        <v>2322.6</v>
      </c>
      <c r="J581" s="6">
        <v>106</v>
      </c>
      <c r="K581" s="6">
        <v>12309.78</v>
      </c>
      <c r="L581" s="6"/>
      <c r="M581" s="6"/>
      <c r="N581" s="6">
        <f t="shared" si="49"/>
        <v>126</v>
      </c>
      <c r="O581" s="6">
        <f t="shared" si="50"/>
        <v>14632.38</v>
      </c>
      <c r="P581" s="6">
        <v>8</v>
      </c>
      <c r="Q581" s="6">
        <v>977</v>
      </c>
      <c r="R581" s="6">
        <f t="shared" si="51"/>
        <v>81.877414787094168</v>
      </c>
      <c r="S581" s="6">
        <f t="shared" si="52"/>
        <v>9508.4241792252451</v>
      </c>
    </row>
    <row r="582" spans="1:19" s="1" customFormat="1" ht="15" hidden="1" customHeight="1" outlineLevel="1" x14ac:dyDescent="0.25">
      <c r="A582" s="2" t="s">
        <v>929</v>
      </c>
      <c r="B582" s="2" t="s">
        <v>930</v>
      </c>
      <c r="C582" s="13">
        <v>77.22</v>
      </c>
      <c r="D582" s="6">
        <v>471.25</v>
      </c>
      <c r="E582" s="6">
        <v>100</v>
      </c>
      <c r="F582" s="6"/>
      <c r="G582" s="6"/>
      <c r="H582" s="6"/>
      <c r="I582" s="6"/>
      <c r="J582" s="6">
        <v>701</v>
      </c>
      <c r="K582" s="6">
        <v>54131.22</v>
      </c>
      <c r="L582" s="6"/>
      <c r="M582" s="6"/>
      <c r="N582" s="6">
        <f t="shared" si="49"/>
        <v>701</v>
      </c>
      <c r="O582" s="6">
        <f t="shared" si="50"/>
        <v>54131.22</v>
      </c>
      <c r="P582" s="6">
        <v>52</v>
      </c>
      <c r="Q582" s="6">
        <v>4181</v>
      </c>
      <c r="R582" s="6">
        <f t="shared" si="51"/>
        <v>433.24403183023873</v>
      </c>
      <c r="S582" s="6">
        <f t="shared" si="52"/>
        <v>33455.104137931034</v>
      </c>
    </row>
    <row r="583" spans="1:19" s="1" customFormat="1" ht="15" hidden="1" customHeight="1" outlineLevel="1" x14ac:dyDescent="0.25">
      <c r="A583" s="2" t="s">
        <v>756</v>
      </c>
      <c r="B583" s="2" t="s">
        <v>757</v>
      </c>
      <c r="C583" s="13">
        <v>56.75</v>
      </c>
      <c r="D583" s="6">
        <v>119.83</v>
      </c>
      <c r="E583" s="6">
        <v>100</v>
      </c>
      <c r="F583" s="6"/>
      <c r="G583" s="6"/>
      <c r="H583" s="6">
        <v>120</v>
      </c>
      <c r="I583" s="6">
        <v>6810</v>
      </c>
      <c r="J583" s="6">
        <v>7</v>
      </c>
      <c r="K583" s="6">
        <v>397.25</v>
      </c>
      <c r="L583" s="6">
        <v>400</v>
      </c>
      <c r="M583" s="6">
        <v>22700</v>
      </c>
      <c r="N583" s="6">
        <f t="shared" si="49"/>
        <v>527</v>
      </c>
      <c r="O583" s="6">
        <f t="shared" si="50"/>
        <v>29907.25</v>
      </c>
      <c r="P583" s="6">
        <v>47</v>
      </c>
      <c r="Q583" s="6">
        <v>2695</v>
      </c>
      <c r="R583" s="6"/>
      <c r="S583" s="6"/>
    </row>
    <row r="584" spans="1:19" s="1" customFormat="1" ht="15" hidden="1" customHeight="1" outlineLevel="1" x14ac:dyDescent="0.25">
      <c r="A584" s="2" t="s">
        <v>977</v>
      </c>
      <c r="B584" s="2" t="s">
        <v>978</v>
      </c>
      <c r="C584" s="13">
        <v>285</v>
      </c>
      <c r="D584" s="6">
        <v>2941.33</v>
      </c>
      <c r="E584" s="6">
        <v>100</v>
      </c>
      <c r="F584" s="6"/>
      <c r="G584" s="6"/>
      <c r="H584" s="6">
        <v>3</v>
      </c>
      <c r="I584" s="6">
        <v>855</v>
      </c>
      <c r="J584" s="6">
        <v>188</v>
      </c>
      <c r="K584" s="6">
        <v>53580</v>
      </c>
      <c r="L584" s="6"/>
      <c r="M584" s="6"/>
      <c r="N584" s="6">
        <f t="shared" si="49"/>
        <v>191</v>
      </c>
      <c r="O584" s="6">
        <f t="shared" si="50"/>
        <v>54435</v>
      </c>
      <c r="P584" s="6">
        <v>1</v>
      </c>
      <c r="Q584" s="6">
        <v>360</v>
      </c>
      <c r="R584" s="6">
        <f t="shared" si="51"/>
        <v>176.49500056097071</v>
      </c>
      <c r="S584" s="6">
        <f t="shared" si="52"/>
        <v>50301.075159876651</v>
      </c>
    </row>
    <row r="585" spans="1:19" s="1" customFormat="1" ht="15" hidden="1" customHeight="1" outlineLevel="1" x14ac:dyDescent="0.25">
      <c r="A585" s="2" t="s">
        <v>510</v>
      </c>
      <c r="B585" s="2" t="s">
        <v>511</v>
      </c>
      <c r="C585" s="13">
        <v>190</v>
      </c>
      <c r="D585" s="6">
        <v>193.71</v>
      </c>
      <c r="E585" s="6">
        <v>100</v>
      </c>
      <c r="F585" s="6"/>
      <c r="G585" s="6"/>
      <c r="H585" s="6">
        <v>10</v>
      </c>
      <c r="I585" s="6">
        <v>1900</v>
      </c>
      <c r="J585" s="6">
        <v>60</v>
      </c>
      <c r="K585" s="6">
        <v>11400</v>
      </c>
      <c r="L585" s="6"/>
      <c r="M585" s="6"/>
      <c r="N585" s="6">
        <f t="shared" si="49"/>
        <v>70</v>
      </c>
      <c r="O585" s="6">
        <f t="shared" si="50"/>
        <v>13300</v>
      </c>
      <c r="P585" s="6">
        <v>12</v>
      </c>
      <c r="Q585" s="6">
        <v>1895</v>
      </c>
      <c r="R585" s="6">
        <f t="shared" si="51"/>
        <v>4.2465541273037033</v>
      </c>
      <c r="S585" s="6">
        <f t="shared" si="52"/>
        <v>806.84528418770367</v>
      </c>
    </row>
    <row r="586" spans="1:19" s="1" customFormat="1" ht="15" hidden="1" customHeight="1" outlineLevel="1" x14ac:dyDescent="0.25">
      <c r="A586" s="2" t="s">
        <v>480</v>
      </c>
      <c r="B586" s="2" t="s">
        <v>481</v>
      </c>
      <c r="C586" s="13">
        <v>105</v>
      </c>
      <c r="D586" s="6">
        <v>53.78</v>
      </c>
      <c r="E586" s="6">
        <v>44.09</v>
      </c>
      <c r="F586" s="6"/>
      <c r="G586" s="6"/>
      <c r="H586" s="6"/>
      <c r="I586" s="6"/>
      <c r="J586" s="6"/>
      <c r="K586" s="6"/>
      <c r="L586" s="6"/>
      <c r="M586" s="6"/>
      <c r="N586" s="6" t="str">
        <f t="shared" si="49"/>
        <v/>
      </c>
      <c r="O586" s="6" t="str">
        <f t="shared" si="50"/>
        <v/>
      </c>
      <c r="P586" s="6">
        <v>100</v>
      </c>
      <c r="Q586" s="6">
        <v>10870</v>
      </c>
      <c r="R586" s="6"/>
      <c r="S586" s="6"/>
    </row>
    <row r="587" spans="1:19" s="1" customFormat="1" ht="15" hidden="1" customHeight="1" outlineLevel="1" x14ac:dyDescent="0.25">
      <c r="A587" s="2" t="s">
        <v>869</v>
      </c>
      <c r="B587" s="2" t="s">
        <v>870</v>
      </c>
      <c r="C587" s="13">
        <v>92.26</v>
      </c>
      <c r="D587" s="6">
        <v>284.41000000000003</v>
      </c>
      <c r="E587" s="6">
        <v>73.12</v>
      </c>
      <c r="F587" s="6"/>
      <c r="G587" s="6"/>
      <c r="H587" s="6"/>
      <c r="I587" s="6"/>
      <c r="J587" s="6">
        <v>30</v>
      </c>
      <c r="K587" s="6">
        <v>2767.8</v>
      </c>
      <c r="L587" s="6"/>
      <c r="M587" s="6"/>
      <c r="N587" s="6">
        <f t="shared" si="49"/>
        <v>30</v>
      </c>
      <c r="O587" s="6">
        <f t="shared" si="50"/>
        <v>2767.8</v>
      </c>
      <c r="P587" s="6">
        <v>23</v>
      </c>
      <c r="Q587" s="6">
        <v>2254</v>
      </c>
      <c r="R587" s="6">
        <f t="shared" si="51"/>
        <v>11.013325832425021</v>
      </c>
      <c r="S587" s="6">
        <f t="shared" si="52"/>
        <v>1016.0894412995325</v>
      </c>
    </row>
    <row r="588" spans="1:19" s="1" customFormat="1" ht="15" hidden="1" customHeight="1" outlineLevel="1" x14ac:dyDescent="0.25">
      <c r="A588" s="2" t="s">
        <v>508</v>
      </c>
      <c r="B588" s="2" t="s">
        <v>509</v>
      </c>
      <c r="C588" s="13">
        <v>390</v>
      </c>
      <c r="D588" s="6">
        <v>871.91</v>
      </c>
      <c r="E588" s="6">
        <v>100</v>
      </c>
      <c r="F588" s="6"/>
      <c r="G588" s="6"/>
      <c r="H588" s="6"/>
      <c r="I588" s="6"/>
      <c r="J588" s="6">
        <v>74</v>
      </c>
      <c r="K588" s="6">
        <v>28860</v>
      </c>
      <c r="L588" s="6"/>
      <c r="M588" s="6"/>
      <c r="N588" s="6">
        <f t="shared" si="49"/>
        <v>74</v>
      </c>
      <c r="O588" s="6">
        <f t="shared" si="50"/>
        <v>28860</v>
      </c>
      <c r="P588" s="6">
        <v>4</v>
      </c>
      <c r="Q588" s="6">
        <v>1480</v>
      </c>
      <c r="R588" s="6">
        <f t="shared" si="51"/>
        <v>58.723193907628072</v>
      </c>
      <c r="S588" s="6">
        <f t="shared" si="52"/>
        <v>22902.045623974947</v>
      </c>
    </row>
    <row r="589" spans="1:19" s="1" customFormat="1" ht="15" hidden="1" customHeight="1" outlineLevel="1" x14ac:dyDescent="0.25">
      <c r="A589" s="2" t="s">
        <v>786</v>
      </c>
      <c r="B589" s="2" t="s">
        <v>787</v>
      </c>
      <c r="C589" s="13">
        <v>450</v>
      </c>
      <c r="D589" s="6">
        <v>1096</v>
      </c>
      <c r="E589" s="6">
        <v>100</v>
      </c>
      <c r="F589" s="6"/>
      <c r="G589" s="6"/>
      <c r="H589" s="6"/>
      <c r="I589" s="6"/>
      <c r="J589" s="6">
        <v>11</v>
      </c>
      <c r="K589" s="6">
        <v>4950</v>
      </c>
      <c r="L589" s="6"/>
      <c r="M589" s="6"/>
      <c r="N589" s="6">
        <f t="shared" si="49"/>
        <v>11</v>
      </c>
      <c r="O589" s="6">
        <f t="shared" si="50"/>
        <v>4950</v>
      </c>
      <c r="P589" s="6">
        <v>0</v>
      </c>
      <c r="Q589" s="6">
        <v>157</v>
      </c>
      <c r="R589" s="6">
        <f t="shared" si="51"/>
        <v>9.1934306569343072</v>
      </c>
      <c r="S589" s="6">
        <f t="shared" si="52"/>
        <v>4137.0437956204378</v>
      </c>
    </row>
    <row r="590" spans="1:19" s="1" customFormat="1" ht="15" hidden="1" customHeight="1" outlineLevel="1" x14ac:dyDescent="0.25">
      <c r="A590" s="2" t="s">
        <v>841</v>
      </c>
      <c r="B590" s="2" t="s">
        <v>842</v>
      </c>
      <c r="C590" s="13">
        <v>24.96</v>
      </c>
      <c r="D590" s="6">
        <v>1401.3</v>
      </c>
      <c r="E590" s="6">
        <v>51.61</v>
      </c>
      <c r="F590" s="6"/>
      <c r="G590" s="6"/>
      <c r="H590" s="6">
        <v>150</v>
      </c>
      <c r="I590" s="6">
        <v>3744</v>
      </c>
      <c r="J590" s="6">
        <v>340</v>
      </c>
      <c r="K590" s="6">
        <v>8486.4</v>
      </c>
      <c r="L590" s="6"/>
      <c r="M590" s="6"/>
      <c r="N590" s="6">
        <f t="shared" si="49"/>
        <v>490</v>
      </c>
      <c r="O590" s="6">
        <f t="shared" si="50"/>
        <v>12230.4</v>
      </c>
      <c r="P590" s="6">
        <v>3</v>
      </c>
      <c r="Q590" s="6">
        <v>89</v>
      </c>
      <c r="R590" s="6">
        <f t="shared" si="51"/>
        <v>296.32626846499682</v>
      </c>
      <c r="S590" s="6">
        <f t="shared" si="52"/>
        <v>7396.3036608863204</v>
      </c>
    </row>
    <row r="591" spans="1:19" s="1" customFormat="1" ht="15" hidden="1" customHeight="1" outlineLevel="1" x14ac:dyDescent="0.25">
      <c r="A591" s="2" t="s">
        <v>1269</v>
      </c>
      <c r="B591" s="2" t="s">
        <v>1270</v>
      </c>
      <c r="C591" s="13">
        <v>33.21</v>
      </c>
      <c r="D591" s="6">
        <v>557</v>
      </c>
      <c r="E591" s="6">
        <v>29.03</v>
      </c>
      <c r="F591" s="6"/>
      <c r="G591" s="6"/>
      <c r="H591" s="6"/>
      <c r="I591" s="6"/>
      <c r="J591" s="6">
        <v>475</v>
      </c>
      <c r="K591" s="6">
        <v>15774.75</v>
      </c>
      <c r="L591" s="6"/>
      <c r="M591" s="6"/>
      <c r="N591" s="6">
        <f t="shared" si="49"/>
        <v>475</v>
      </c>
      <c r="O591" s="6">
        <f t="shared" si="50"/>
        <v>15774.75</v>
      </c>
      <c r="P591" s="6">
        <v>8</v>
      </c>
      <c r="Q591" s="6">
        <v>290</v>
      </c>
      <c r="R591" s="6">
        <f t="shared" si="51"/>
        <v>321.49910233393177</v>
      </c>
      <c r="S591" s="6">
        <f t="shared" si="52"/>
        <v>10676.985188509874</v>
      </c>
    </row>
    <row r="592" spans="1:19" s="1" customFormat="1" ht="15" hidden="1" customHeight="1" outlineLevel="1" x14ac:dyDescent="0.25">
      <c r="A592" s="2" t="s">
        <v>1187</v>
      </c>
      <c r="B592" s="2" t="s">
        <v>1188</v>
      </c>
      <c r="C592" s="13">
        <v>99.71</v>
      </c>
      <c r="D592" s="6"/>
      <c r="E592" s="6">
        <v>100</v>
      </c>
      <c r="F592" s="6"/>
      <c r="G592" s="6"/>
      <c r="H592" s="6"/>
      <c r="I592" s="6"/>
      <c r="J592" s="6">
        <v>143</v>
      </c>
      <c r="K592" s="6">
        <v>14258.53</v>
      </c>
      <c r="L592" s="6"/>
      <c r="M592" s="6"/>
      <c r="N592" s="6">
        <f t="shared" si="49"/>
        <v>143</v>
      </c>
      <c r="O592" s="6">
        <f t="shared" si="50"/>
        <v>14258.529999999999</v>
      </c>
      <c r="P592" s="6"/>
      <c r="Q592" s="6"/>
      <c r="R592" s="6"/>
      <c r="S592" s="6"/>
    </row>
    <row r="593" spans="1:19" s="1" customFormat="1" ht="15" hidden="1" customHeight="1" outlineLevel="1" x14ac:dyDescent="0.25">
      <c r="A593" s="2" t="s">
        <v>1191</v>
      </c>
      <c r="B593" s="2" t="s">
        <v>1192</v>
      </c>
      <c r="C593" s="13">
        <v>99.71</v>
      </c>
      <c r="D593" s="6"/>
      <c r="E593" s="6">
        <v>100</v>
      </c>
      <c r="F593" s="6"/>
      <c r="G593" s="6"/>
      <c r="H593" s="6"/>
      <c r="I593" s="6"/>
      <c r="J593" s="6">
        <v>87</v>
      </c>
      <c r="K593" s="6">
        <v>8674.77</v>
      </c>
      <c r="L593" s="6"/>
      <c r="M593" s="6"/>
      <c r="N593" s="6">
        <f t="shared" si="49"/>
        <v>87</v>
      </c>
      <c r="O593" s="6">
        <f t="shared" si="50"/>
        <v>8674.7699999999986</v>
      </c>
      <c r="P593" s="6"/>
      <c r="Q593" s="6"/>
      <c r="R593" s="6"/>
      <c r="S593" s="6"/>
    </row>
    <row r="594" spans="1:19" s="1" customFormat="1" ht="15" hidden="1" customHeight="1" outlineLevel="1" x14ac:dyDescent="0.25">
      <c r="A594" s="2" t="s">
        <v>1117</v>
      </c>
      <c r="B594" s="2" t="s">
        <v>1118</v>
      </c>
      <c r="C594" s="13">
        <v>354.93</v>
      </c>
      <c r="D594" s="6">
        <v>1516.5</v>
      </c>
      <c r="E594" s="6">
        <v>100</v>
      </c>
      <c r="F594" s="6"/>
      <c r="G594" s="6"/>
      <c r="H594" s="6"/>
      <c r="I594" s="6"/>
      <c r="J594" s="6">
        <v>19</v>
      </c>
      <c r="K594" s="6">
        <v>6743.67</v>
      </c>
      <c r="L594" s="6"/>
      <c r="M594" s="6"/>
      <c r="N594" s="6">
        <f t="shared" si="49"/>
        <v>19</v>
      </c>
      <c r="O594" s="6">
        <f t="shared" si="50"/>
        <v>6743.67</v>
      </c>
      <c r="P594" s="6"/>
      <c r="Q594" s="6"/>
      <c r="R594" s="6">
        <f t="shared" si="51"/>
        <v>16.744807121661722</v>
      </c>
      <c r="S594" s="6">
        <f t="shared" si="52"/>
        <v>5943.2343916913951</v>
      </c>
    </row>
    <row r="595" spans="1:19" s="1" customFormat="1" ht="15" hidden="1" customHeight="1" outlineLevel="1" x14ac:dyDescent="0.25">
      <c r="A595" s="2" t="s">
        <v>468</v>
      </c>
      <c r="B595" s="2" t="s">
        <v>469</v>
      </c>
      <c r="C595" s="13">
        <v>860.75</v>
      </c>
      <c r="D595" s="6">
        <v>963.71</v>
      </c>
      <c r="E595" s="6">
        <v>100</v>
      </c>
      <c r="F595" s="6"/>
      <c r="G595" s="6"/>
      <c r="H595" s="6">
        <v>50</v>
      </c>
      <c r="I595" s="6">
        <v>43037.5</v>
      </c>
      <c r="J595" s="6">
        <v>170</v>
      </c>
      <c r="K595" s="6">
        <v>146327.5</v>
      </c>
      <c r="L595" s="6"/>
      <c r="M595" s="6"/>
      <c r="N595" s="6">
        <f t="shared" si="49"/>
        <v>220</v>
      </c>
      <c r="O595" s="6">
        <f t="shared" si="50"/>
        <v>189365</v>
      </c>
      <c r="P595" s="6">
        <v>1</v>
      </c>
      <c r="Q595" s="6">
        <v>1201</v>
      </c>
      <c r="R595" s="6">
        <f t="shared" si="51"/>
        <v>138.24770937315168</v>
      </c>
      <c r="S595" s="6">
        <f t="shared" si="52"/>
        <v>118996.71584294031</v>
      </c>
    </row>
    <row r="596" spans="1:19" s="1" customFormat="1" ht="15" hidden="1" customHeight="1" outlineLevel="1" x14ac:dyDescent="0.25">
      <c r="A596" s="2" t="s">
        <v>1219</v>
      </c>
      <c r="B596" s="2" t="s">
        <v>1220</v>
      </c>
      <c r="C596" s="13">
        <v>103.29</v>
      </c>
      <c r="D596" s="6">
        <v>155.08000000000001</v>
      </c>
      <c r="E596" s="6">
        <v>100</v>
      </c>
      <c r="F596" s="6"/>
      <c r="G596" s="6"/>
      <c r="H596" s="6">
        <v>10</v>
      </c>
      <c r="I596" s="6">
        <v>1032.9000000000001</v>
      </c>
      <c r="J596" s="6">
        <v>476</v>
      </c>
      <c r="K596" s="6">
        <v>49166.04</v>
      </c>
      <c r="L596" s="6"/>
      <c r="M596" s="6"/>
      <c r="N596" s="6">
        <f t="shared" si="49"/>
        <v>486</v>
      </c>
      <c r="O596" s="6">
        <f t="shared" si="50"/>
        <v>50198.94</v>
      </c>
      <c r="P596" s="6">
        <v>7</v>
      </c>
      <c r="Q596" s="6">
        <v>795</v>
      </c>
      <c r="R596" s="6"/>
      <c r="S596" s="6"/>
    </row>
    <row r="597" spans="1:19" s="1" customFormat="1" ht="15" hidden="1" customHeight="1" outlineLevel="1" x14ac:dyDescent="0.25">
      <c r="A597" s="2" t="s">
        <v>1239</v>
      </c>
      <c r="B597" s="2" t="s">
        <v>1240</v>
      </c>
      <c r="C597" s="13">
        <v>235</v>
      </c>
      <c r="D597" s="6">
        <v>260.55</v>
      </c>
      <c r="E597" s="6">
        <v>100</v>
      </c>
      <c r="F597" s="6"/>
      <c r="G597" s="6"/>
      <c r="H597" s="6"/>
      <c r="I597" s="6"/>
      <c r="J597" s="6">
        <v>74</v>
      </c>
      <c r="K597" s="6">
        <v>17390</v>
      </c>
      <c r="L597" s="6"/>
      <c r="M597" s="6"/>
      <c r="N597" s="6">
        <f t="shared" si="49"/>
        <v>74</v>
      </c>
      <c r="O597" s="6">
        <f t="shared" si="50"/>
        <v>17390</v>
      </c>
      <c r="P597" s="6">
        <v>9</v>
      </c>
      <c r="Q597" s="6">
        <v>2169</v>
      </c>
      <c r="R597" s="6">
        <f t="shared" si="51"/>
        <v>22.877374784110536</v>
      </c>
      <c r="S597" s="6">
        <f t="shared" si="52"/>
        <v>5376.1830742659758</v>
      </c>
    </row>
    <row r="598" spans="1:19" s="1" customFormat="1" ht="15" hidden="1" customHeight="1" outlineLevel="1" x14ac:dyDescent="0.25">
      <c r="A598" s="2" t="s">
        <v>1025</v>
      </c>
      <c r="B598" s="2" t="s">
        <v>1026</v>
      </c>
      <c r="C598" s="13">
        <v>48.43</v>
      </c>
      <c r="D598" s="6">
        <v>1103.27</v>
      </c>
      <c r="E598" s="6">
        <v>100</v>
      </c>
      <c r="F598" s="6"/>
      <c r="G598" s="6"/>
      <c r="H598" s="6"/>
      <c r="I598" s="6"/>
      <c r="J598" s="6">
        <v>860</v>
      </c>
      <c r="K598" s="6">
        <v>41649.800000000003</v>
      </c>
      <c r="L598" s="6"/>
      <c r="M598" s="6"/>
      <c r="N598" s="6">
        <f t="shared" si="49"/>
        <v>860</v>
      </c>
      <c r="O598" s="6">
        <f t="shared" si="50"/>
        <v>41649.800000000003</v>
      </c>
      <c r="P598" s="6">
        <v>24</v>
      </c>
      <c r="Q598" s="6">
        <v>1211</v>
      </c>
      <c r="R598" s="6">
        <f t="shared" si="51"/>
        <v>719.68983113834327</v>
      </c>
      <c r="S598" s="6">
        <f t="shared" si="52"/>
        <v>34854.578522029966</v>
      </c>
    </row>
    <row r="599" spans="1:19" s="1" customFormat="1" ht="15" hidden="1" customHeight="1" outlineLevel="1" x14ac:dyDescent="0.25">
      <c r="A599" s="2" t="s">
        <v>931</v>
      </c>
      <c r="B599" s="2" t="s">
        <v>932</v>
      </c>
      <c r="C599" s="13">
        <v>73</v>
      </c>
      <c r="D599" s="6">
        <v>869.37</v>
      </c>
      <c r="E599" s="6">
        <v>100</v>
      </c>
      <c r="F599" s="6"/>
      <c r="G599" s="6"/>
      <c r="H599" s="6"/>
      <c r="I599" s="6"/>
      <c r="J599" s="6">
        <v>1101</v>
      </c>
      <c r="K599" s="6">
        <v>80373</v>
      </c>
      <c r="L599" s="6"/>
      <c r="M599" s="6"/>
      <c r="N599" s="6">
        <f t="shared" si="49"/>
        <v>1101</v>
      </c>
      <c r="O599" s="6">
        <f t="shared" si="50"/>
        <v>80373</v>
      </c>
      <c r="P599" s="6">
        <v>20</v>
      </c>
      <c r="Q599" s="6">
        <v>1527</v>
      </c>
      <c r="R599" s="6">
        <f t="shared" si="51"/>
        <v>873.04182338935095</v>
      </c>
      <c r="S599" s="6">
        <f t="shared" si="52"/>
        <v>63732.053107422616</v>
      </c>
    </row>
    <row r="600" spans="1:19" s="1" customFormat="1" ht="15" hidden="1" customHeight="1" outlineLevel="1" x14ac:dyDescent="0.25">
      <c r="A600" s="2" t="s">
        <v>879</v>
      </c>
      <c r="B600" s="2" t="s">
        <v>880</v>
      </c>
      <c r="C600" s="13">
        <v>154.58000000000001</v>
      </c>
      <c r="D600" s="6">
        <v>4917.33</v>
      </c>
      <c r="E600" s="6">
        <v>61.29</v>
      </c>
      <c r="F600" s="6"/>
      <c r="G600" s="6"/>
      <c r="H600" s="6"/>
      <c r="I600" s="6"/>
      <c r="J600" s="6">
        <v>97</v>
      </c>
      <c r="K600" s="6">
        <v>14994.26</v>
      </c>
      <c r="L600" s="6"/>
      <c r="M600" s="6"/>
      <c r="N600" s="6">
        <f t="shared" si="49"/>
        <v>97</v>
      </c>
      <c r="O600" s="6">
        <f t="shared" si="50"/>
        <v>14994.260000000002</v>
      </c>
      <c r="P600" s="6">
        <v>1</v>
      </c>
      <c r="Q600" s="6">
        <v>162</v>
      </c>
      <c r="R600" s="6">
        <f t="shared" si="51"/>
        <v>93.449292603913108</v>
      </c>
      <c r="S600" s="6">
        <f t="shared" si="52"/>
        <v>14445.391650712889</v>
      </c>
    </row>
    <row r="601" spans="1:19" s="1" customFormat="1" ht="15" hidden="1" customHeight="1" outlineLevel="1" x14ac:dyDescent="0.25">
      <c r="A601" s="2" t="s">
        <v>945</v>
      </c>
      <c r="B601" s="2" t="s">
        <v>946</v>
      </c>
      <c r="C601" s="13">
        <v>280.89999999999998</v>
      </c>
      <c r="D601" s="6">
        <v>1245.79</v>
      </c>
      <c r="E601" s="6">
        <v>100</v>
      </c>
      <c r="F601" s="6"/>
      <c r="G601" s="6"/>
      <c r="H601" s="6"/>
      <c r="I601" s="6"/>
      <c r="J601" s="6">
        <v>169</v>
      </c>
      <c r="K601" s="6">
        <v>47472.1</v>
      </c>
      <c r="L601" s="6"/>
      <c r="M601" s="6"/>
      <c r="N601" s="6">
        <f t="shared" si="49"/>
        <v>169</v>
      </c>
      <c r="O601" s="6">
        <f t="shared" si="50"/>
        <v>47472.1</v>
      </c>
      <c r="P601" s="6">
        <v>3</v>
      </c>
      <c r="Q601" s="6">
        <v>811</v>
      </c>
      <c r="R601" s="6">
        <f t="shared" si="51"/>
        <v>144.58175936554315</v>
      </c>
      <c r="S601" s="6">
        <f t="shared" si="52"/>
        <v>40613.016205781067</v>
      </c>
    </row>
    <row r="602" spans="1:19" s="1" customFormat="1" ht="15" hidden="1" customHeight="1" outlineLevel="1" x14ac:dyDescent="0.25">
      <c r="A602" s="2" t="s">
        <v>1015</v>
      </c>
      <c r="B602" s="2" t="s">
        <v>1016</v>
      </c>
      <c r="C602" s="13">
        <v>47.94</v>
      </c>
      <c r="D602" s="6">
        <v>1144.78</v>
      </c>
      <c r="E602" s="6">
        <v>100</v>
      </c>
      <c r="F602" s="6">
        <v>20</v>
      </c>
      <c r="G602" s="6">
        <v>958.8</v>
      </c>
      <c r="H602" s="6"/>
      <c r="I602" s="6"/>
      <c r="J602" s="6">
        <v>785</v>
      </c>
      <c r="K602" s="6">
        <v>37632.9</v>
      </c>
      <c r="L602" s="6"/>
      <c r="M602" s="6"/>
      <c r="N602" s="6">
        <f t="shared" si="49"/>
        <v>805</v>
      </c>
      <c r="O602" s="6">
        <f t="shared" si="50"/>
        <v>38591.699999999997</v>
      </c>
      <c r="P602" s="6">
        <v>22</v>
      </c>
      <c r="Q602" s="6">
        <v>1090</v>
      </c>
      <c r="R602" s="6">
        <f t="shared" si="51"/>
        <v>661.57017068781772</v>
      </c>
      <c r="S602" s="6">
        <f t="shared" si="52"/>
        <v>31715.67398277398</v>
      </c>
    </row>
    <row r="603" spans="1:19" s="1" customFormat="1" ht="15" hidden="1" customHeight="1" outlineLevel="1" x14ac:dyDescent="0.25">
      <c r="A603" s="2" t="s">
        <v>933</v>
      </c>
      <c r="B603" s="2" t="s">
        <v>934</v>
      </c>
      <c r="C603" s="13">
        <v>98</v>
      </c>
      <c r="D603" s="6">
        <v>5735</v>
      </c>
      <c r="E603" s="6">
        <v>100</v>
      </c>
      <c r="F603" s="6"/>
      <c r="G603" s="6"/>
      <c r="H603" s="6"/>
      <c r="I603" s="6"/>
      <c r="J603" s="6">
        <v>305</v>
      </c>
      <c r="K603" s="6">
        <v>29890</v>
      </c>
      <c r="L603" s="6"/>
      <c r="M603" s="6"/>
      <c r="N603" s="6">
        <f t="shared" si="49"/>
        <v>305</v>
      </c>
      <c r="O603" s="6">
        <f t="shared" si="50"/>
        <v>29890</v>
      </c>
      <c r="P603" s="6">
        <v>2</v>
      </c>
      <c r="Q603" s="6">
        <v>180</v>
      </c>
      <c r="R603" s="6">
        <f t="shared" si="51"/>
        <v>295.42720139494332</v>
      </c>
      <c r="S603" s="6">
        <f t="shared" si="52"/>
        <v>28951.865736704447</v>
      </c>
    </row>
    <row r="604" spans="1:19" s="1" customFormat="1" ht="15" hidden="1" customHeight="1" outlineLevel="1" x14ac:dyDescent="0.25">
      <c r="A604" s="2" t="s">
        <v>1021</v>
      </c>
      <c r="B604" s="2" t="s">
        <v>1022</v>
      </c>
      <c r="C604" s="13">
        <v>47.94</v>
      </c>
      <c r="D604" s="6">
        <v>604.59</v>
      </c>
      <c r="E604" s="6">
        <v>100</v>
      </c>
      <c r="F604" s="6"/>
      <c r="G604" s="6"/>
      <c r="H604" s="6">
        <v>5</v>
      </c>
      <c r="I604" s="6">
        <v>239.7</v>
      </c>
      <c r="J604" s="6">
        <v>274</v>
      </c>
      <c r="K604" s="6">
        <v>13135.56</v>
      </c>
      <c r="L604" s="6"/>
      <c r="M604" s="6"/>
      <c r="N604" s="6">
        <f t="shared" si="49"/>
        <v>279</v>
      </c>
      <c r="O604" s="6">
        <f t="shared" si="50"/>
        <v>13375.26</v>
      </c>
      <c r="P604" s="6">
        <v>4</v>
      </c>
      <c r="Q604" s="6">
        <v>220</v>
      </c>
      <c r="R604" s="6">
        <f t="shared" si="51"/>
        <v>192.42405597181562</v>
      </c>
      <c r="S604" s="6">
        <f t="shared" si="52"/>
        <v>9224.8092432888407</v>
      </c>
    </row>
    <row r="605" spans="1:19" s="1" customFormat="1" ht="15" hidden="1" customHeight="1" outlineLevel="1" x14ac:dyDescent="0.25">
      <c r="A605" s="2" t="s">
        <v>1235</v>
      </c>
      <c r="B605" s="2" t="s">
        <v>1236</v>
      </c>
      <c r="C605" s="13">
        <v>175</v>
      </c>
      <c r="D605" s="6">
        <v>701.05</v>
      </c>
      <c r="E605" s="6">
        <v>100</v>
      </c>
      <c r="F605" s="6"/>
      <c r="G605" s="6"/>
      <c r="H605" s="6">
        <v>10</v>
      </c>
      <c r="I605" s="6">
        <v>1750</v>
      </c>
      <c r="J605" s="6">
        <v>136</v>
      </c>
      <c r="K605" s="6">
        <v>23800</v>
      </c>
      <c r="L605" s="6"/>
      <c r="M605" s="6"/>
      <c r="N605" s="6">
        <f t="shared" si="49"/>
        <v>146</v>
      </c>
      <c r="O605" s="6">
        <f t="shared" si="50"/>
        <v>25550</v>
      </c>
      <c r="P605" s="6">
        <v>5</v>
      </c>
      <c r="Q605" s="6">
        <v>976</v>
      </c>
      <c r="R605" s="6">
        <f t="shared" si="51"/>
        <v>101.08095000356607</v>
      </c>
      <c r="S605" s="6">
        <f t="shared" si="52"/>
        <v>17689.166250624065</v>
      </c>
    </row>
    <row r="606" spans="1:19" s="1" customFormat="1" ht="15" hidden="1" customHeight="1" outlineLevel="1" x14ac:dyDescent="0.25">
      <c r="A606" s="2" t="s">
        <v>1103</v>
      </c>
      <c r="B606" s="2" t="s">
        <v>1104</v>
      </c>
      <c r="C606" s="13">
        <v>119.24</v>
      </c>
      <c r="D606" s="6">
        <v>2552.5</v>
      </c>
      <c r="E606" s="6">
        <v>100</v>
      </c>
      <c r="F606" s="6"/>
      <c r="G606" s="6"/>
      <c r="H606" s="6"/>
      <c r="I606" s="6"/>
      <c r="J606" s="6">
        <v>652</v>
      </c>
      <c r="K606" s="6">
        <v>77744.479999999996</v>
      </c>
      <c r="L606" s="6"/>
      <c r="M606" s="6"/>
      <c r="N606" s="6">
        <f t="shared" si="49"/>
        <v>652</v>
      </c>
      <c r="O606" s="6">
        <f t="shared" si="50"/>
        <v>77744.479999999996</v>
      </c>
      <c r="P606" s="6">
        <v>4</v>
      </c>
      <c r="Q606" s="6">
        <v>495</v>
      </c>
      <c r="R606" s="6">
        <f t="shared" si="51"/>
        <v>606.02154750244858</v>
      </c>
      <c r="S606" s="6">
        <f t="shared" si="52"/>
        <v>72262.009324191968</v>
      </c>
    </row>
    <row r="607" spans="1:19" s="1" customFormat="1" ht="15" hidden="1" customHeight="1" outlineLevel="1" x14ac:dyDescent="0.25">
      <c r="A607" s="2" t="s">
        <v>863</v>
      </c>
      <c r="B607" s="2" t="s">
        <v>864</v>
      </c>
      <c r="C607" s="13">
        <v>205</v>
      </c>
      <c r="D607" s="6">
        <v>1078.25</v>
      </c>
      <c r="E607" s="6">
        <v>100</v>
      </c>
      <c r="F607" s="6"/>
      <c r="G607" s="6"/>
      <c r="H607" s="6">
        <v>5</v>
      </c>
      <c r="I607" s="6">
        <v>1025</v>
      </c>
      <c r="J607" s="6">
        <v>87</v>
      </c>
      <c r="K607" s="6">
        <v>17835</v>
      </c>
      <c r="L607" s="6"/>
      <c r="M607" s="6"/>
      <c r="N607" s="6">
        <f t="shared" si="49"/>
        <v>92</v>
      </c>
      <c r="O607" s="6">
        <f t="shared" si="50"/>
        <v>18860</v>
      </c>
      <c r="P607" s="6">
        <v>4</v>
      </c>
      <c r="Q607" s="6">
        <v>845</v>
      </c>
      <c r="R607" s="6">
        <f t="shared" si="51"/>
        <v>72.476466496638068</v>
      </c>
      <c r="S607" s="6">
        <f t="shared" si="52"/>
        <v>14857.675631810804</v>
      </c>
    </row>
    <row r="608" spans="1:19" s="1" customFormat="1" ht="15" hidden="1" customHeight="1" outlineLevel="1" x14ac:dyDescent="0.25">
      <c r="A608" s="2" t="s">
        <v>1121</v>
      </c>
      <c r="B608" s="2" t="s">
        <v>1122</v>
      </c>
      <c r="C608" s="13">
        <v>262.25</v>
      </c>
      <c r="D608" s="6">
        <v>3406.22</v>
      </c>
      <c r="E608" s="6">
        <v>100</v>
      </c>
      <c r="F608" s="6"/>
      <c r="G608" s="6"/>
      <c r="H608" s="6"/>
      <c r="I608" s="6"/>
      <c r="J608" s="6">
        <v>324</v>
      </c>
      <c r="K608" s="6">
        <v>84969</v>
      </c>
      <c r="L608" s="6"/>
      <c r="M608" s="6"/>
      <c r="N608" s="6">
        <f t="shared" si="49"/>
        <v>324</v>
      </c>
      <c r="O608" s="6">
        <f t="shared" si="50"/>
        <v>84969</v>
      </c>
      <c r="P608" s="6">
        <v>3</v>
      </c>
      <c r="Q608" s="6">
        <v>719</v>
      </c>
      <c r="R608" s="6">
        <f t="shared" si="51"/>
        <v>306.87838131418403</v>
      </c>
      <c r="S608" s="6">
        <f t="shared" si="52"/>
        <v>80478.855499644764</v>
      </c>
    </row>
    <row r="609" spans="1:19" s="1" customFormat="1" ht="15" hidden="1" customHeight="1" outlineLevel="1" x14ac:dyDescent="0.25">
      <c r="A609" s="2" t="s">
        <v>973</v>
      </c>
      <c r="B609" s="2" t="s">
        <v>974</v>
      </c>
      <c r="C609" s="13">
        <v>247.28</v>
      </c>
      <c r="D609" s="6">
        <v>300.07</v>
      </c>
      <c r="E609" s="6">
        <v>100</v>
      </c>
      <c r="F609" s="6"/>
      <c r="G609" s="6"/>
      <c r="H609" s="6">
        <v>2</v>
      </c>
      <c r="I609" s="6">
        <v>494.56</v>
      </c>
      <c r="J609" s="6">
        <v>84</v>
      </c>
      <c r="K609" s="6">
        <v>20771.52</v>
      </c>
      <c r="L609" s="6"/>
      <c r="M609" s="6"/>
      <c r="N609" s="6">
        <f t="shared" si="49"/>
        <v>86</v>
      </c>
      <c r="O609" s="6">
        <f t="shared" si="50"/>
        <v>21266.080000000002</v>
      </c>
      <c r="P609" s="6">
        <v>8</v>
      </c>
      <c r="Q609" s="6">
        <v>1977</v>
      </c>
      <c r="R609" s="6">
        <f t="shared" si="51"/>
        <v>33.611757256640111</v>
      </c>
      <c r="S609" s="6">
        <f t="shared" si="52"/>
        <v>8311.5153344219671</v>
      </c>
    </row>
    <row r="610" spans="1:19" s="1" customFormat="1" ht="15" hidden="1" customHeight="1" outlineLevel="1" x14ac:dyDescent="0.25">
      <c r="A610" s="2" t="s">
        <v>1127</v>
      </c>
      <c r="B610" s="2" t="s">
        <v>1128</v>
      </c>
      <c r="C610" s="13">
        <v>258.22000000000003</v>
      </c>
      <c r="D610" s="6">
        <v>1993.15</v>
      </c>
      <c r="E610" s="6">
        <v>100</v>
      </c>
      <c r="F610" s="6">
        <v>6</v>
      </c>
      <c r="G610" s="6">
        <v>1549.32</v>
      </c>
      <c r="H610" s="6"/>
      <c r="I610" s="6"/>
      <c r="J610" s="6">
        <v>544</v>
      </c>
      <c r="K610" s="6">
        <v>140471.67999999999</v>
      </c>
      <c r="L610" s="6"/>
      <c r="M610" s="6"/>
      <c r="N610" s="6">
        <f t="shared" si="49"/>
        <v>550</v>
      </c>
      <c r="O610" s="6">
        <f t="shared" si="50"/>
        <v>142021.00000000003</v>
      </c>
      <c r="P610" s="6">
        <v>8</v>
      </c>
      <c r="Q610" s="6">
        <v>2056</v>
      </c>
      <c r="R610" s="6">
        <f t="shared" si="51"/>
        <v>494.87173569475453</v>
      </c>
      <c r="S610" s="6">
        <f t="shared" si="52"/>
        <v>127785.77959109953</v>
      </c>
    </row>
    <row r="611" spans="1:19" s="1" customFormat="1" ht="15" hidden="1" customHeight="1" outlineLevel="1" x14ac:dyDescent="0.25">
      <c r="A611" s="2" t="s">
        <v>905</v>
      </c>
      <c r="B611" s="2" t="s">
        <v>906</v>
      </c>
      <c r="C611" s="13">
        <v>330</v>
      </c>
      <c r="D611" s="6">
        <v>1926.77</v>
      </c>
      <c r="E611" s="6">
        <v>100</v>
      </c>
      <c r="F611" s="6"/>
      <c r="G611" s="6"/>
      <c r="H611" s="6"/>
      <c r="I611" s="6"/>
      <c r="J611" s="6">
        <v>258</v>
      </c>
      <c r="K611" s="6">
        <v>85140</v>
      </c>
      <c r="L611" s="6"/>
      <c r="M611" s="6"/>
      <c r="N611" s="6">
        <f t="shared" si="49"/>
        <v>258</v>
      </c>
      <c r="O611" s="6">
        <f t="shared" si="50"/>
        <v>85140</v>
      </c>
      <c r="P611" s="6">
        <v>4</v>
      </c>
      <c r="Q611" s="6">
        <v>1459</v>
      </c>
      <c r="R611" s="6">
        <f t="shared" si="51"/>
        <v>233.89748646698877</v>
      </c>
      <c r="S611" s="6">
        <f t="shared" si="52"/>
        <v>77186.170534106292</v>
      </c>
    </row>
    <row r="612" spans="1:19" s="1" customFormat="1" ht="15" hidden="1" customHeight="1" outlineLevel="1" x14ac:dyDescent="0.25">
      <c r="A612" s="2" t="s">
        <v>967</v>
      </c>
      <c r="B612" s="2" t="s">
        <v>968</v>
      </c>
      <c r="C612" s="13">
        <v>292.95999999999998</v>
      </c>
      <c r="D612" s="6">
        <v>432.17</v>
      </c>
      <c r="E612" s="6">
        <v>100</v>
      </c>
      <c r="F612" s="6"/>
      <c r="G612" s="6"/>
      <c r="H612" s="6"/>
      <c r="I612" s="6"/>
      <c r="J612" s="6">
        <v>78</v>
      </c>
      <c r="K612" s="6">
        <v>22850.880000000001</v>
      </c>
      <c r="L612" s="6"/>
      <c r="M612" s="6"/>
      <c r="N612" s="6">
        <f t="shared" si="49"/>
        <v>78</v>
      </c>
      <c r="O612" s="6">
        <f t="shared" si="50"/>
        <v>22850.879999999997</v>
      </c>
      <c r="P612" s="6">
        <v>6</v>
      </c>
      <c r="Q612" s="6">
        <v>1839</v>
      </c>
      <c r="R612" s="6">
        <f t="shared" si="51"/>
        <v>45.5127843209848</v>
      </c>
      <c r="S612" s="6">
        <f t="shared" si="52"/>
        <v>13333.425294675706</v>
      </c>
    </row>
    <row r="613" spans="1:19" s="1" customFormat="1" ht="15" hidden="1" customHeight="1" outlineLevel="1" x14ac:dyDescent="0.25">
      <c r="A613" s="2" t="s">
        <v>1019</v>
      </c>
      <c r="B613" s="2" t="s">
        <v>1020</v>
      </c>
      <c r="C613" s="13">
        <v>47.94</v>
      </c>
      <c r="D613" s="6">
        <v>489.52</v>
      </c>
      <c r="E613" s="6">
        <v>100</v>
      </c>
      <c r="F613" s="6"/>
      <c r="G613" s="6"/>
      <c r="H613" s="6">
        <v>10</v>
      </c>
      <c r="I613" s="6">
        <v>479.4</v>
      </c>
      <c r="J613" s="6">
        <v>354</v>
      </c>
      <c r="K613" s="6">
        <v>16970.759999999998</v>
      </c>
      <c r="L613" s="6"/>
      <c r="M613" s="6"/>
      <c r="N613" s="6">
        <f t="shared" si="49"/>
        <v>364</v>
      </c>
      <c r="O613" s="6">
        <f t="shared" si="50"/>
        <v>17450.16</v>
      </c>
      <c r="P613" s="6">
        <v>14</v>
      </c>
      <c r="Q613" s="6">
        <v>713</v>
      </c>
      <c r="R613" s="6">
        <f t="shared" si="51"/>
        <v>223.83167184180422</v>
      </c>
      <c r="S613" s="6">
        <f t="shared" si="52"/>
        <v>10730.490348096095</v>
      </c>
    </row>
    <row r="614" spans="1:19" s="1" customFormat="1" ht="15" hidden="1" customHeight="1" outlineLevel="1" x14ac:dyDescent="0.25">
      <c r="A614" s="2" t="s">
        <v>191</v>
      </c>
      <c r="B614" s="2" t="s">
        <v>192</v>
      </c>
      <c r="C614" s="13">
        <v>76.709999999999994</v>
      </c>
      <c r="D614" s="6">
        <v>379.41</v>
      </c>
      <c r="E614" s="6">
        <v>100</v>
      </c>
      <c r="F614" s="6"/>
      <c r="G614" s="6"/>
      <c r="H614" s="6"/>
      <c r="I614" s="6"/>
      <c r="J614" s="6">
        <v>1391</v>
      </c>
      <c r="K614" s="6">
        <v>106703.61</v>
      </c>
      <c r="L614" s="6"/>
      <c r="M614" s="6"/>
      <c r="N614" s="6">
        <f t="shared" si="49"/>
        <v>1391</v>
      </c>
      <c r="O614" s="6">
        <f t="shared" si="50"/>
        <v>106703.60999999999</v>
      </c>
      <c r="P614" s="6">
        <v>149</v>
      </c>
      <c r="Q614" s="6">
        <v>11946</v>
      </c>
      <c r="R614" s="6">
        <f t="shared" si="51"/>
        <v>731.08065153791415</v>
      </c>
      <c r="S614" s="6">
        <f t="shared" si="52"/>
        <v>56081.196779473386</v>
      </c>
    </row>
    <row r="615" spans="1:19" s="1" customFormat="1" ht="15" hidden="1" customHeight="1" outlineLevel="1" x14ac:dyDescent="0.25">
      <c r="A615" s="2" t="s">
        <v>1199</v>
      </c>
      <c r="B615" s="2" t="s">
        <v>1200</v>
      </c>
      <c r="C615" s="13">
        <v>99.71</v>
      </c>
      <c r="D615" s="6"/>
      <c r="E615" s="6">
        <v>100</v>
      </c>
      <c r="F615" s="6"/>
      <c r="G615" s="6"/>
      <c r="H615" s="6"/>
      <c r="I615" s="6"/>
      <c r="J615" s="6">
        <v>90</v>
      </c>
      <c r="K615" s="6">
        <v>8973.9</v>
      </c>
      <c r="L615" s="6"/>
      <c r="M615" s="6"/>
      <c r="N615" s="6">
        <f t="shared" si="49"/>
        <v>90</v>
      </c>
      <c r="O615" s="6">
        <f t="shared" si="50"/>
        <v>8973.9</v>
      </c>
      <c r="P615" s="6"/>
      <c r="Q615" s="6"/>
      <c r="R615" s="6"/>
      <c r="S615" s="6"/>
    </row>
    <row r="616" spans="1:19" s="1" customFormat="1" ht="15" hidden="1" customHeight="1" outlineLevel="1" x14ac:dyDescent="0.25">
      <c r="A616" s="2" t="s">
        <v>1195</v>
      </c>
      <c r="B616" s="2" t="s">
        <v>1196</v>
      </c>
      <c r="C616" s="13">
        <v>99.71</v>
      </c>
      <c r="D616" s="6"/>
      <c r="E616" s="6">
        <v>100</v>
      </c>
      <c r="F616" s="6"/>
      <c r="G616" s="6"/>
      <c r="H616" s="6"/>
      <c r="I616" s="6"/>
      <c r="J616" s="6">
        <v>138</v>
      </c>
      <c r="K616" s="6">
        <v>13759.98</v>
      </c>
      <c r="L616" s="6"/>
      <c r="M616" s="6"/>
      <c r="N616" s="6">
        <f t="shared" si="49"/>
        <v>138</v>
      </c>
      <c r="O616" s="6">
        <f t="shared" si="50"/>
        <v>13759.98</v>
      </c>
      <c r="P616" s="6"/>
      <c r="Q616" s="6"/>
      <c r="R616" s="6"/>
      <c r="S616" s="6"/>
    </row>
    <row r="617" spans="1:19" s="1" customFormat="1" ht="15" hidden="1" customHeight="1" outlineLevel="1" x14ac:dyDescent="0.25">
      <c r="A617" s="2" t="s">
        <v>1215</v>
      </c>
      <c r="B617" s="2" t="s">
        <v>1216</v>
      </c>
      <c r="C617" s="13">
        <v>381.32</v>
      </c>
      <c r="D617" s="6">
        <v>3587.8</v>
      </c>
      <c r="E617" s="6">
        <v>100</v>
      </c>
      <c r="F617" s="6"/>
      <c r="G617" s="6"/>
      <c r="H617" s="6"/>
      <c r="I617" s="6"/>
      <c r="J617" s="6">
        <v>190</v>
      </c>
      <c r="K617" s="6">
        <v>72450.8</v>
      </c>
      <c r="L617" s="6"/>
      <c r="M617" s="6"/>
      <c r="N617" s="6">
        <f t="shared" ref="N617:N675" si="53">IF(J617+L617+H617+F617&lt;=0,"",J617+L617+H617+F617)</f>
        <v>190</v>
      </c>
      <c r="O617" s="6">
        <f t="shared" ref="O617:O675" si="54">IFERROR(C617*N617,"")</f>
        <v>72450.8</v>
      </c>
      <c r="P617" s="6">
        <v>2</v>
      </c>
      <c r="Q617" s="6">
        <v>693</v>
      </c>
      <c r="R617" s="6">
        <f t="shared" si="51"/>
        <v>180.46769608116395</v>
      </c>
      <c r="S617" s="6">
        <f t="shared" si="52"/>
        <v>68815.941869669434</v>
      </c>
    </row>
    <row r="618" spans="1:19" s="1" customFormat="1" ht="15" hidden="1" customHeight="1" outlineLevel="1" x14ac:dyDescent="0.25">
      <c r="A618" s="2" t="s">
        <v>1237</v>
      </c>
      <c r="B618" s="2" t="s">
        <v>1238</v>
      </c>
      <c r="C618" s="13">
        <v>190</v>
      </c>
      <c r="D618" s="6">
        <v>271.24</v>
      </c>
      <c r="E618" s="6">
        <v>100</v>
      </c>
      <c r="F618" s="6"/>
      <c r="G618" s="6"/>
      <c r="H618" s="6"/>
      <c r="I618" s="6"/>
      <c r="J618" s="6">
        <v>43</v>
      </c>
      <c r="K618" s="6">
        <v>8170</v>
      </c>
      <c r="L618" s="6"/>
      <c r="M618" s="6"/>
      <c r="N618" s="6">
        <f t="shared" si="53"/>
        <v>43</v>
      </c>
      <c r="O618" s="6">
        <f t="shared" si="54"/>
        <v>8170</v>
      </c>
      <c r="P618" s="6">
        <v>4</v>
      </c>
      <c r="Q618" s="6">
        <v>827</v>
      </c>
      <c r="R618" s="6">
        <f t="shared" ref="R618:R675" si="55">J618/D618*(D618-180)</f>
        <v>14.464385783807698</v>
      </c>
      <c r="S618" s="6">
        <f t="shared" ref="S618:S675" si="56">R618*C618</f>
        <v>2748.2332989234628</v>
      </c>
    </row>
    <row r="619" spans="1:19" s="1" customFormat="1" ht="15" hidden="1" customHeight="1" outlineLevel="1" x14ac:dyDescent="0.25">
      <c r="A619" s="2" t="s">
        <v>1263</v>
      </c>
      <c r="B619" s="2" t="s">
        <v>1264</v>
      </c>
      <c r="C619" s="13">
        <v>56.75</v>
      </c>
      <c r="D619" s="6">
        <v>673.78</v>
      </c>
      <c r="E619" s="6">
        <v>100</v>
      </c>
      <c r="F619" s="6"/>
      <c r="G619" s="6"/>
      <c r="H619" s="6">
        <v>60</v>
      </c>
      <c r="I619" s="6">
        <v>3405</v>
      </c>
      <c r="J619" s="6">
        <v>339</v>
      </c>
      <c r="K619" s="6">
        <v>19238.25</v>
      </c>
      <c r="L619" s="6">
        <v>200</v>
      </c>
      <c r="M619" s="6">
        <v>11350</v>
      </c>
      <c r="N619" s="6">
        <f t="shared" si="53"/>
        <v>599</v>
      </c>
      <c r="O619" s="6">
        <f t="shared" si="54"/>
        <v>33993.25</v>
      </c>
      <c r="P619" s="6">
        <v>20</v>
      </c>
      <c r="Q619" s="6">
        <v>1172</v>
      </c>
      <c r="R619" s="6">
        <f t="shared" si="55"/>
        <v>248.43631452402863</v>
      </c>
      <c r="S619" s="6">
        <f t="shared" si="56"/>
        <v>14098.760849238624</v>
      </c>
    </row>
    <row r="620" spans="1:19" s="1" customFormat="1" ht="15" hidden="1" customHeight="1" outlineLevel="1" x14ac:dyDescent="0.25">
      <c r="A620" s="2" t="s">
        <v>1247</v>
      </c>
      <c r="B620" s="2" t="s">
        <v>1248</v>
      </c>
      <c r="C620" s="13">
        <v>394.19</v>
      </c>
      <c r="D620" s="6">
        <v>770.86</v>
      </c>
      <c r="E620" s="6">
        <v>100</v>
      </c>
      <c r="F620" s="6"/>
      <c r="G620" s="6"/>
      <c r="H620" s="6">
        <v>50</v>
      </c>
      <c r="I620" s="6">
        <v>19709.5</v>
      </c>
      <c r="J620" s="6">
        <v>503</v>
      </c>
      <c r="K620" s="6">
        <v>198277.57</v>
      </c>
      <c r="L620" s="6"/>
      <c r="M620" s="6"/>
      <c r="N620" s="6">
        <f t="shared" si="53"/>
        <v>553</v>
      </c>
      <c r="O620" s="6">
        <f t="shared" si="54"/>
        <v>217987.07</v>
      </c>
      <c r="P620" s="6">
        <v>2</v>
      </c>
      <c r="Q620" s="6">
        <v>973</v>
      </c>
      <c r="R620" s="6">
        <f t="shared" si="55"/>
        <v>385.54676594971852</v>
      </c>
      <c r="S620" s="6">
        <f t="shared" si="56"/>
        <v>151978.67966971954</v>
      </c>
    </row>
    <row r="621" spans="1:19" s="1" customFormat="1" ht="15" hidden="1" customHeight="1" outlineLevel="1" x14ac:dyDescent="0.25">
      <c r="A621" s="2" t="s">
        <v>911</v>
      </c>
      <c r="B621" s="2" t="s">
        <v>912</v>
      </c>
      <c r="C621" s="13">
        <v>169</v>
      </c>
      <c r="D621" s="6">
        <v>485.08</v>
      </c>
      <c r="E621" s="6">
        <v>100</v>
      </c>
      <c r="F621" s="6"/>
      <c r="G621" s="6"/>
      <c r="H621" s="6"/>
      <c r="I621" s="6"/>
      <c r="J621" s="6">
        <v>52</v>
      </c>
      <c r="K621" s="6">
        <v>8788</v>
      </c>
      <c r="L621" s="6"/>
      <c r="M621" s="6"/>
      <c r="N621" s="6">
        <f t="shared" si="53"/>
        <v>52</v>
      </c>
      <c r="O621" s="6">
        <f t="shared" si="54"/>
        <v>8788</v>
      </c>
      <c r="P621" s="6">
        <v>4</v>
      </c>
      <c r="Q621" s="6">
        <v>654</v>
      </c>
      <c r="R621" s="6">
        <f t="shared" si="55"/>
        <v>32.70421373794013</v>
      </c>
      <c r="S621" s="6">
        <f t="shared" si="56"/>
        <v>5527.0121217118822</v>
      </c>
    </row>
    <row r="622" spans="1:19" s="1" customFormat="1" ht="15" hidden="1" customHeight="1" outlineLevel="1" x14ac:dyDescent="0.25">
      <c r="A622" s="2" t="s">
        <v>1017</v>
      </c>
      <c r="B622" s="2" t="s">
        <v>1018</v>
      </c>
      <c r="C622" s="13">
        <v>47.94</v>
      </c>
      <c r="D622" s="6">
        <v>4677.43</v>
      </c>
      <c r="E622" s="6">
        <v>100</v>
      </c>
      <c r="F622" s="6"/>
      <c r="G622" s="6"/>
      <c r="H622" s="6"/>
      <c r="I622" s="6"/>
      <c r="J622" s="6">
        <v>349</v>
      </c>
      <c r="K622" s="6">
        <v>16731.060000000001</v>
      </c>
      <c r="L622" s="6"/>
      <c r="M622" s="6"/>
      <c r="N622" s="6">
        <f t="shared" si="53"/>
        <v>349</v>
      </c>
      <c r="O622" s="6">
        <f t="shared" si="54"/>
        <v>16731.059999999998</v>
      </c>
      <c r="P622" s="6">
        <v>2</v>
      </c>
      <c r="Q622" s="6">
        <v>87</v>
      </c>
      <c r="R622" s="6">
        <f t="shared" si="55"/>
        <v>335.56954780723601</v>
      </c>
      <c r="S622" s="6">
        <f t="shared" si="56"/>
        <v>16087.204121878893</v>
      </c>
    </row>
    <row r="623" spans="1:19" s="1" customFormat="1" ht="15" hidden="1" customHeight="1" outlineLevel="1" x14ac:dyDescent="0.25">
      <c r="A623" s="2" t="s">
        <v>1231</v>
      </c>
      <c r="B623" s="2" t="s">
        <v>1232</v>
      </c>
      <c r="C623" s="13">
        <v>211.26</v>
      </c>
      <c r="D623" s="6">
        <v>2458.3000000000002</v>
      </c>
      <c r="E623" s="6">
        <v>100</v>
      </c>
      <c r="F623" s="6"/>
      <c r="G623" s="6"/>
      <c r="H623" s="6"/>
      <c r="I623" s="6"/>
      <c r="J623" s="6">
        <v>261</v>
      </c>
      <c r="K623" s="6">
        <v>55138.86</v>
      </c>
      <c r="L623" s="6"/>
      <c r="M623" s="6"/>
      <c r="N623" s="6">
        <f t="shared" si="53"/>
        <v>261</v>
      </c>
      <c r="O623" s="6">
        <f t="shared" si="54"/>
        <v>55138.86</v>
      </c>
      <c r="P623" s="6">
        <v>3</v>
      </c>
      <c r="Q623" s="6">
        <v>566</v>
      </c>
      <c r="R623" s="6">
        <f t="shared" si="55"/>
        <v>241.88923239637148</v>
      </c>
      <c r="S623" s="6">
        <f t="shared" si="56"/>
        <v>51101.519236057437</v>
      </c>
    </row>
    <row r="624" spans="1:19" s="1" customFormat="1" ht="15" hidden="1" customHeight="1" outlineLevel="1" x14ac:dyDescent="0.25">
      <c r="A624" s="2" t="s">
        <v>919</v>
      </c>
      <c r="B624" s="2" t="s">
        <v>920</v>
      </c>
      <c r="C624" s="13">
        <v>192</v>
      </c>
      <c r="D624" s="6">
        <v>1353.17</v>
      </c>
      <c r="E624" s="6">
        <v>100</v>
      </c>
      <c r="F624" s="6"/>
      <c r="G624" s="6"/>
      <c r="H624" s="6"/>
      <c r="I624" s="6"/>
      <c r="J624" s="6">
        <v>123</v>
      </c>
      <c r="K624" s="6">
        <v>23616</v>
      </c>
      <c r="L624" s="6"/>
      <c r="M624" s="6"/>
      <c r="N624" s="6">
        <f t="shared" si="53"/>
        <v>123</v>
      </c>
      <c r="O624" s="6">
        <f t="shared" si="54"/>
        <v>23616</v>
      </c>
      <c r="P624" s="6">
        <v>1</v>
      </c>
      <c r="Q624" s="6">
        <v>271</v>
      </c>
      <c r="R624" s="6">
        <f t="shared" si="55"/>
        <v>106.63841941515109</v>
      </c>
      <c r="S624" s="6">
        <f t="shared" si="56"/>
        <v>20474.57652770901</v>
      </c>
    </row>
    <row r="625" spans="1:19" s="1" customFormat="1" ht="15" hidden="1" customHeight="1" outlineLevel="1" x14ac:dyDescent="0.25">
      <c r="A625" s="2" t="s">
        <v>893</v>
      </c>
      <c r="B625" s="2" t="s">
        <v>894</v>
      </c>
      <c r="C625" s="13">
        <v>79</v>
      </c>
      <c r="D625" s="6">
        <v>16305</v>
      </c>
      <c r="E625" s="6">
        <v>100</v>
      </c>
      <c r="F625" s="6"/>
      <c r="G625" s="6"/>
      <c r="H625" s="6"/>
      <c r="I625" s="6"/>
      <c r="J625" s="6">
        <v>875</v>
      </c>
      <c r="K625" s="6">
        <v>69125</v>
      </c>
      <c r="L625" s="6"/>
      <c r="M625" s="6"/>
      <c r="N625" s="6">
        <f t="shared" si="53"/>
        <v>875</v>
      </c>
      <c r="O625" s="6">
        <f t="shared" si="54"/>
        <v>69125</v>
      </c>
      <c r="P625" s="6">
        <v>2</v>
      </c>
      <c r="Q625" s="6">
        <v>145</v>
      </c>
      <c r="R625" s="6">
        <f t="shared" si="55"/>
        <v>865.34038638454467</v>
      </c>
      <c r="S625" s="6">
        <f t="shared" si="56"/>
        <v>68361.890524379036</v>
      </c>
    </row>
    <row r="626" spans="1:19" s="1" customFormat="1" ht="15" hidden="1" customHeight="1" outlineLevel="1" x14ac:dyDescent="0.25">
      <c r="A626" s="2" t="s">
        <v>847</v>
      </c>
      <c r="B626" s="2" t="s">
        <v>848</v>
      </c>
      <c r="C626" s="13">
        <v>860.31</v>
      </c>
      <c r="D626" s="6"/>
      <c r="E626" s="6">
        <v>100</v>
      </c>
      <c r="F626" s="6"/>
      <c r="G626" s="6"/>
      <c r="H626" s="6"/>
      <c r="I626" s="6"/>
      <c r="J626" s="6">
        <v>338</v>
      </c>
      <c r="K626" s="6">
        <v>290784.78000000003</v>
      </c>
      <c r="L626" s="6">
        <v>350</v>
      </c>
      <c r="M626" s="6">
        <v>301108.5</v>
      </c>
      <c r="N626" s="6">
        <f t="shared" si="53"/>
        <v>688</v>
      </c>
      <c r="O626" s="6">
        <f t="shared" si="54"/>
        <v>591893.27999999991</v>
      </c>
      <c r="P626" s="6"/>
      <c r="Q626" s="6"/>
      <c r="R626" s="6"/>
      <c r="S626" s="6"/>
    </row>
    <row r="627" spans="1:19" s="1" customFormat="1" ht="15" hidden="1" customHeight="1" outlineLevel="1" x14ac:dyDescent="0.25">
      <c r="A627" s="2" t="s">
        <v>993</v>
      </c>
      <c r="B627" s="2" t="s">
        <v>994</v>
      </c>
      <c r="C627" s="13">
        <v>73.06</v>
      </c>
      <c r="D627" s="6">
        <v>1517.21</v>
      </c>
      <c r="E627" s="6">
        <v>100</v>
      </c>
      <c r="F627" s="6"/>
      <c r="G627" s="6"/>
      <c r="H627" s="6">
        <v>5</v>
      </c>
      <c r="I627" s="6">
        <v>365.3</v>
      </c>
      <c r="J627" s="6">
        <v>360</v>
      </c>
      <c r="K627" s="6">
        <v>26301.599999999999</v>
      </c>
      <c r="L627" s="6"/>
      <c r="M627" s="6"/>
      <c r="N627" s="6">
        <f t="shared" si="53"/>
        <v>365</v>
      </c>
      <c r="O627" s="6">
        <f t="shared" si="54"/>
        <v>26666.9</v>
      </c>
      <c r="P627" s="6">
        <v>5</v>
      </c>
      <c r="Q627" s="6">
        <v>391</v>
      </c>
      <c r="R627" s="6">
        <f t="shared" si="55"/>
        <v>317.29002577098754</v>
      </c>
      <c r="S627" s="6">
        <f t="shared" si="56"/>
        <v>23181.209282828349</v>
      </c>
    </row>
    <row r="628" spans="1:19" s="1" customFormat="1" ht="15" hidden="1" customHeight="1" outlineLevel="1" x14ac:dyDescent="0.25">
      <c r="A628" s="2" t="s">
        <v>1111</v>
      </c>
      <c r="B628" s="2" t="s">
        <v>1112</v>
      </c>
      <c r="C628" s="13">
        <v>148.15</v>
      </c>
      <c r="D628" s="6">
        <v>3356</v>
      </c>
      <c r="E628" s="6">
        <v>100</v>
      </c>
      <c r="F628" s="6"/>
      <c r="G628" s="6"/>
      <c r="H628" s="6"/>
      <c r="I628" s="6"/>
      <c r="J628" s="6">
        <v>92</v>
      </c>
      <c r="K628" s="6">
        <v>13629.8</v>
      </c>
      <c r="L628" s="6"/>
      <c r="M628" s="6"/>
      <c r="N628" s="6">
        <f t="shared" si="53"/>
        <v>92</v>
      </c>
      <c r="O628" s="6">
        <f t="shared" si="54"/>
        <v>13629.800000000001</v>
      </c>
      <c r="P628" s="6">
        <v>1</v>
      </c>
      <c r="Q628" s="6">
        <v>154</v>
      </c>
      <c r="R628" s="6">
        <f t="shared" si="55"/>
        <v>87.065554231227651</v>
      </c>
      <c r="S628" s="6">
        <f t="shared" si="56"/>
        <v>12898.761859356377</v>
      </c>
    </row>
    <row r="629" spans="1:19" s="1" customFormat="1" ht="15" hidden="1" customHeight="1" outlineLevel="1" x14ac:dyDescent="0.25">
      <c r="A629" s="2" t="s">
        <v>849</v>
      </c>
      <c r="B629" s="2" t="s">
        <v>850</v>
      </c>
      <c r="C629" s="13">
        <v>1141.26</v>
      </c>
      <c r="D629" s="6"/>
      <c r="E629" s="6">
        <v>100</v>
      </c>
      <c r="F629" s="6"/>
      <c r="G629" s="6"/>
      <c r="H629" s="6"/>
      <c r="I629" s="6"/>
      <c r="J629" s="6">
        <v>354</v>
      </c>
      <c r="K629" s="6">
        <v>404006.04</v>
      </c>
      <c r="L629" s="6">
        <v>600</v>
      </c>
      <c r="M629" s="6">
        <v>684756</v>
      </c>
      <c r="N629" s="6">
        <f t="shared" si="53"/>
        <v>954</v>
      </c>
      <c r="O629" s="6">
        <f t="shared" si="54"/>
        <v>1088762.04</v>
      </c>
      <c r="P629" s="6"/>
      <c r="Q629" s="6"/>
      <c r="R629" s="6"/>
      <c r="S629" s="6"/>
    </row>
    <row r="630" spans="1:19" s="1" customFormat="1" ht="15" hidden="1" customHeight="1" outlineLevel="1" x14ac:dyDescent="0.25">
      <c r="A630" s="2" t="s">
        <v>925</v>
      </c>
      <c r="B630" s="2" t="s">
        <v>926</v>
      </c>
      <c r="C630" s="13">
        <v>239.89</v>
      </c>
      <c r="D630" s="6">
        <v>1361.14</v>
      </c>
      <c r="E630" s="6">
        <v>100</v>
      </c>
      <c r="F630" s="6"/>
      <c r="G630" s="6"/>
      <c r="H630" s="6"/>
      <c r="I630" s="6"/>
      <c r="J630" s="6">
        <v>61</v>
      </c>
      <c r="K630" s="6">
        <v>14633.29</v>
      </c>
      <c r="L630" s="6"/>
      <c r="M630" s="6"/>
      <c r="N630" s="6">
        <f t="shared" si="53"/>
        <v>61</v>
      </c>
      <c r="O630" s="6">
        <f t="shared" si="54"/>
        <v>14633.289999999999</v>
      </c>
      <c r="P630" s="6">
        <v>2</v>
      </c>
      <c r="Q630" s="6">
        <v>584</v>
      </c>
      <c r="R630" s="6">
        <f t="shared" si="55"/>
        <v>52.933232437515613</v>
      </c>
      <c r="S630" s="6">
        <f t="shared" si="56"/>
        <v>12698.153129435619</v>
      </c>
    </row>
    <row r="631" spans="1:19" s="1" customFormat="1" ht="15" hidden="1" customHeight="1" outlineLevel="1" x14ac:dyDescent="0.25">
      <c r="A631" s="2" t="s">
        <v>1265</v>
      </c>
      <c r="B631" s="2" t="s">
        <v>1266</v>
      </c>
      <c r="C631" s="13">
        <v>56.75</v>
      </c>
      <c r="D631" s="6">
        <v>332.38</v>
      </c>
      <c r="E631" s="6">
        <v>100</v>
      </c>
      <c r="F631" s="6"/>
      <c r="G631" s="6"/>
      <c r="H631" s="6">
        <v>60</v>
      </c>
      <c r="I631" s="6">
        <v>3405</v>
      </c>
      <c r="J631" s="6">
        <v>152</v>
      </c>
      <c r="K631" s="6">
        <v>8626</v>
      </c>
      <c r="L631" s="6">
        <v>200</v>
      </c>
      <c r="M631" s="6">
        <v>11350</v>
      </c>
      <c r="N631" s="6">
        <f t="shared" si="53"/>
        <v>412</v>
      </c>
      <c r="O631" s="6">
        <f t="shared" si="54"/>
        <v>23381</v>
      </c>
      <c r="P631" s="6">
        <v>24</v>
      </c>
      <c r="Q631" s="6">
        <v>1387</v>
      </c>
      <c r="R631" s="6">
        <f t="shared" si="55"/>
        <v>69.684577892773333</v>
      </c>
      <c r="S631" s="6">
        <f t="shared" si="56"/>
        <v>3954.5997954148866</v>
      </c>
    </row>
    <row r="632" spans="1:19" s="1" customFormat="1" ht="15" hidden="1" customHeight="1" outlineLevel="1" x14ac:dyDescent="0.25">
      <c r="A632" s="2" t="s">
        <v>446</v>
      </c>
      <c r="B632" s="2" t="s">
        <v>447</v>
      </c>
      <c r="C632" s="13">
        <v>105.75</v>
      </c>
      <c r="D632" s="6">
        <v>209.8</v>
      </c>
      <c r="E632" s="6">
        <v>29.03</v>
      </c>
      <c r="F632" s="6"/>
      <c r="G632" s="6"/>
      <c r="H632" s="6">
        <v>165</v>
      </c>
      <c r="I632" s="6">
        <v>17448.75</v>
      </c>
      <c r="J632" s="6">
        <v>185</v>
      </c>
      <c r="K632" s="6">
        <v>19563.75</v>
      </c>
      <c r="L632" s="6"/>
      <c r="M632" s="6"/>
      <c r="N632" s="6">
        <f t="shared" si="53"/>
        <v>350</v>
      </c>
      <c r="O632" s="6">
        <f t="shared" si="54"/>
        <v>37012.5</v>
      </c>
      <c r="P632" s="6">
        <v>17</v>
      </c>
      <c r="Q632" s="6">
        <v>1844</v>
      </c>
      <c r="R632" s="6">
        <f t="shared" si="55"/>
        <v>26.277407054337473</v>
      </c>
      <c r="S632" s="6">
        <f t="shared" si="56"/>
        <v>2778.8357959961877</v>
      </c>
    </row>
    <row r="633" spans="1:19" s="1" customFormat="1" ht="15" hidden="1" customHeight="1" outlineLevel="1" x14ac:dyDescent="0.25">
      <c r="A633" s="2" t="s">
        <v>853</v>
      </c>
      <c r="B633" s="2" t="s">
        <v>854</v>
      </c>
      <c r="C633" s="13">
        <v>2256.86</v>
      </c>
      <c r="D633" s="6"/>
      <c r="E633" s="6">
        <v>100</v>
      </c>
      <c r="F633" s="6"/>
      <c r="G633" s="6"/>
      <c r="H633" s="6"/>
      <c r="I633" s="6"/>
      <c r="J633" s="6">
        <v>86</v>
      </c>
      <c r="K633" s="6">
        <v>194089.96</v>
      </c>
      <c r="L633" s="6"/>
      <c r="M633" s="6"/>
      <c r="N633" s="6">
        <f t="shared" si="53"/>
        <v>86</v>
      </c>
      <c r="O633" s="6">
        <f t="shared" si="54"/>
        <v>194089.96000000002</v>
      </c>
      <c r="P633" s="6"/>
      <c r="Q633" s="6"/>
      <c r="R633" s="6"/>
      <c r="S633" s="6"/>
    </row>
    <row r="634" spans="1:19" s="1" customFormat="1" ht="15" hidden="1" customHeight="1" outlineLevel="1" x14ac:dyDescent="0.25">
      <c r="A634" s="2" t="s">
        <v>1225</v>
      </c>
      <c r="B634" s="2" t="s">
        <v>1226</v>
      </c>
      <c r="C634" s="13">
        <v>164.32</v>
      </c>
      <c r="D634" s="6">
        <v>734.06</v>
      </c>
      <c r="E634" s="6">
        <v>100</v>
      </c>
      <c r="F634" s="6"/>
      <c r="G634" s="6"/>
      <c r="H634" s="6"/>
      <c r="I634" s="6"/>
      <c r="J634" s="6">
        <v>234</v>
      </c>
      <c r="K634" s="6">
        <v>38450.879999999997</v>
      </c>
      <c r="L634" s="6"/>
      <c r="M634" s="6"/>
      <c r="N634" s="6">
        <f t="shared" si="53"/>
        <v>234</v>
      </c>
      <c r="O634" s="6">
        <f t="shared" si="54"/>
        <v>38450.879999999997</v>
      </c>
      <c r="P634" s="6">
        <v>10</v>
      </c>
      <c r="Q634" s="6">
        <v>1654</v>
      </c>
      <c r="R634" s="6">
        <f t="shared" si="55"/>
        <v>176.62049423752825</v>
      </c>
      <c r="S634" s="6">
        <f t="shared" si="56"/>
        <v>29022.279613110641</v>
      </c>
    </row>
    <row r="635" spans="1:19" s="1" customFormat="1" ht="15" hidden="1" customHeight="1" outlineLevel="1" x14ac:dyDescent="0.25">
      <c r="A635" s="2" t="s">
        <v>646</v>
      </c>
      <c r="B635" s="2" t="s">
        <v>647</v>
      </c>
      <c r="C635" s="13">
        <v>573.26</v>
      </c>
      <c r="D635" s="6">
        <v>609.4</v>
      </c>
      <c r="E635" s="6">
        <v>100</v>
      </c>
      <c r="F635" s="6">
        <v>10</v>
      </c>
      <c r="G635" s="6">
        <v>5732.6</v>
      </c>
      <c r="H635" s="6"/>
      <c r="I635" s="6"/>
      <c r="J635" s="6">
        <v>58</v>
      </c>
      <c r="K635" s="6">
        <v>33249.08</v>
      </c>
      <c r="L635" s="6"/>
      <c r="M635" s="6"/>
      <c r="N635" s="6">
        <f t="shared" si="53"/>
        <v>68</v>
      </c>
      <c r="O635" s="6">
        <f t="shared" si="54"/>
        <v>38981.68</v>
      </c>
      <c r="P635" s="6">
        <v>3</v>
      </c>
      <c r="Q635" s="6">
        <v>1999</v>
      </c>
      <c r="R635" s="6">
        <f t="shared" si="55"/>
        <v>40.868395142763376</v>
      </c>
      <c r="S635" s="6">
        <f t="shared" si="56"/>
        <v>23428.216199540533</v>
      </c>
    </row>
    <row r="636" spans="1:19" s="1" customFormat="1" ht="15" hidden="1" customHeight="1" outlineLevel="1" x14ac:dyDescent="0.25">
      <c r="A636" s="2" t="s">
        <v>1085</v>
      </c>
      <c r="B636" s="2" t="s">
        <v>1086</v>
      </c>
      <c r="C636" s="13">
        <v>116.85</v>
      </c>
      <c r="D636" s="6">
        <v>669.96</v>
      </c>
      <c r="E636" s="6">
        <v>100</v>
      </c>
      <c r="F636" s="6"/>
      <c r="G636" s="6"/>
      <c r="H636" s="6"/>
      <c r="I636" s="6"/>
      <c r="J636" s="6">
        <v>97</v>
      </c>
      <c r="K636" s="6">
        <v>11334.45</v>
      </c>
      <c r="L636" s="6"/>
      <c r="M636" s="6"/>
      <c r="N636" s="6">
        <f t="shared" si="53"/>
        <v>97</v>
      </c>
      <c r="O636" s="6">
        <f t="shared" si="54"/>
        <v>11334.449999999999</v>
      </c>
      <c r="P636" s="6">
        <v>4</v>
      </c>
      <c r="Q636" s="6">
        <v>524</v>
      </c>
      <c r="R636" s="6">
        <f t="shared" si="55"/>
        <v>70.938742611499194</v>
      </c>
      <c r="S636" s="6">
        <f t="shared" si="56"/>
        <v>8289.1920741536796</v>
      </c>
    </row>
    <row r="637" spans="1:19" s="1" customFormat="1" ht="15" hidden="1" customHeight="1" outlineLevel="1" x14ac:dyDescent="0.25">
      <c r="A637" s="2" t="s">
        <v>1257</v>
      </c>
      <c r="B637" s="2" t="s">
        <v>1258</v>
      </c>
      <c r="C637" s="13">
        <v>56.75</v>
      </c>
      <c r="D637" s="6">
        <v>115.53</v>
      </c>
      <c r="E637" s="6">
        <v>100</v>
      </c>
      <c r="F637" s="6"/>
      <c r="G637" s="6"/>
      <c r="H637" s="6">
        <v>100</v>
      </c>
      <c r="I637" s="6">
        <v>5675</v>
      </c>
      <c r="J637" s="6">
        <v>0</v>
      </c>
      <c r="K637" s="6">
        <v>0</v>
      </c>
      <c r="L637" s="6">
        <v>400</v>
      </c>
      <c r="M637" s="6">
        <v>22700</v>
      </c>
      <c r="N637" s="6">
        <f t="shared" si="53"/>
        <v>500</v>
      </c>
      <c r="O637" s="6">
        <f t="shared" si="54"/>
        <v>28375</v>
      </c>
      <c r="P637" s="6">
        <v>40</v>
      </c>
      <c r="Q637" s="6">
        <v>2291</v>
      </c>
      <c r="R637" s="6"/>
      <c r="S637" s="6"/>
    </row>
    <row r="638" spans="1:19" s="1" customFormat="1" ht="15" hidden="1" customHeight="1" outlineLevel="1" x14ac:dyDescent="0.25">
      <c r="A638" s="2" t="s">
        <v>524</v>
      </c>
      <c r="B638" s="2" t="s">
        <v>525</v>
      </c>
      <c r="C638" s="13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 t="str">
        <f t="shared" si="53"/>
        <v/>
      </c>
      <c r="O638" s="6" t="str">
        <f t="shared" si="54"/>
        <v/>
      </c>
      <c r="P638" s="6"/>
      <c r="Q638" s="6"/>
      <c r="R638" s="6"/>
      <c r="S638" s="6"/>
    </row>
    <row r="639" spans="1:19" s="1" customFormat="1" ht="15" hidden="1" customHeight="1" outlineLevel="1" x14ac:dyDescent="0.25">
      <c r="A639" s="2" t="s">
        <v>474</v>
      </c>
      <c r="B639" s="2" t="s">
        <v>475</v>
      </c>
      <c r="C639" s="13">
        <v>1888.8</v>
      </c>
      <c r="D639" s="6"/>
      <c r="E639" s="6">
        <v>100</v>
      </c>
      <c r="F639" s="6"/>
      <c r="G639" s="6"/>
      <c r="H639" s="6"/>
      <c r="I639" s="6"/>
      <c r="J639" s="6">
        <v>188</v>
      </c>
      <c r="K639" s="6">
        <v>355094.4</v>
      </c>
      <c r="L639" s="6">
        <v>240</v>
      </c>
      <c r="M639" s="6">
        <v>453312</v>
      </c>
      <c r="N639" s="6">
        <f t="shared" si="53"/>
        <v>428</v>
      </c>
      <c r="O639" s="6">
        <f t="shared" si="54"/>
        <v>808406.4</v>
      </c>
      <c r="P639" s="6"/>
      <c r="Q639" s="6"/>
      <c r="R639" s="6"/>
      <c r="S639" s="6"/>
    </row>
    <row r="640" spans="1:19" s="1" customFormat="1" ht="15" hidden="1" customHeight="1" outlineLevel="1" x14ac:dyDescent="0.25">
      <c r="A640" s="2" t="s">
        <v>935</v>
      </c>
      <c r="B640" s="2" t="s">
        <v>936</v>
      </c>
      <c r="C640" s="13">
        <v>105</v>
      </c>
      <c r="D640" s="6"/>
      <c r="E640" s="6">
        <v>9.68</v>
      </c>
      <c r="F640" s="6"/>
      <c r="G640" s="6"/>
      <c r="H640" s="6"/>
      <c r="I640" s="6"/>
      <c r="J640" s="6"/>
      <c r="K640" s="6"/>
      <c r="L640" s="6"/>
      <c r="M640" s="6"/>
      <c r="N640" s="6" t="str">
        <f t="shared" si="53"/>
        <v/>
      </c>
      <c r="O640" s="6" t="str">
        <f t="shared" si="54"/>
        <v/>
      </c>
      <c r="P640" s="6"/>
      <c r="Q640" s="6"/>
      <c r="R640" s="6"/>
      <c r="S640" s="6"/>
    </row>
    <row r="641" spans="1:19" s="1" customFormat="1" ht="15" hidden="1" customHeight="1" outlineLevel="1" x14ac:dyDescent="0.25">
      <c r="A641" s="2" t="s">
        <v>1213</v>
      </c>
      <c r="B641" s="2" t="s">
        <v>1214</v>
      </c>
      <c r="C641" s="13">
        <v>381.32</v>
      </c>
      <c r="D641" s="6">
        <v>5513.25</v>
      </c>
      <c r="E641" s="6">
        <v>100</v>
      </c>
      <c r="F641" s="6"/>
      <c r="G641" s="6"/>
      <c r="H641" s="6">
        <v>1</v>
      </c>
      <c r="I641" s="6">
        <v>381.32</v>
      </c>
      <c r="J641" s="6">
        <v>234</v>
      </c>
      <c r="K641" s="6">
        <v>89228.88</v>
      </c>
      <c r="L641" s="6"/>
      <c r="M641" s="6"/>
      <c r="N641" s="6">
        <f t="shared" si="53"/>
        <v>235</v>
      </c>
      <c r="O641" s="6">
        <f t="shared" si="54"/>
        <v>89610.2</v>
      </c>
      <c r="P641" s="6">
        <v>1</v>
      </c>
      <c r="Q641" s="6">
        <v>561</v>
      </c>
      <c r="R641" s="6">
        <f t="shared" si="55"/>
        <v>226.3602230988981</v>
      </c>
      <c r="S641" s="6">
        <f t="shared" si="56"/>
        <v>86315.680272071826</v>
      </c>
    </row>
    <row r="642" spans="1:19" s="1" customFormat="1" ht="15" hidden="1" customHeight="1" outlineLevel="1" x14ac:dyDescent="0.25">
      <c r="A642" s="2" t="s">
        <v>1027</v>
      </c>
      <c r="B642" s="2" t="s">
        <v>1028</v>
      </c>
      <c r="C642" s="13">
        <v>48.43</v>
      </c>
      <c r="D642" s="6">
        <v>3508.92</v>
      </c>
      <c r="E642" s="6">
        <v>100</v>
      </c>
      <c r="F642" s="6"/>
      <c r="G642" s="6"/>
      <c r="H642" s="6"/>
      <c r="I642" s="6"/>
      <c r="J642" s="6">
        <v>449</v>
      </c>
      <c r="K642" s="6">
        <v>21745.07</v>
      </c>
      <c r="L642" s="6"/>
      <c r="M642" s="6"/>
      <c r="N642" s="6">
        <f t="shared" si="53"/>
        <v>449</v>
      </c>
      <c r="O642" s="6">
        <f t="shared" si="54"/>
        <v>21745.07</v>
      </c>
      <c r="P642" s="6">
        <v>3</v>
      </c>
      <c r="Q642" s="6">
        <v>169</v>
      </c>
      <c r="R642" s="6">
        <f t="shared" si="55"/>
        <v>425.96727198112234</v>
      </c>
      <c r="S642" s="6">
        <f t="shared" si="56"/>
        <v>20629.594982045754</v>
      </c>
    </row>
    <row r="643" spans="1:19" s="1" customFormat="1" ht="15" hidden="1" customHeight="1" outlineLevel="1" x14ac:dyDescent="0.25">
      <c r="A643" s="2" t="s">
        <v>1261</v>
      </c>
      <c r="B643" s="2" t="s">
        <v>1262</v>
      </c>
      <c r="C643" s="13">
        <v>56.75</v>
      </c>
      <c r="D643" s="6">
        <v>364.06</v>
      </c>
      <c r="E643" s="6">
        <v>100</v>
      </c>
      <c r="F643" s="6"/>
      <c r="G643" s="6"/>
      <c r="H643" s="6">
        <v>21</v>
      </c>
      <c r="I643" s="6">
        <v>1191.75</v>
      </c>
      <c r="J643" s="6">
        <v>287</v>
      </c>
      <c r="K643" s="6">
        <v>16287.25</v>
      </c>
      <c r="L643" s="6">
        <v>400</v>
      </c>
      <c r="M643" s="6">
        <v>22700</v>
      </c>
      <c r="N643" s="6">
        <f t="shared" si="53"/>
        <v>708</v>
      </c>
      <c r="O643" s="6">
        <f t="shared" si="54"/>
        <v>40179</v>
      </c>
      <c r="P643" s="6">
        <v>31</v>
      </c>
      <c r="Q643" s="6">
        <v>1804</v>
      </c>
      <c r="R643" s="6">
        <f t="shared" si="55"/>
        <v>145.1003131351975</v>
      </c>
      <c r="S643" s="6">
        <f t="shared" si="56"/>
        <v>8234.4427704224581</v>
      </c>
    </row>
    <row r="644" spans="1:19" s="1" customFormat="1" ht="15" hidden="1" customHeight="1" outlineLevel="1" x14ac:dyDescent="0.25">
      <c r="A644" s="2" t="s">
        <v>1331</v>
      </c>
      <c r="B644" s="2" t="s">
        <v>1332</v>
      </c>
      <c r="C644" s="13">
        <v>652.58000000000004</v>
      </c>
      <c r="D644" s="6"/>
      <c r="E644" s="6">
        <v>100</v>
      </c>
      <c r="F644" s="6"/>
      <c r="G644" s="6"/>
      <c r="H644" s="6"/>
      <c r="I644" s="6"/>
      <c r="J644" s="6">
        <v>130</v>
      </c>
      <c r="K644" s="6">
        <v>84835.4</v>
      </c>
      <c r="L644" s="6"/>
      <c r="M644" s="6"/>
      <c r="N644" s="6">
        <f t="shared" si="53"/>
        <v>130</v>
      </c>
      <c r="O644" s="6">
        <f t="shared" si="54"/>
        <v>84835.400000000009</v>
      </c>
      <c r="P644" s="6"/>
      <c r="Q644" s="6"/>
      <c r="R644" s="6"/>
      <c r="S644" s="6"/>
    </row>
    <row r="645" spans="1:19" s="1" customFormat="1" ht="15" hidden="1" customHeight="1" outlineLevel="1" x14ac:dyDescent="0.25">
      <c r="A645" s="2" t="s">
        <v>1119</v>
      </c>
      <c r="B645" s="2" t="s">
        <v>1120</v>
      </c>
      <c r="C645" s="13">
        <v>168.07</v>
      </c>
      <c r="D645" s="6">
        <v>7048.67</v>
      </c>
      <c r="E645" s="6">
        <v>100</v>
      </c>
      <c r="F645" s="6"/>
      <c r="G645" s="6"/>
      <c r="H645" s="6"/>
      <c r="I645" s="6"/>
      <c r="J645" s="6">
        <v>450</v>
      </c>
      <c r="K645" s="6">
        <v>75631.5</v>
      </c>
      <c r="L645" s="6"/>
      <c r="M645" s="6"/>
      <c r="N645" s="6">
        <f t="shared" si="53"/>
        <v>450</v>
      </c>
      <c r="O645" s="6">
        <f t="shared" si="54"/>
        <v>75631.5</v>
      </c>
      <c r="P645" s="6">
        <v>2</v>
      </c>
      <c r="Q645" s="6">
        <v>352</v>
      </c>
      <c r="R645" s="6">
        <f t="shared" si="55"/>
        <v>438.50847039228671</v>
      </c>
      <c r="S645" s="6">
        <f t="shared" si="56"/>
        <v>73700.118618831621</v>
      </c>
    </row>
    <row r="646" spans="1:19" s="1" customFormat="1" ht="15" hidden="1" customHeight="1" outlineLevel="1" x14ac:dyDescent="0.25">
      <c r="A646" s="2" t="s">
        <v>1185</v>
      </c>
      <c r="B646" s="2" t="s">
        <v>1186</v>
      </c>
      <c r="C646" s="13">
        <v>99.71</v>
      </c>
      <c r="D646" s="6"/>
      <c r="E646" s="6">
        <v>100</v>
      </c>
      <c r="F646" s="6"/>
      <c r="G646" s="6"/>
      <c r="H646" s="6"/>
      <c r="I646" s="6"/>
      <c r="J646" s="6">
        <v>121</v>
      </c>
      <c r="K646" s="6">
        <v>12064.91</v>
      </c>
      <c r="L646" s="6"/>
      <c r="M646" s="6"/>
      <c r="N646" s="6">
        <f t="shared" si="53"/>
        <v>121</v>
      </c>
      <c r="O646" s="6">
        <f t="shared" si="54"/>
        <v>12064.91</v>
      </c>
      <c r="P646" s="6"/>
      <c r="Q646" s="6"/>
      <c r="R646" s="6"/>
      <c r="S646" s="6"/>
    </row>
    <row r="647" spans="1:19" s="1" customFormat="1" ht="15" hidden="1" customHeight="1" outlineLevel="1" x14ac:dyDescent="0.25">
      <c r="A647" s="2" t="s">
        <v>1173</v>
      </c>
      <c r="B647" s="2" t="s">
        <v>1174</v>
      </c>
      <c r="C647" s="13">
        <v>958.21</v>
      </c>
      <c r="D647" s="6"/>
      <c r="E647" s="6">
        <v>100</v>
      </c>
      <c r="F647" s="6"/>
      <c r="G647" s="6"/>
      <c r="H647" s="6"/>
      <c r="I647" s="6"/>
      <c r="J647" s="6">
        <v>38</v>
      </c>
      <c r="K647" s="6">
        <v>36411.980000000003</v>
      </c>
      <c r="L647" s="6"/>
      <c r="M647" s="6"/>
      <c r="N647" s="6">
        <f t="shared" si="53"/>
        <v>38</v>
      </c>
      <c r="O647" s="6">
        <f t="shared" si="54"/>
        <v>36411.980000000003</v>
      </c>
      <c r="P647" s="6"/>
      <c r="Q647" s="6"/>
      <c r="R647" s="6"/>
      <c r="S647" s="6"/>
    </row>
    <row r="648" spans="1:19" s="1" customFormat="1" ht="15" hidden="1" customHeight="1" outlineLevel="1" x14ac:dyDescent="0.25">
      <c r="A648" s="2" t="s">
        <v>660</v>
      </c>
      <c r="B648" s="2" t="s">
        <v>661</v>
      </c>
      <c r="C648" s="13">
        <v>556.05999999999995</v>
      </c>
      <c r="D648" s="6">
        <v>264</v>
      </c>
      <c r="E648" s="6">
        <v>100</v>
      </c>
      <c r="F648" s="6"/>
      <c r="G648" s="6"/>
      <c r="H648" s="6"/>
      <c r="I648" s="6"/>
      <c r="J648" s="6">
        <v>11</v>
      </c>
      <c r="K648" s="6">
        <v>6116.66</v>
      </c>
      <c r="L648" s="6"/>
      <c r="M648" s="6"/>
      <c r="N648" s="6">
        <f t="shared" si="53"/>
        <v>11</v>
      </c>
      <c r="O648" s="6">
        <f t="shared" si="54"/>
        <v>6116.66</v>
      </c>
      <c r="P648" s="6">
        <v>1</v>
      </c>
      <c r="Q648" s="6">
        <v>801</v>
      </c>
      <c r="R648" s="6">
        <f t="shared" si="55"/>
        <v>3.5</v>
      </c>
      <c r="S648" s="6">
        <f t="shared" si="56"/>
        <v>1946.2099999999998</v>
      </c>
    </row>
    <row r="649" spans="1:19" s="1" customFormat="1" ht="15" hidden="1" customHeight="1" outlineLevel="1" x14ac:dyDescent="0.25">
      <c r="A649" s="2" t="s">
        <v>881</v>
      </c>
      <c r="B649" s="2" t="s">
        <v>882</v>
      </c>
      <c r="C649" s="13">
        <v>255</v>
      </c>
      <c r="D649" s="6">
        <v>1101.5</v>
      </c>
      <c r="E649" s="6">
        <v>100</v>
      </c>
      <c r="F649" s="6"/>
      <c r="G649" s="6"/>
      <c r="H649" s="6"/>
      <c r="I649" s="6"/>
      <c r="J649" s="6">
        <v>60</v>
      </c>
      <c r="K649" s="6">
        <v>15300</v>
      </c>
      <c r="L649" s="6"/>
      <c r="M649" s="6"/>
      <c r="N649" s="6">
        <f t="shared" si="53"/>
        <v>60</v>
      </c>
      <c r="O649" s="6">
        <f t="shared" si="54"/>
        <v>15300</v>
      </c>
      <c r="P649" s="6">
        <v>3</v>
      </c>
      <c r="Q649" s="6">
        <v>695</v>
      </c>
      <c r="R649" s="6">
        <f t="shared" si="55"/>
        <v>50.195188379482524</v>
      </c>
      <c r="S649" s="6">
        <f t="shared" si="56"/>
        <v>12799.773036768043</v>
      </c>
    </row>
    <row r="650" spans="1:19" s="1" customFormat="1" ht="15" hidden="1" customHeight="1" outlineLevel="1" x14ac:dyDescent="0.25">
      <c r="A650" s="2" t="s">
        <v>572</v>
      </c>
      <c r="B650" s="2" t="s">
        <v>573</v>
      </c>
      <c r="C650" s="13">
        <v>81.52</v>
      </c>
      <c r="D650" s="6"/>
      <c r="E650" s="6">
        <v>29.03</v>
      </c>
      <c r="F650" s="6"/>
      <c r="G650" s="6"/>
      <c r="H650" s="6">
        <v>7</v>
      </c>
      <c r="I650" s="6">
        <v>570.64</v>
      </c>
      <c r="J650" s="6">
        <v>193</v>
      </c>
      <c r="K650" s="6">
        <v>15733.36</v>
      </c>
      <c r="L650" s="6"/>
      <c r="M650" s="6"/>
      <c r="N650" s="6">
        <f t="shared" si="53"/>
        <v>200</v>
      </c>
      <c r="O650" s="6">
        <f t="shared" si="54"/>
        <v>16304</v>
      </c>
      <c r="P650" s="6"/>
      <c r="Q650" s="6"/>
      <c r="R650" s="6"/>
      <c r="S650" s="6"/>
    </row>
    <row r="651" spans="1:19" s="1" customFormat="1" ht="15" hidden="1" customHeight="1" outlineLevel="1" x14ac:dyDescent="0.25">
      <c r="A651" s="2" t="s">
        <v>1011</v>
      </c>
      <c r="B651" s="2" t="s">
        <v>1012</v>
      </c>
      <c r="C651" s="13">
        <v>48.43</v>
      </c>
      <c r="D651" s="6">
        <v>3873.16</v>
      </c>
      <c r="E651" s="6">
        <v>100</v>
      </c>
      <c r="F651" s="6"/>
      <c r="G651" s="6"/>
      <c r="H651" s="6"/>
      <c r="I651" s="6"/>
      <c r="J651" s="6">
        <v>1281</v>
      </c>
      <c r="K651" s="6">
        <v>62038.83</v>
      </c>
      <c r="L651" s="6"/>
      <c r="M651" s="6"/>
      <c r="N651" s="6">
        <f t="shared" si="53"/>
        <v>1281</v>
      </c>
      <c r="O651" s="6">
        <f t="shared" si="54"/>
        <v>62038.83</v>
      </c>
      <c r="P651" s="6">
        <v>8</v>
      </c>
      <c r="Q651" s="6">
        <v>435</v>
      </c>
      <c r="R651" s="6">
        <f t="shared" si="55"/>
        <v>1221.4672154003449</v>
      </c>
      <c r="S651" s="6">
        <f t="shared" si="56"/>
        <v>59155.6572418387</v>
      </c>
    </row>
    <row r="652" spans="1:19" s="1" customFormat="1" ht="15" hidden="1" customHeight="1" outlineLevel="1" x14ac:dyDescent="0.25">
      <c r="A652" s="2" t="s">
        <v>1067</v>
      </c>
      <c r="B652" s="2" t="s">
        <v>1068</v>
      </c>
      <c r="C652" s="13">
        <v>45.06</v>
      </c>
      <c r="D652" s="6">
        <v>654.85</v>
      </c>
      <c r="E652" s="6">
        <v>100</v>
      </c>
      <c r="F652" s="6"/>
      <c r="G652" s="6"/>
      <c r="H652" s="6"/>
      <c r="I652" s="6"/>
      <c r="J652" s="6">
        <v>1193</v>
      </c>
      <c r="K652" s="6">
        <v>53756.58</v>
      </c>
      <c r="L652" s="6"/>
      <c r="M652" s="6"/>
      <c r="N652" s="6">
        <f t="shared" si="53"/>
        <v>1193</v>
      </c>
      <c r="O652" s="6">
        <f t="shared" si="54"/>
        <v>53756.58</v>
      </c>
      <c r="P652" s="6">
        <v>74</v>
      </c>
      <c r="Q652" s="6">
        <v>3426</v>
      </c>
      <c r="R652" s="6">
        <f t="shared" si="55"/>
        <v>865.07757501717958</v>
      </c>
      <c r="S652" s="6">
        <f t="shared" si="56"/>
        <v>38980.395530274116</v>
      </c>
    </row>
    <row r="653" spans="1:19" s="1" customFormat="1" ht="15" hidden="1" customHeight="1" outlineLevel="1" x14ac:dyDescent="0.25">
      <c r="A653" s="2" t="s">
        <v>1065</v>
      </c>
      <c r="B653" s="2" t="s">
        <v>1066</v>
      </c>
      <c r="C653" s="13">
        <v>63.32</v>
      </c>
      <c r="D653" s="6">
        <v>160.35</v>
      </c>
      <c r="E653" s="6">
        <v>100</v>
      </c>
      <c r="F653" s="6"/>
      <c r="G653" s="6"/>
      <c r="H653" s="6"/>
      <c r="I653" s="6"/>
      <c r="J653" s="6">
        <v>865</v>
      </c>
      <c r="K653" s="6">
        <v>54771.8</v>
      </c>
      <c r="L653" s="6"/>
      <c r="M653" s="6"/>
      <c r="N653" s="6">
        <f t="shared" si="53"/>
        <v>865</v>
      </c>
      <c r="O653" s="6">
        <f t="shared" si="54"/>
        <v>54771.8</v>
      </c>
      <c r="P653" s="6">
        <v>243</v>
      </c>
      <c r="Q653" s="6">
        <v>16075</v>
      </c>
      <c r="R653" s="6"/>
      <c r="S653" s="6"/>
    </row>
    <row r="654" spans="1:19" s="1" customFormat="1" ht="15" hidden="1" customHeight="1" outlineLevel="1" x14ac:dyDescent="0.25">
      <c r="A654" s="2" t="s">
        <v>1053</v>
      </c>
      <c r="B654" s="2" t="s">
        <v>1054</v>
      </c>
      <c r="C654" s="13">
        <v>573.26</v>
      </c>
      <c r="D654" s="6"/>
      <c r="E654" s="6">
        <v>100</v>
      </c>
      <c r="F654" s="6"/>
      <c r="G654" s="6"/>
      <c r="H654" s="6"/>
      <c r="I654" s="6"/>
      <c r="J654" s="6">
        <v>81</v>
      </c>
      <c r="K654" s="6">
        <v>46434.06</v>
      </c>
      <c r="L654" s="6"/>
      <c r="M654" s="6"/>
      <c r="N654" s="6">
        <f t="shared" si="53"/>
        <v>81</v>
      </c>
      <c r="O654" s="6">
        <f t="shared" si="54"/>
        <v>46434.06</v>
      </c>
      <c r="P654" s="6"/>
      <c r="Q654" s="6"/>
      <c r="R654" s="6"/>
      <c r="S654" s="6"/>
    </row>
    <row r="655" spans="1:19" s="1" customFormat="1" ht="15" hidden="1" customHeight="1" outlineLevel="1" x14ac:dyDescent="0.25">
      <c r="A655" s="2" t="s">
        <v>658</v>
      </c>
      <c r="B655" s="2" t="s">
        <v>659</v>
      </c>
      <c r="C655" s="13">
        <v>556.05999999999995</v>
      </c>
      <c r="D655" s="6">
        <v>537.66999999999996</v>
      </c>
      <c r="E655" s="6">
        <v>100</v>
      </c>
      <c r="F655" s="6"/>
      <c r="G655" s="6"/>
      <c r="H655" s="6"/>
      <c r="I655" s="6"/>
      <c r="J655" s="6">
        <v>30</v>
      </c>
      <c r="K655" s="6">
        <v>16681.8</v>
      </c>
      <c r="L655" s="6"/>
      <c r="M655" s="6"/>
      <c r="N655" s="6">
        <f t="shared" si="53"/>
        <v>30</v>
      </c>
      <c r="O655" s="6">
        <f t="shared" si="54"/>
        <v>16681.8</v>
      </c>
      <c r="P655" s="6">
        <v>1</v>
      </c>
      <c r="Q655" s="6">
        <v>811</v>
      </c>
      <c r="R655" s="6">
        <f t="shared" si="55"/>
        <v>19.956664868785687</v>
      </c>
      <c r="S655" s="6">
        <f t="shared" si="56"/>
        <v>11097.103066936968</v>
      </c>
    </row>
    <row r="656" spans="1:19" s="1" customFormat="1" ht="15" hidden="1" customHeight="1" outlineLevel="1" x14ac:dyDescent="0.25">
      <c r="A656" s="2" t="s">
        <v>901</v>
      </c>
      <c r="B656" s="2" t="s">
        <v>902</v>
      </c>
      <c r="C656" s="13">
        <v>159</v>
      </c>
      <c r="D656" s="6">
        <v>174.67</v>
      </c>
      <c r="E656" s="6">
        <v>100</v>
      </c>
      <c r="F656" s="6"/>
      <c r="G656" s="6"/>
      <c r="H656" s="6"/>
      <c r="I656" s="6"/>
      <c r="J656" s="6">
        <v>50</v>
      </c>
      <c r="K656" s="6">
        <v>7950</v>
      </c>
      <c r="L656" s="6"/>
      <c r="M656" s="6"/>
      <c r="N656" s="6">
        <f t="shared" si="53"/>
        <v>50</v>
      </c>
      <c r="O656" s="6">
        <f t="shared" si="54"/>
        <v>7950</v>
      </c>
      <c r="P656" s="6">
        <v>10</v>
      </c>
      <c r="Q656" s="6">
        <v>1659</v>
      </c>
      <c r="R656" s="6"/>
      <c r="S656" s="6"/>
    </row>
    <row r="657" spans="1:19" s="1" customFormat="1" ht="15" hidden="1" customHeight="1" outlineLevel="1" x14ac:dyDescent="0.25">
      <c r="A657" s="2" t="s">
        <v>961</v>
      </c>
      <c r="B657" s="2" t="s">
        <v>962</v>
      </c>
      <c r="C657" s="13">
        <v>66.510000000000005</v>
      </c>
      <c r="D657" s="6">
        <v>1902.63</v>
      </c>
      <c r="E657" s="6">
        <v>100</v>
      </c>
      <c r="F657" s="6"/>
      <c r="G657" s="6"/>
      <c r="H657" s="6"/>
      <c r="I657" s="6"/>
      <c r="J657" s="6">
        <v>1130</v>
      </c>
      <c r="K657" s="6">
        <v>75156.3</v>
      </c>
      <c r="L657" s="6"/>
      <c r="M657" s="6"/>
      <c r="N657" s="6">
        <f t="shared" si="53"/>
        <v>1130</v>
      </c>
      <c r="O657" s="6">
        <f t="shared" si="54"/>
        <v>75156.3</v>
      </c>
      <c r="P657" s="6">
        <v>14</v>
      </c>
      <c r="Q657" s="6">
        <v>946</v>
      </c>
      <c r="R657" s="6">
        <f t="shared" si="55"/>
        <v>1023.095346967093</v>
      </c>
      <c r="S657" s="6">
        <f t="shared" si="56"/>
        <v>68046.07152678135</v>
      </c>
    </row>
    <row r="658" spans="1:19" s="1" customFormat="1" ht="15" hidden="1" customHeight="1" outlineLevel="1" x14ac:dyDescent="0.25">
      <c r="A658" s="2" t="s">
        <v>187</v>
      </c>
      <c r="B658" s="2" t="s">
        <v>188</v>
      </c>
      <c r="C658" s="13">
        <v>56.93</v>
      </c>
      <c r="D658" s="6">
        <v>312.75</v>
      </c>
      <c r="E658" s="6">
        <v>100</v>
      </c>
      <c r="F658" s="6"/>
      <c r="G658" s="6"/>
      <c r="H658" s="6">
        <v>5</v>
      </c>
      <c r="I658" s="6">
        <v>284.64999999999998</v>
      </c>
      <c r="J658" s="6">
        <v>1454</v>
      </c>
      <c r="K658" s="6">
        <v>82776.22</v>
      </c>
      <c r="L658" s="6"/>
      <c r="M658" s="6"/>
      <c r="N658" s="6">
        <f t="shared" si="53"/>
        <v>1459</v>
      </c>
      <c r="O658" s="6">
        <f t="shared" si="54"/>
        <v>83060.87</v>
      </c>
      <c r="P658" s="6">
        <v>152</v>
      </c>
      <c r="Q658" s="6">
        <v>8972</v>
      </c>
      <c r="R658" s="6">
        <f t="shared" si="55"/>
        <v>617.16546762589928</v>
      </c>
      <c r="S658" s="6">
        <f t="shared" si="56"/>
        <v>35135.230071942446</v>
      </c>
    </row>
    <row r="659" spans="1:19" s="1" customFormat="1" ht="15" hidden="1" customHeight="1" outlineLevel="1" x14ac:dyDescent="0.25">
      <c r="A659" s="2" t="s">
        <v>702</v>
      </c>
      <c r="B659" s="2" t="s">
        <v>703</v>
      </c>
      <c r="C659" s="13">
        <v>271.20999999999998</v>
      </c>
      <c r="D659" s="6">
        <v>327.04000000000002</v>
      </c>
      <c r="E659" s="6">
        <v>61.29</v>
      </c>
      <c r="F659" s="6"/>
      <c r="G659" s="6"/>
      <c r="H659" s="6">
        <v>5</v>
      </c>
      <c r="I659" s="6">
        <v>1356.05</v>
      </c>
      <c r="J659" s="6">
        <v>346</v>
      </c>
      <c r="K659" s="6">
        <v>93838.66</v>
      </c>
      <c r="L659" s="6"/>
      <c r="M659" s="6"/>
      <c r="N659" s="6">
        <f t="shared" si="53"/>
        <v>351</v>
      </c>
      <c r="O659" s="6">
        <f t="shared" si="54"/>
        <v>95194.709999999992</v>
      </c>
      <c r="P659" s="6">
        <v>33</v>
      </c>
      <c r="Q659" s="6">
        <v>8313</v>
      </c>
      <c r="R659" s="6">
        <f t="shared" si="55"/>
        <v>155.56457925636008</v>
      </c>
      <c r="S659" s="6">
        <f t="shared" si="56"/>
        <v>42190.669540117415</v>
      </c>
    </row>
    <row r="660" spans="1:19" s="1" customFormat="1" ht="15" hidden="1" customHeight="1" outlineLevel="1" x14ac:dyDescent="0.25">
      <c r="A660" s="2" t="s">
        <v>730</v>
      </c>
      <c r="B660" s="2" t="s">
        <v>731</v>
      </c>
      <c r="C660" s="13">
        <v>298.82</v>
      </c>
      <c r="D660" s="6">
        <v>313.95</v>
      </c>
      <c r="E660" s="6">
        <v>66.67</v>
      </c>
      <c r="F660" s="6">
        <v>15</v>
      </c>
      <c r="G660" s="6">
        <v>4482.3</v>
      </c>
      <c r="H660" s="6">
        <v>23</v>
      </c>
      <c r="I660" s="6">
        <v>6872.86</v>
      </c>
      <c r="J660" s="6">
        <v>158</v>
      </c>
      <c r="K660" s="6">
        <v>47213.56</v>
      </c>
      <c r="L660" s="6">
        <v>900</v>
      </c>
      <c r="M660" s="6">
        <v>268938</v>
      </c>
      <c r="N660" s="6">
        <f t="shared" si="53"/>
        <v>1096</v>
      </c>
      <c r="O660" s="6">
        <f t="shared" si="54"/>
        <v>327506.71999999997</v>
      </c>
      <c r="P660" s="6">
        <v>20</v>
      </c>
      <c r="Q660" s="6">
        <v>6146</v>
      </c>
      <c r="R660" s="6">
        <f t="shared" si="55"/>
        <v>67.41232680363116</v>
      </c>
      <c r="S660" s="6">
        <f t="shared" si="56"/>
        <v>20144.151495461061</v>
      </c>
    </row>
    <row r="661" spans="1:19" s="1" customFormat="1" ht="15" hidden="1" customHeight="1" outlineLevel="1" x14ac:dyDescent="0.25">
      <c r="A661" s="2" t="s">
        <v>1229</v>
      </c>
      <c r="B661" s="2" t="s">
        <v>1230</v>
      </c>
      <c r="C661" s="13">
        <v>195.3</v>
      </c>
      <c r="D661" s="6">
        <v>435.63</v>
      </c>
      <c r="E661" s="6">
        <v>100</v>
      </c>
      <c r="F661" s="6"/>
      <c r="G661" s="6"/>
      <c r="H661" s="6"/>
      <c r="I661" s="6"/>
      <c r="J661" s="6">
        <v>144</v>
      </c>
      <c r="K661" s="6">
        <v>28123.200000000001</v>
      </c>
      <c r="L661" s="6"/>
      <c r="M661" s="6"/>
      <c r="N661" s="6">
        <f t="shared" si="53"/>
        <v>144</v>
      </c>
      <c r="O661" s="6">
        <f t="shared" si="54"/>
        <v>28123.200000000001</v>
      </c>
      <c r="P661" s="6">
        <v>12</v>
      </c>
      <c r="Q661" s="6">
        <v>2024</v>
      </c>
      <c r="R661" s="6">
        <f t="shared" si="55"/>
        <v>84.499965567109697</v>
      </c>
      <c r="S661" s="6">
        <f t="shared" si="56"/>
        <v>16502.843275256524</v>
      </c>
    </row>
    <row r="662" spans="1:19" s="1" customFormat="1" ht="15" hidden="1" customHeight="1" outlineLevel="1" x14ac:dyDescent="0.25">
      <c r="A662" s="2" t="s">
        <v>662</v>
      </c>
      <c r="B662" s="2" t="s">
        <v>663</v>
      </c>
      <c r="C662" s="13">
        <v>556.05999999999995</v>
      </c>
      <c r="D662" s="6">
        <v>1964.67</v>
      </c>
      <c r="E662" s="6">
        <v>100</v>
      </c>
      <c r="F662" s="6"/>
      <c r="G662" s="6"/>
      <c r="H662" s="6"/>
      <c r="I662" s="6"/>
      <c r="J662" s="6">
        <v>63</v>
      </c>
      <c r="K662" s="6">
        <v>35031.78</v>
      </c>
      <c r="L662" s="6"/>
      <c r="M662" s="6"/>
      <c r="N662" s="6">
        <f t="shared" si="53"/>
        <v>63</v>
      </c>
      <c r="O662" s="6">
        <f t="shared" si="54"/>
        <v>35031.78</v>
      </c>
      <c r="P662" s="6">
        <v>1</v>
      </c>
      <c r="Q662" s="6">
        <v>440</v>
      </c>
      <c r="R662" s="6">
        <f t="shared" si="55"/>
        <v>57.228038296507805</v>
      </c>
      <c r="S662" s="6">
        <f t="shared" si="56"/>
        <v>31822.222975156128</v>
      </c>
    </row>
    <row r="663" spans="1:19" s="1" customFormat="1" ht="15" hidden="1" customHeight="1" outlineLevel="1" x14ac:dyDescent="0.25">
      <c r="A663" s="2" t="s">
        <v>648</v>
      </c>
      <c r="B663" s="2" t="s">
        <v>649</v>
      </c>
      <c r="C663" s="13">
        <v>573.26</v>
      </c>
      <c r="D663" s="6">
        <v>121.7</v>
      </c>
      <c r="E663" s="6">
        <v>100</v>
      </c>
      <c r="F663" s="6">
        <v>20</v>
      </c>
      <c r="G663" s="6">
        <v>11465.2</v>
      </c>
      <c r="H663" s="6"/>
      <c r="I663" s="6"/>
      <c r="J663" s="6">
        <v>18</v>
      </c>
      <c r="K663" s="6">
        <v>10318.68</v>
      </c>
      <c r="L663" s="6"/>
      <c r="M663" s="6"/>
      <c r="N663" s="6">
        <f t="shared" si="53"/>
        <v>38</v>
      </c>
      <c r="O663" s="6">
        <f t="shared" si="54"/>
        <v>21783.88</v>
      </c>
      <c r="P663" s="6">
        <v>12</v>
      </c>
      <c r="Q663" s="6">
        <v>7445</v>
      </c>
      <c r="R663" s="6"/>
      <c r="S663" s="6"/>
    </row>
    <row r="664" spans="1:19" s="1" customFormat="1" ht="15" hidden="1" customHeight="1" outlineLevel="1" x14ac:dyDescent="0.25">
      <c r="A664" s="2" t="s">
        <v>383</v>
      </c>
      <c r="B664" s="2" t="s">
        <v>384</v>
      </c>
      <c r="C664" s="13">
        <v>151.1</v>
      </c>
      <c r="D664" s="6">
        <v>543.63</v>
      </c>
      <c r="E664" s="6">
        <v>100</v>
      </c>
      <c r="F664" s="6">
        <v>54</v>
      </c>
      <c r="G664" s="6">
        <v>8159.4</v>
      </c>
      <c r="H664" s="6">
        <v>142</v>
      </c>
      <c r="I664" s="6">
        <v>21456.2</v>
      </c>
      <c r="J664" s="6">
        <v>3694</v>
      </c>
      <c r="K664" s="6">
        <v>558163.4</v>
      </c>
      <c r="L664" s="6"/>
      <c r="M664" s="6"/>
      <c r="N664" s="6">
        <f t="shared" si="53"/>
        <v>3890</v>
      </c>
      <c r="O664" s="6">
        <f t="shared" si="54"/>
        <v>587779</v>
      </c>
      <c r="P664" s="6">
        <v>175</v>
      </c>
      <c r="Q664" s="6">
        <v>26879</v>
      </c>
      <c r="R664" s="6">
        <f t="shared" si="55"/>
        <v>2470.8886926770042</v>
      </c>
      <c r="S664" s="6">
        <f t="shared" si="56"/>
        <v>373351.28146349534</v>
      </c>
    </row>
    <row r="665" spans="1:19" s="1" customFormat="1" ht="15" hidden="1" customHeight="1" outlineLevel="1" x14ac:dyDescent="0.25">
      <c r="A665" s="2" t="s">
        <v>75</v>
      </c>
      <c r="B665" s="2" t="s">
        <v>76</v>
      </c>
      <c r="C665" s="13">
        <v>159.62</v>
      </c>
      <c r="D665" s="6">
        <v>58.54</v>
      </c>
      <c r="E665" s="6">
        <v>43.01</v>
      </c>
      <c r="F665" s="6"/>
      <c r="G665" s="6"/>
      <c r="H665" s="6">
        <v>10</v>
      </c>
      <c r="I665" s="6">
        <v>1596.2</v>
      </c>
      <c r="J665" s="6">
        <v>126</v>
      </c>
      <c r="K665" s="6">
        <v>20112.12</v>
      </c>
      <c r="L665" s="6"/>
      <c r="M665" s="6"/>
      <c r="N665" s="6">
        <f t="shared" si="53"/>
        <v>136</v>
      </c>
      <c r="O665" s="6">
        <f t="shared" si="54"/>
        <v>21708.32</v>
      </c>
      <c r="P665" s="6">
        <v>88</v>
      </c>
      <c r="Q665" s="6">
        <v>14769</v>
      </c>
      <c r="R665" s="6"/>
      <c r="S665" s="6"/>
    </row>
    <row r="666" spans="1:19" s="1" customFormat="1" ht="15" hidden="1" customHeight="1" outlineLevel="1" x14ac:dyDescent="0.25">
      <c r="A666" s="2" t="s">
        <v>1059</v>
      </c>
      <c r="B666" s="2" t="s">
        <v>1060</v>
      </c>
      <c r="C666" s="13">
        <v>49</v>
      </c>
      <c r="D666" s="6">
        <v>146.34</v>
      </c>
      <c r="E666" s="6">
        <v>100</v>
      </c>
      <c r="F666" s="6"/>
      <c r="G666" s="6"/>
      <c r="H666" s="6"/>
      <c r="I666" s="6"/>
      <c r="J666" s="6">
        <v>337</v>
      </c>
      <c r="K666" s="6">
        <v>16513</v>
      </c>
      <c r="L666" s="6"/>
      <c r="M666" s="6"/>
      <c r="N666" s="6">
        <f t="shared" si="53"/>
        <v>337</v>
      </c>
      <c r="O666" s="6">
        <f t="shared" si="54"/>
        <v>16513</v>
      </c>
      <c r="P666" s="6">
        <v>85</v>
      </c>
      <c r="Q666" s="6">
        <v>4324</v>
      </c>
      <c r="R666" s="6"/>
      <c r="S666" s="6"/>
    </row>
    <row r="667" spans="1:19" s="1" customFormat="1" ht="15" hidden="1" customHeight="1" outlineLevel="1" x14ac:dyDescent="0.25">
      <c r="A667" s="2" t="s">
        <v>189</v>
      </c>
      <c r="B667" s="2" t="s">
        <v>190</v>
      </c>
      <c r="C667" s="13">
        <v>52.14</v>
      </c>
      <c r="D667" s="6">
        <v>313.04000000000002</v>
      </c>
      <c r="E667" s="6">
        <v>100</v>
      </c>
      <c r="F667" s="6"/>
      <c r="G667" s="6"/>
      <c r="H667" s="6"/>
      <c r="I667" s="6"/>
      <c r="J667" s="6">
        <v>834</v>
      </c>
      <c r="K667" s="6">
        <v>43484.76</v>
      </c>
      <c r="L667" s="6"/>
      <c r="M667" s="6"/>
      <c r="N667" s="6">
        <f t="shared" si="53"/>
        <v>834</v>
      </c>
      <c r="O667" s="6">
        <f t="shared" si="54"/>
        <v>43484.76</v>
      </c>
      <c r="P667" s="6">
        <v>93</v>
      </c>
      <c r="Q667" s="6">
        <v>5037</v>
      </c>
      <c r="R667" s="6">
        <f t="shared" si="55"/>
        <v>354.44467160746234</v>
      </c>
      <c r="S667" s="6">
        <f t="shared" si="56"/>
        <v>18480.745177613087</v>
      </c>
    </row>
    <row r="668" spans="1:19" s="1" customFormat="1" ht="15" hidden="1" customHeight="1" outlineLevel="1" x14ac:dyDescent="0.25">
      <c r="A668" s="2" t="s">
        <v>1061</v>
      </c>
      <c r="B668" s="2" t="s">
        <v>1062</v>
      </c>
      <c r="C668" s="13">
        <v>36.33</v>
      </c>
      <c r="D668" s="6">
        <v>504.84</v>
      </c>
      <c r="E668" s="6">
        <v>100</v>
      </c>
      <c r="F668" s="6"/>
      <c r="G668" s="6"/>
      <c r="H668" s="6"/>
      <c r="I668" s="6"/>
      <c r="J668" s="6">
        <v>1125</v>
      </c>
      <c r="K668" s="6">
        <v>40871.25</v>
      </c>
      <c r="L668" s="6"/>
      <c r="M668" s="6"/>
      <c r="N668" s="6">
        <f t="shared" si="53"/>
        <v>1125</v>
      </c>
      <c r="O668" s="6">
        <f t="shared" si="54"/>
        <v>40871.25</v>
      </c>
      <c r="P668" s="6">
        <v>93</v>
      </c>
      <c r="Q668" s="6">
        <v>3500</v>
      </c>
      <c r="R668" s="6">
        <f t="shared" si="55"/>
        <v>723.88281435702402</v>
      </c>
      <c r="S668" s="6">
        <f t="shared" si="56"/>
        <v>26298.662645590681</v>
      </c>
    </row>
    <row r="669" spans="1:19" s="1" customFormat="1" ht="15" hidden="1" customHeight="1" outlineLevel="1" x14ac:dyDescent="0.25">
      <c r="A669" s="2" t="s">
        <v>1055</v>
      </c>
      <c r="B669" s="2" t="s">
        <v>1056</v>
      </c>
      <c r="C669" s="13">
        <v>33.74</v>
      </c>
      <c r="D669" s="6">
        <v>333.4</v>
      </c>
      <c r="E669" s="6">
        <v>100</v>
      </c>
      <c r="F669" s="6"/>
      <c r="G669" s="6"/>
      <c r="H669" s="6">
        <v>5</v>
      </c>
      <c r="I669" s="6">
        <v>168.7</v>
      </c>
      <c r="J669" s="6">
        <v>653</v>
      </c>
      <c r="K669" s="6">
        <v>22032.22</v>
      </c>
      <c r="L669" s="6"/>
      <c r="M669" s="6"/>
      <c r="N669" s="6">
        <f t="shared" si="53"/>
        <v>658</v>
      </c>
      <c r="O669" s="6">
        <f t="shared" si="54"/>
        <v>22200.920000000002</v>
      </c>
      <c r="P669" s="6">
        <v>65</v>
      </c>
      <c r="Q669" s="6">
        <v>2255</v>
      </c>
      <c r="R669" s="6">
        <f t="shared" si="55"/>
        <v>300.45050989802036</v>
      </c>
      <c r="S669" s="6">
        <f t="shared" si="56"/>
        <v>10137.200203959208</v>
      </c>
    </row>
    <row r="670" spans="1:19" s="1" customFormat="1" ht="15" hidden="1" customHeight="1" outlineLevel="1" x14ac:dyDescent="0.25">
      <c r="A670" s="2" t="s">
        <v>1029</v>
      </c>
      <c r="B670" s="2" t="s">
        <v>1030</v>
      </c>
      <c r="C670" s="13">
        <v>48.43</v>
      </c>
      <c r="D670" s="6"/>
      <c r="E670" s="6">
        <v>100</v>
      </c>
      <c r="F670" s="6"/>
      <c r="G670" s="6"/>
      <c r="H670" s="6"/>
      <c r="I670" s="6"/>
      <c r="J670" s="6">
        <v>380</v>
      </c>
      <c r="K670" s="6">
        <v>18403.400000000001</v>
      </c>
      <c r="L670" s="6"/>
      <c r="M670" s="6"/>
      <c r="N670" s="6">
        <f t="shared" si="53"/>
        <v>380</v>
      </c>
      <c r="O670" s="6">
        <f t="shared" si="54"/>
        <v>18403.400000000001</v>
      </c>
      <c r="P670" s="6"/>
      <c r="Q670" s="6"/>
      <c r="R670" s="6"/>
      <c r="S670" s="6"/>
    </row>
    <row r="671" spans="1:19" s="1" customFormat="1" ht="15" hidden="1" customHeight="1" outlineLevel="1" x14ac:dyDescent="0.25">
      <c r="A671" s="2" t="s">
        <v>1057</v>
      </c>
      <c r="B671" s="2" t="s">
        <v>1058</v>
      </c>
      <c r="C671" s="13">
        <v>40.369999999999997</v>
      </c>
      <c r="D671" s="6">
        <v>650.55999999999995</v>
      </c>
      <c r="E671" s="6">
        <v>100</v>
      </c>
      <c r="F671" s="6"/>
      <c r="G671" s="6"/>
      <c r="H671" s="6"/>
      <c r="I671" s="6"/>
      <c r="J671" s="6">
        <v>1710</v>
      </c>
      <c r="K671" s="6">
        <v>69032.7</v>
      </c>
      <c r="L671" s="6"/>
      <c r="M671" s="6"/>
      <c r="N671" s="6">
        <f t="shared" si="53"/>
        <v>1710</v>
      </c>
      <c r="O671" s="6">
        <f t="shared" si="54"/>
        <v>69032.7</v>
      </c>
      <c r="P671" s="6">
        <v>102</v>
      </c>
      <c r="Q671" s="6">
        <v>4189</v>
      </c>
      <c r="R671" s="6">
        <f t="shared" si="55"/>
        <v>1236.8691588785048</v>
      </c>
      <c r="S671" s="6">
        <f t="shared" si="56"/>
        <v>49932.407943925238</v>
      </c>
    </row>
    <row r="672" spans="1:19" s="1" customFormat="1" ht="15" hidden="1" customHeight="1" outlineLevel="1" x14ac:dyDescent="0.25">
      <c r="A672" s="2" t="s">
        <v>666</v>
      </c>
      <c r="B672" s="2" t="s">
        <v>667</v>
      </c>
      <c r="C672" s="13">
        <v>53.45</v>
      </c>
      <c r="D672" s="6">
        <v>267.02</v>
      </c>
      <c r="E672" s="6">
        <v>100</v>
      </c>
      <c r="F672" s="6"/>
      <c r="G672" s="6"/>
      <c r="H672" s="6">
        <v>80</v>
      </c>
      <c r="I672" s="6">
        <v>4276</v>
      </c>
      <c r="J672" s="6">
        <v>599</v>
      </c>
      <c r="K672" s="6">
        <v>32016.55</v>
      </c>
      <c r="L672" s="6"/>
      <c r="M672" s="6"/>
      <c r="N672" s="6">
        <f t="shared" si="53"/>
        <v>679</v>
      </c>
      <c r="O672" s="6">
        <f t="shared" si="54"/>
        <v>36292.550000000003</v>
      </c>
      <c r="P672" s="6">
        <v>124</v>
      </c>
      <c r="Q672" s="6">
        <v>6738</v>
      </c>
      <c r="R672" s="6">
        <f t="shared" si="55"/>
        <v>195.21002172121933</v>
      </c>
      <c r="S672" s="6">
        <f t="shared" si="56"/>
        <v>10433.975660999175</v>
      </c>
    </row>
    <row r="673" spans="1:21" s="1" customFormat="1" ht="15" hidden="1" customHeight="1" outlineLevel="1" x14ac:dyDescent="0.25">
      <c r="A673" s="2" t="s">
        <v>975</v>
      </c>
      <c r="B673" s="2" t="s">
        <v>976</v>
      </c>
      <c r="C673" s="13">
        <v>240</v>
      </c>
      <c r="D673" s="6">
        <v>1957.7</v>
      </c>
      <c r="E673" s="6">
        <v>100</v>
      </c>
      <c r="F673" s="6"/>
      <c r="G673" s="6"/>
      <c r="H673" s="6">
        <v>1</v>
      </c>
      <c r="I673" s="6">
        <v>240</v>
      </c>
      <c r="J673" s="6">
        <v>207</v>
      </c>
      <c r="K673" s="6">
        <v>49680</v>
      </c>
      <c r="L673" s="6"/>
      <c r="M673" s="6"/>
      <c r="N673" s="6">
        <f t="shared" si="53"/>
        <v>208</v>
      </c>
      <c r="O673" s="6">
        <f t="shared" si="54"/>
        <v>49920</v>
      </c>
      <c r="P673" s="6">
        <v>3</v>
      </c>
      <c r="Q673" s="6">
        <v>832</v>
      </c>
      <c r="R673" s="6">
        <f t="shared" si="55"/>
        <v>187.96746181743885</v>
      </c>
      <c r="S673" s="6">
        <f t="shared" si="56"/>
        <v>45112.19083618532</v>
      </c>
    </row>
    <row r="674" spans="1:21" s="1" customFormat="1" ht="15" hidden="1" customHeight="1" outlineLevel="1" x14ac:dyDescent="0.25">
      <c r="A674" s="2" t="s">
        <v>1063</v>
      </c>
      <c r="B674" s="2" t="s">
        <v>1064</v>
      </c>
      <c r="C674" s="13">
        <v>46.16</v>
      </c>
      <c r="D674" s="6">
        <v>656.09</v>
      </c>
      <c r="E674" s="6">
        <v>100</v>
      </c>
      <c r="F674" s="6"/>
      <c r="G674" s="6"/>
      <c r="H674" s="6">
        <v>5</v>
      </c>
      <c r="I674" s="6">
        <v>230.8</v>
      </c>
      <c r="J674" s="6">
        <v>2359</v>
      </c>
      <c r="K674" s="6">
        <v>108891.44</v>
      </c>
      <c r="L674" s="6"/>
      <c r="M674" s="6"/>
      <c r="N674" s="6">
        <f t="shared" si="53"/>
        <v>2364</v>
      </c>
      <c r="O674" s="6">
        <f t="shared" si="54"/>
        <v>109122.23999999999</v>
      </c>
      <c r="P674" s="6">
        <v>132</v>
      </c>
      <c r="Q674" s="6">
        <v>6327</v>
      </c>
      <c r="R674" s="6">
        <f t="shared" si="55"/>
        <v>1711.8022070142815</v>
      </c>
      <c r="S674" s="6">
        <f t="shared" si="56"/>
        <v>79016.789875779228</v>
      </c>
    </row>
    <row r="675" spans="1:21" s="1" customFormat="1" ht="15" hidden="1" customHeight="1" outlineLevel="1" x14ac:dyDescent="0.25">
      <c r="A675" s="2" t="s">
        <v>668</v>
      </c>
      <c r="B675" s="2" t="s">
        <v>669</v>
      </c>
      <c r="C675" s="13">
        <v>130.69999999999999</v>
      </c>
      <c r="D675" s="6">
        <v>229.87</v>
      </c>
      <c r="E675" s="6">
        <v>100</v>
      </c>
      <c r="F675" s="6"/>
      <c r="G675" s="6"/>
      <c r="H675" s="6">
        <v>10</v>
      </c>
      <c r="I675" s="6">
        <v>1307</v>
      </c>
      <c r="J675" s="6">
        <v>712</v>
      </c>
      <c r="K675" s="6">
        <v>93058.4</v>
      </c>
      <c r="L675" s="6"/>
      <c r="M675" s="6"/>
      <c r="N675" s="6">
        <f t="shared" si="53"/>
        <v>722</v>
      </c>
      <c r="O675" s="6">
        <f t="shared" si="54"/>
        <v>94365.4</v>
      </c>
      <c r="P675" s="6">
        <v>131</v>
      </c>
      <c r="Q675" s="6">
        <v>17707</v>
      </c>
      <c r="R675" s="6">
        <f t="shared" si="55"/>
        <v>154.46748162004613</v>
      </c>
      <c r="S675" s="6">
        <f t="shared" si="56"/>
        <v>20188.899847740027</v>
      </c>
    </row>
    <row r="676" spans="1:21" s="17" customFormat="1" ht="14.1" customHeight="1" collapsed="1" x14ac:dyDescent="0.2">
      <c r="A676" s="18" t="s">
        <v>1343</v>
      </c>
      <c r="B676" s="19"/>
      <c r="C676" s="19"/>
      <c r="D676" s="18">
        <v>214.92</v>
      </c>
      <c r="E676" s="18">
        <v>84.88</v>
      </c>
      <c r="F676" s="18">
        <f t="shared" ref="F676:R676" si="57">F4+F221+F424</f>
        <v>5024</v>
      </c>
      <c r="G676" s="18">
        <f t="shared" si="57"/>
        <v>1385070.77</v>
      </c>
      <c r="H676" s="18">
        <f t="shared" si="57"/>
        <v>15013</v>
      </c>
      <c r="I676" s="18">
        <f t="shared" si="57"/>
        <v>2355121.6800000006</v>
      </c>
      <c r="J676" s="18">
        <f t="shared" si="57"/>
        <v>540354</v>
      </c>
      <c r="K676" s="18">
        <f t="shared" si="57"/>
        <v>114821752.48000009</v>
      </c>
      <c r="L676" s="18">
        <f t="shared" si="57"/>
        <v>269110</v>
      </c>
      <c r="M676" s="18">
        <f t="shared" si="57"/>
        <v>49778174.76000002</v>
      </c>
      <c r="N676" s="18">
        <f t="shared" si="57"/>
        <v>829501</v>
      </c>
      <c r="O676" s="18">
        <f t="shared" si="57"/>
        <v>168340119.68999994</v>
      </c>
      <c r="P676" s="18">
        <f t="shared" si="57"/>
        <v>29907</v>
      </c>
      <c r="Q676" s="18">
        <f t="shared" si="57"/>
        <v>5141777</v>
      </c>
      <c r="R676" s="18">
        <f t="shared" si="57"/>
        <v>229987.10992202634</v>
      </c>
      <c r="S676" s="18">
        <f t="shared" ref="S676" si="58">S4+S221+S424</f>
        <v>49995404.926489741</v>
      </c>
    </row>
    <row r="679" spans="1:21" x14ac:dyDescent="0.25">
      <c r="K679" s="20" t="s">
        <v>1608</v>
      </c>
      <c r="L679" s="80" t="s">
        <v>1609</v>
      </c>
      <c r="M679" s="80"/>
      <c r="N679" s="81" t="s">
        <v>1610</v>
      </c>
      <c r="O679" s="81"/>
      <c r="P679" s="82" t="s">
        <v>1611</v>
      </c>
      <c r="Q679" s="82"/>
      <c r="R679" s="83" t="s">
        <v>1343</v>
      </c>
      <c r="S679" s="83"/>
    </row>
    <row r="680" spans="1:21" x14ac:dyDescent="0.25">
      <c r="K680" s="21">
        <v>46259</v>
      </c>
      <c r="L680" s="22">
        <v>26166450.285474893</v>
      </c>
      <c r="M680" s="23">
        <f t="shared" ref="M680:M693" si="59">L680/L681-1</f>
        <v>0.38199611000176659</v>
      </c>
      <c r="N680" s="24">
        <v>14963025.071436137</v>
      </c>
      <c r="O680" s="25">
        <f t="shared" ref="O680:O694" si="60">N680/N681-1</f>
        <v>0.37987434579249868</v>
      </c>
      <c r="P680" s="26">
        <v>8865929.5695787091</v>
      </c>
      <c r="Q680" s="27">
        <f t="shared" ref="Q680:Q694" si="61">P680/P681-1</f>
        <v>0.403818091634075</v>
      </c>
      <c r="R680" s="28">
        <v>49995404.926489741</v>
      </c>
      <c r="S680" s="29">
        <f t="shared" ref="S680:S692" si="62">R680/R681-1</f>
        <v>0.38517706348767899</v>
      </c>
      <c r="T680" s="57">
        <f>N680+P680</f>
        <v>23828954.641014844</v>
      </c>
    </row>
    <row r="681" spans="1:21" x14ac:dyDescent="0.25">
      <c r="K681" s="21">
        <v>46224</v>
      </c>
      <c r="L681" s="22">
        <v>18933808.927610833</v>
      </c>
      <c r="M681" s="23">
        <f t="shared" si="59"/>
        <v>2.427587221492189E-2</v>
      </c>
      <c r="N681" s="24">
        <v>10843759.156086398</v>
      </c>
      <c r="O681" s="25">
        <f t="shared" si="60"/>
        <v>9.5010770227799135E-3</v>
      </c>
      <c r="P681" s="26">
        <v>6315582.9251769884</v>
      </c>
      <c r="Q681" s="27">
        <f t="shared" si="61"/>
        <v>-3.1136128997503953E-2</v>
      </c>
      <c r="R681" s="28">
        <v>36093151.008874215</v>
      </c>
      <c r="S681" s="29">
        <f t="shared" si="62"/>
        <v>9.7309708413884088E-3</v>
      </c>
      <c r="T681" s="57">
        <f>N681+P681</f>
        <v>17159342.081263386</v>
      </c>
    </row>
    <row r="682" spans="1:21" x14ac:dyDescent="0.25">
      <c r="K682" s="21">
        <v>46202</v>
      </c>
      <c r="L682" s="22">
        <v>18485067.784197487</v>
      </c>
      <c r="M682" s="23">
        <f t="shared" si="59"/>
        <v>-0.11885586567644202</v>
      </c>
      <c r="N682" s="24">
        <v>10741701.423505964</v>
      </c>
      <c r="O682" s="25">
        <f t="shared" si="60"/>
        <v>-2.9693097257975087E-2</v>
      </c>
      <c r="P682" s="26">
        <v>6518545.1890596068</v>
      </c>
      <c r="Q682" s="27">
        <f t="shared" si="61"/>
        <v>-0.1502333558856731</v>
      </c>
      <c r="R682" s="28">
        <v>35745314.396763057</v>
      </c>
      <c r="S682" s="29">
        <f t="shared" si="62"/>
        <v>-0.10006495446235208</v>
      </c>
      <c r="T682" s="57">
        <f>N682+P682</f>
        <v>17260246.61256557</v>
      </c>
    </row>
    <row r="683" spans="1:21" hidden="1" outlineLevel="1" x14ac:dyDescent="0.25">
      <c r="K683" s="21">
        <v>46170</v>
      </c>
      <c r="L683" s="22">
        <v>20978483.614815429</v>
      </c>
      <c r="M683" s="23">
        <f t="shared" si="59"/>
        <v>9.3343384897934811E-3</v>
      </c>
      <c r="N683" s="24">
        <v>11070416.373572739</v>
      </c>
      <c r="O683" s="25">
        <f t="shared" si="60"/>
        <v>0.13696383051720584</v>
      </c>
      <c r="P683" s="26">
        <v>7670982.6564839929</v>
      </c>
      <c r="Q683" s="27">
        <f t="shared" si="61"/>
        <v>0.10638180967730615</v>
      </c>
      <c r="R683" s="28">
        <v>39719882.644872159</v>
      </c>
      <c r="S683" s="29">
        <f t="shared" si="62"/>
        <v>6.047811204646214E-2</v>
      </c>
      <c r="U683" s="57"/>
    </row>
    <row r="684" spans="1:21" hidden="1" outlineLevel="1" x14ac:dyDescent="0.25">
      <c r="K684" s="21">
        <v>46135</v>
      </c>
      <c r="L684" s="22">
        <v>20784474.296400413</v>
      </c>
      <c r="M684" s="23">
        <f t="shared" si="59"/>
        <v>-0.19419180137716863</v>
      </c>
      <c r="N684" s="24">
        <v>9736823.7022428382</v>
      </c>
      <c r="O684" s="25">
        <f t="shared" si="60"/>
        <v>-0.15462410755202904</v>
      </c>
      <c r="P684" s="26">
        <v>6933395.4963715076</v>
      </c>
      <c r="Q684" s="27">
        <f t="shared" si="61"/>
        <v>8.9806498067684704E-2</v>
      </c>
      <c r="R684" s="28">
        <v>37454693.495014757</v>
      </c>
      <c r="S684" s="29">
        <f t="shared" si="62"/>
        <v>-0.1423855598549455</v>
      </c>
      <c r="U684" s="57"/>
    </row>
    <row r="685" spans="1:21" hidden="1" outlineLevel="1" x14ac:dyDescent="0.25">
      <c r="K685" s="21">
        <v>46104</v>
      </c>
      <c r="L685" s="22">
        <v>25793326.913181294</v>
      </c>
      <c r="M685" s="23">
        <f t="shared" si="59"/>
        <v>1.4947034378624879E-2</v>
      </c>
      <c r="N685" s="24">
        <v>11517744.697033806</v>
      </c>
      <c r="O685" s="25">
        <f t="shared" si="60"/>
        <v>0.1290745801670885</v>
      </c>
      <c r="P685" s="26">
        <v>6362042.7192028863</v>
      </c>
      <c r="Q685" s="27">
        <f t="shared" si="61"/>
        <v>4.5739295439327199E-2</v>
      </c>
      <c r="R685" s="28">
        <v>43673114.329417981</v>
      </c>
      <c r="S685" s="29">
        <f t="shared" si="62"/>
        <v>4.7359722902988288E-2</v>
      </c>
      <c r="U685" s="57"/>
    </row>
    <row r="686" spans="1:21" hidden="1" outlineLevel="1" x14ac:dyDescent="0.25">
      <c r="K686" s="21">
        <v>46079</v>
      </c>
      <c r="L686" s="22">
        <v>25413470.890106689</v>
      </c>
      <c r="M686" s="23">
        <f t="shared" si="59"/>
        <v>9.2305186272382711E-2</v>
      </c>
      <c r="N686" s="24">
        <v>10201048.628098002</v>
      </c>
      <c r="O686" s="25">
        <f t="shared" si="60"/>
        <v>-1.3789930062132139E-2</v>
      </c>
      <c r="P686" s="26">
        <v>6083775.1310952874</v>
      </c>
      <c r="Q686" s="27">
        <f t="shared" si="61"/>
        <v>-0.31667565361757821</v>
      </c>
      <c r="R686" s="28">
        <v>41698294.649299979</v>
      </c>
      <c r="S686" s="29">
        <f t="shared" si="62"/>
        <v>-1.9158992594536239E-2</v>
      </c>
    </row>
    <row r="687" spans="1:21" hidden="1" outlineLevel="1" x14ac:dyDescent="0.25">
      <c r="K687" s="21">
        <v>46048</v>
      </c>
      <c r="L687" s="22">
        <v>23265907.009773601</v>
      </c>
      <c r="M687" s="23">
        <f t="shared" si="59"/>
        <v>-1.4253632750763634E-3</v>
      </c>
      <c r="N687" s="24">
        <v>10343687.353284353</v>
      </c>
      <c r="O687" s="25">
        <f t="shared" si="60"/>
        <v>0.14880360184463837</v>
      </c>
      <c r="P687" s="26">
        <v>8903202.6493762732</v>
      </c>
      <c r="Q687" s="27">
        <f t="shared" si="61"/>
        <v>0.66765044343878954</v>
      </c>
      <c r="R687" s="28">
        <v>42512797.012434229</v>
      </c>
      <c r="S687" s="29">
        <f t="shared" si="62"/>
        <v>0.12940498733210282</v>
      </c>
    </row>
    <row r="688" spans="1:21" hidden="1" outlineLevel="1" x14ac:dyDescent="0.25">
      <c r="K688" s="21">
        <v>46013</v>
      </c>
      <c r="L688" s="22">
        <v>23299116.715080995</v>
      </c>
      <c r="M688" s="23">
        <f t="shared" si="59"/>
        <v>-0.15211988494787809</v>
      </c>
      <c r="N688" s="24">
        <v>9003877.8923355173</v>
      </c>
      <c r="O688" s="25">
        <f t="shared" si="60"/>
        <v>-0.12848609716017079</v>
      </c>
      <c r="P688" s="26">
        <v>5338770.2947011879</v>
      </c>
      <c r="Q688" s="27">
        <f t="shared" si="61"/>
        <v>-0.12411396406790809</v>
      </c>
      <c r="R688" s="28">
        <v>37641764.902117699</v>
      </c>
      <c r="S688" s="29">
        <f t="shared" si="62"/>
        <v>-0.14267075944708529</v>
      </c>
    </row>
    <row r="689" spans="1:19" hidden="1" outlineLevel="1" x14ac:dyDescent="0.25">
      <c r="K689" s="21">
        <v>45987</v>
      </c>
      <c r="L689" s="22">
        <v>27479258.330818057</v>
      </c>
      <c r="M689" s="23">
        <f t="shared" si="59"/>
        <v>-0.18159122223813884</v>
      </c>
      <c r="N689" s="24">
        <v>10331307.23789531</v>
      </c>
      <c r="O689" s="25">
        <f t="shared" si="60"/>
        <v>-4.5662161105236687E-2</v>
      </c>
      <c r="P689" s="26">
        <v>6095279.6090873023</v>
      </c>
      <c r="Q689" s="27">
        <f t="shared" si="61"/>
        <v>-7.6312341640234593E-2</v>
      </c>
      <c r="R689" s="28">
        <v>43905845.17780067</v>
      </c>
      <c r="S689" s="29">
        <f t="shared" si="62"/>
        <v>-0.13911675089434239</v>
      </c>
    </row>
    <row r="690" spans="1:19" hidden="1" outlineLevel="1" x14ac:dyDescent="0.25">
      <c r="K690" s="21">
        <v>45957</v>
      </c>
      <c r="L690" s="22">
        <v>33576446.242386118</v>
      </c>
      <c r="M690" s="23">
        <f t="shared" si="59"/>
        <v>0.29363940201914662</v>
      </c>
      <c r="N690" s="24">
        <v>10825628.846342498</v>
      </c>
      <c r="O690" s="25">
        <f t="shared" si="60"/>
        <v>-1.8768105953090863E-2</v>
      </c>
      <c r="P690" s="26">
        <v>6598853.577746151</v>
      </c>
      <c r="Q690" s="27">
        <f t="shared" si="61"/>
        <v>-0.6181042210277583</v>
      </c>
      <c r="R690" s="28">
        <v>51000928.666474767</v>
      </c>
      <c r="S690" s="29">
        <f t="shared" si="62"/>
        <v>-6.0183819799510041E-2</v>
      </c>
    </row>
    <row r="691" spans="1:19" hidden="1" outlineLevel="1" x14ac:dyDescent="0.25">
      <c r="K691" s="21">
        <v>45924</v>
      </c>
      <c r="L691" s="22">
        <v>25955027.490643151</v>
      </c>
      <c r="M691" s="23">
        <f t="shared" si="59"/>
        <v>0.3226558791493106</v>
      </c>
      <c r="N691" s="24">
        <v>11032691.570688961</v>
      </c>
      <c r="O691" s="25">
        <f t="shared" si="60"/>
        <v>-8.9158323253631155E-2</v>
      </c>
      <c r="P691" s="26">
        <v>17279200.088319886</v>
      </c>
      <c r="Q691" s="27">
        <f t="shared" si="61"/>
        <v>1.9517780973123289E-2</v>
      </c>
      <c r="R691" s="28">
        <v>54266919.149652004</v>
      </c>
      <c r="S691" s="29">
        <f t="shared" si="62"/>
        <v>0.11466625005154474</v>
      </c>
    </row>
    <row r="692" spans="1:19" hidden="1" outlineLevel="1" x14ac:dyDescent="0.25">
      <c r="K692" s="21">
        <v>45894</v>
      </c>
      <c r="L692" s="22">
        <v>19623416.717685167</v>
      </c>
      <c r="M692" s="23">
        <f t="shared" si="59"/>
        <v>0.19620758034892338</v>
      </c>
      <c r="N692" s="24">
        <v>12112633.679762002</v>
      </c>
      <c r="O692" s="25">
        <f t="shared" si="60"/>
        <v>0.64345190400432672</v>
      </c>
      <c r="P692" s="26">
        <v>16948404.834908321</v>
      </c>
      <c r="Q692" s="27">
        <f t="shared" si="61"/>
        <v>0.58142132314407657</v>
      </c>
      <c r="R692" s="28">
        <v>48684455.23235549</v>
      </c>
      <c r="S692" s="29">
        <f t="shared" si="62"/>
        <v>0.41146566237679849</v>
      </c>
    </row>
    <row r="693" spans="1:19" hidden="1" outlineLevel="1" x14ac:dyDescent="0.25">
      <c r="K693" s="21">
        <v>45866</v>
      </c>
      <c r="L693" s="22">
        <v>16404691.827785596</v>
      </c>
      <c r="M693" s="23">
        <f t="shared" si="59"/>
        <v>-3.953954848099861E-2</v>
      </c>
      <c r="N693" s="24">
        <v>7370239.2204171941</v>
      </c>
      <c r="O693" s="25">
        <f t="shared" si="60"/>
        <v>-0.21952385797112361</v>
      </c>
      <c r="P693" s="26">
        <v>10717197.616390193</v>
      </c>
      <c r="Q693" s="27">
        <f t="shared" si="61"/>
        <v>-0.13116501163013938</v>
      </c>
      <c r="R693" s="28">
        <v>34492128.664592981</v>
      </c>
      <c r="S693" s="29">
        <f t="shared" ref="S693:S697" si="63">R693/R694-1</f>
        <v>-0.11236419923467178</v>
      </c>
    </row>
    <row r="694" spans="1:19" hidden="1" outlineLevel="1" x14ac:dyDescent="0.25">
      <c r="K694" s="21">
        <v>45833</v>
      </c>
      <c r="L694" s="22">
        <v>17080028.440360047</v>
      </c>
      <c r="M694" s="23">
        <f t="shared" ref="M694:M696" si="64">L694/L695-1</f>
        <v>-0.37918583311324672</v>
      </c>
      <c r="N694" s="24">
        <v>9443260.1120362077</v>
      </c>
      <c r="O694" s="25">
        <f t="shared" si="60"/>
        <v>1.5399023876963014E-2</v>
      </c>
      <c r="P694" s="26">
        <v>12335135.854160504</v>
      </c>
      <c r="Q694" s="27">
        <f t="shared" si="61"/>
        <v>-0.10597067510015745</v>
      </c>
      <c r="R694" s="28">
        <v>38858424.406556755</v>
      </c>
      <c r="S694" s="29">
        <f t="shared" si="63"/>
        <v>-0.23219249125184327</v>
      </c>
    </row>
    <row r="695" spans="1:19" hidden="1" outlineLevel="1" x14ac:dyDescent="0.25">
      <c r="K695" s="21">
        <v>45798</v>
      </c>
      <c r="L695" s="22">
        <v>27512304.569357105</v>
      </c>
      <c r="M695" s="23">
        <f>L695/L696-1</f>
        <v>0.41280192865876719</v>
      </c>
      <c r="N695" s="24">
        <v>9300048.4439902883</v>
      </c>
      <c r="O695" s="25">
        <f t="shared" ref="O695:O697" si="65">N695/N696-1</f>
        <v>-0.1929472471678052</v>
      </c>
      <c r="P695" s="26">
        <v>13797238.536378436</v>
      </c>
      <c r="Q695" s="27">
        <f t="shared" ref="Q695:Q697" si="66">P695/P696-1</f>
        <v>-0.42380191457872152</v>
      </c>
      <c r="R695" s="28">
        <v>50609591.549725831</v>
      </c>
      <c r="S695" s="29">
        <f t="shared" si="63"/>
        <v>-7.8860083968494421E-2</v>
      </c>
    </row>
    <row r="696" spans="1:19" ht="15" hidden="1" customHeight="1" outlineLevel="1" x14ac:dyDescent="0.25">
      <c r="K696" s="21">
        <v>45768</v>
      </c>
      <c r="L696" s="22">
        <v>19473575.177998025</v>
      </c>
      <c r="M696" s="23">
        <f t="shared" si="64"/>
        <v>-0.43060349007683629</v>
      </c>
      <c r="N696" s="24">
        <v>11523470.320067152</v>
      </c>
      <c r="O696" s="25">
        <f t="shared" si="65"/>
        <v>-0.25894362272866456</v>
      </c>
      <c r="P696" s="26">
        <v>23945304.376169167</v>
      </c>
      <c r="Q696" s="27">
        <f t="shared" si="66"/>
        <v>0.76106740889519675</v>
      </c>
      <c r="R696" s="28">
        <v>54942349.874234349</v>
      </c>
      <c r="S696" s="29">
        <f t="shared" si="63"/>
        <v>-0.13268288765122482</v>
      </c>
    </row>
    <row r="697" spans="1:19" ht="15" hidden="1" customHeight="1" outlineLevel="1" x14ac:dyDescent="0.25">
      <c r="K697" s="21">
        <v>45733</v>
      </c>
      <c r="L697" s="22">
        <v>34200376.782474227</v>
      </c>
      <c r="M697" s="23">
        <f>L697/L698-1</f>
        <v>6.4534315055242875E-2</v>
      </c>
      <c r="N697" s="24">
        <v>15550058.907121273</v>
      </c>
      <c r="O697" s="25">
        <f t="shared" si="65"/>
        <v>-0.23101386171315041</v>
      </c>
      <c r="P697" s="26">
        <v>13597040.212782782</v>
      </c>
      <c r="Q697" s="27">
        <f t="shared" si="66"/>
        <v>-0.26305038987244878</v>
      </c>
      <c r="R697" s="28">
        <v>63347475.902378276</v>
      </c>
      <c r="S697" s="29">
        <f t="shared" si="63"/>
        <v>-0.10524924652525181</v>
      </c>
    </row>
    <row r="698" spans="1:19" ht="15" hidden="1" customHeight="1" outlineLevel="1" x14ac:dyDescent="0.25">
      <c r="K698" s="21">
        <v>45712</v>
      </c>
      <c r="L698" s="22">
        <v>32127077.820595607</v>
      </c>
      <c r="M698" s="34"/>
      <c r="N698" s="24">
        <v>20221507.427642006</v>
      </c>
      <c r="O698" s="35"/>
      <c r="P698" s="26">
        <v>18450434.094712943</v>
      </c>
      <c r="Q698" s="32"/>
      <c r="R698" s="28">
        <v>70799019.342950553</v>
      </c>
      <c r="S698" s="33"/>
    </row>
    <row r="699" spans="1:19" ht="15" hidden="1" customHeight="1" outlineLevel="1" x14ac:dyDescent="0.25"/>
    <row r="700" spans="1:19" ht="11.25" customHeight="1" collapsed="1" x14ac:dyDescent="0.25">
      <c r="A700" s="38"/>
      <c r="B700" s="38"/>
      <c r="C700" s="38"/>
      <c r="D700" s="39"/>
      <c r="E700" s="39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</row>
    <row r="701" spans="1:19" x14ac:dyDescent="0.25">
      <c r="A701" s="40"/>
      <c r="B701" s="41" t="s">
        <v>1612</v>
      </c>
      <c r="C701" s="40"/>
      <c r="D701" s="42"/>
      <c r="E701" s="42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</row>
    <row r="702" spans="1:19" ht="33.75" customHeight="1" x14ac:dyDescent="0.25">
      <c r="A702" s="62" t="s">
        <v>0</v>
      </c>
      <c r="B702" s="62" t="s">
        <v>1</v>
      </c>
      <c r="C702" s="63" t="s">
        <v>1606</v>
      </c>
      <c r="D702" s="84" t="s">
        <v>1598</v>
      </c>
      <c r="E702" s="85"/>
      <c r="F702" s="61" t="s">
        <v>1604</v>
      </c>
      <c r="G702" s="61" t="s">
        <v>1605</v>
      </c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</row>
    <row r="703" spans="1:19" x14ac:dyDescent="0.25">
      <c r="A703" s="2" t="s">
        <v>281</v>
      </c>
      <c r="B703" s="2" t="s">
        <v>282</v>
      </c>
      <c r="C703" s="13">
        <v>390.67</v>
      </c>
      <c r="D703" s="6">
        <v>12207</v>
      </c>
      <c r="E703" s="6">
        <v>4768908.6900000004</v>
      </c>
      <c r="F703" s="6">
        <v>10101.437257438551</v>
      </c>
      <c r="G703" s="6">
        <v>3946328.4933635187</v>
      </c>
    </row>
    <row r="704" spans="1:19" x14ac:dyDescent="0.25">
      <c r="A704" s="2" t="s">
        <v>237</v>
      </c>
      <c r="B704" s="2" t="s">
        <v>238</v>
      </c>
      <c r="C704" s="13">
        <v>2005.83</v>
      </c>
      <c r="D704" s="6">
        <v>1022</v>
      </c>
      <c r="E704" s="6">
        <v>2049958.26</v>
      </c>
      <c r="F704" s="6">
        <v>1010.2820561819224</v>
      </c>
      <c r="G704" s="6">
        <v>2026454.0567513853</v>
      </c>
    </row>
    <row r="705" spans="1:7" x14ac:dyDescent="0.25">
      <c r="A705" s="2" t="s">
        <v>855</v>
      </c>
      <c r="B705" s="2" t="s">
        <v>856</v>
      </c>
      <c r="C705" s="13">
        <v>475.31</v>
      </c>
      <c r="D705" s="6">
        <v>3875</v>
      </c>
      <c r="E705" s="6">
        <v>1841826.25</v>
      </c>
      <c r="F705" s="6">
        <v>3869.1945792268475</v>
      </c>
      <c r="G705" s="6">
        <v>1839066.8754523129</v>
      </c>
    </row>
    <row r="706" spans="1:7" x14ac:dyDescent="0.25">
      <c r="A706" s="2" t="s">
        <v>476</v>
      </c>
      <c r="B706" s="2" t="s">
        <v>477</v>
      </c>
      <c r="C706" s="13">
        <v>329.72</v>
      </c>
      <c r="D706" s="6">
        <v>3437</v>
      </c>
      <c r="E706" s="6">
        <v>1133247.6399999999</v>
      </c>
      <c r="F706" s="6">
        <v>3421.5260067187533</v>
      </c>
      <c r="G706" s="6">
        <v>1128145.5549353075</v>
      </c>
    </row>
    <row r="707" spans="1:7" x14ac:dyDescent="0.25">
      <c r="A707" s="2" t="s">
        <v>67</v>
      </c>
      <c r="B707" s="2" t="s">
        <v>68</v>
      </c>
      <c r="C707" s="13">
        <v>810.47</v>
      </c>
      <c r="D707" s="6">
        <v>1352</v>
      </c>
      <c r="E707" s="6">
        <v>1095755.44</v>
      </c>
      <c r="F707" s="6">
        <v>1334.6240435941154</v>
      </c>
      <c r="G707" s="6">
        <v>1081672.7486117228</v>
      </c>
    </row>
    <row r="708" spans="1:7" x14ac:dyDescent="0.25">
      <c r="A708" s="2" t="s">
        <v>600</v>
      </c>
      <c r="B708" s="2" t="s">
        <v>601</v>
      </c>
      <c r="C708" s="13">
        <v>292.02999999999997</v>
      </c>
      <c r="D708" s="6">
        <v>3480</v>
      </c>
      <c r="E708" s="6">
        <v>1016264.4</v>
      </c>
      <c r="F708" s="6">
        <v>3255.6149633010104</v>
      </c>
      <c r="G708" s="6">
        <v>950737.23773279402</v>
      </c>
    </row>
    <row r="709" spans="1:7" x14ac:dyDescent="0.25">
      <c r="A709" s="2" t="s">
        <v>291</v>
      </c>
      <c r="B709" s="2" t="s">
        <v>292</v>
      </c>
      <c r="C709" s="13">
        <v>437.32</v>
      </c>
      <c r="D709" s="6">
        <v>2137</v>
      </c>
      <c r="E709" s="6">
        <v>934552.84</v>
      </c>
      <c r="F709" s="6">
        <v>1922.397477167867</v>
      </c>
      <c r="G709" s="6">
        <v>840702.8647150516</v>
      </c>
    </row>
    <row r="710" spans="1:7" ht="18" customHeight="1" x14ac:dyDescent="0.25">
      <c r="A710" s="2" t="s">
        <v>15</v>
      </c>
      <c r="B710" s="2" t="s">
        <v>16</v>
      </c>
      <c r="C710" s="13">
        <v>501.75</v>
      </c>
      <c r="D710" s="6">
        <v>1817</v>
      </c>
      <c r="E710" s="6">
        <v>911679.75</v>
      </c>
      <c r="F710" s="6">
        <v>1653.8761783159932</v>
      </c>
      <c r="G710" s="6">
        <v>829832.37247004965</v>
      </c>
    </row>
    <row r="711" spans="1:7" x14ac:dyDescent="0.25">
      <c r="A711" s="2" t="s">
        <v>263</v>
      </c>
      <c r="B711" s="2" t="s">
        <v>264</v>
      </c>
      <c r="C711" s="13">
        <v>1423.27</v>
      </c>
      <c r="D711" s="6">
        <v>708</v>
      </c>
      <c r="E711" s="6">
        <v>1007675.16</v>
      </c>
      <c r="F711" s="6">
        <v>564.51718663799409</v>
      </c>
      <c r="G711" s="6">
        <v>803460.37622625788</v>
      </c>
    </row>
    <row r="712" spans="1:7" x14ac:dyDescent="0.25">
      <c r="A712" s="2" t="s">
        <v>802</v>
      </c>
      <c r="B712" s="2" t="s">
        <v>803</v>
      </c>
      <c r="C712" s="13">
        <v>175.32</v>
      </c>
      <c r="D712" s="6">
        <v>4476</v>
      </c>
      <c r="E712" s="6">
        <v>784732.32</v>
      </c>
      <c r="F712" s="6">
        <v>3987.6794957270135</v>
      </c>
      <c r="G712" s="6">
        <v>699119.96919085993</v>
      </c>
    </row>
    <row r="713" spans="1:7" x14ac:dyDescent="0.25">
      <c r="G713" s="4">
        <f>SUBTOTAL(9,G703:G712)</f>
        <v>14145520.549449258</v>
      </c>
    </row>
    <row r="714" spans="1:7" x14ac:dyDescent="0.25">
      <c r="A714" s="40"/>
      <c r="B714" s="41" t="s">
        <v>1613</v>
      </c>
      <c r="C714" s="40"/>
      <c r="D714" s="42"/>
      <c r="E714" s="42"/>
      <c r="F714" s="40"/>
      <c r="G714" s="40"/>
    </row>
    <row r="715" spans="1:7" x14ac:dyDescent="0.25">
      <c r="A715" s="2" t="s">
        <v>1317</v>
      </c>
      <c r="B715" s="2" t="s">
        <v>1318</v>
      </c>
      <c r="C715" s="13">
        <v>701.75</v>
      </c>
      <c r="D715" s="6">
        <v>560</v>
      </c>
      <c r="E715" s="6">
        <v>392980</v>
      </c>
      <c r="F715" s="6"/>
      <c r="G715" s="6"/>
    </row>
    <row r="716" spans="1:7" x14ac:dyDescent="0.25">
      <c r="A716" s="2" t="s">
        <v>237</v>
      </c>
      <c r="B716" s="2" t="s">
        <v>238</v>
      </c>
      <c r="C716" s="13">
        <v>2005.83</v>
      </c>
      <c r="D716" s="6">
        <v>1022</v>
      </c>
      <c r="E716" s="6">
        <v>2049958.26</v>
      </c>
      <c r="F716" s="6"/>
      <c r="G716" s="6"/>
    </row>
    <row r="717" spans="1:7" x14ac:dyDescent="0.25">
      <c r="A717" s="2" t="s">
        <v>1245</v>
      </c>
      <c r="B717" s="2" t="s">
        <v>1246</v>
      </c>
      <c r="C717" s="13">
        <v>389.67</v>
      </c>
      <c r="D717" s="6">
        <v>296</v>
      </c>
      <c r="E717" s="6">
        <v>115342.32</v>
      </c>
      <c r="F717" s="6"/>
      <c r="G717" s="6"/>
    </row>
    <row r="718" spans="1:7" x14ac:dyDescent="0.25">
      <c r="A718" s="2" t="s">
        <v>712</v>
      </c>
      <c r="B718" s="2" t="s">
        <v>713</v>
      </c>
      <c r="C718" s="13">
        <v>562.1</v>
      </c>
      <c r="D718" s="6">
        <v>219</v>
      </c>
      <c r="E718" s="6">
        <v>123099.9</v>
      </c>
      <c r="F718" s="6"/>
      <c r="G718" s="6"/>
    </row>
    <row r="719" spans="1:7" x14ac:dyDescent="0.25">
      <c r="A719" s="2" t="s">
        <v>686</v>
      </c>
      <c r="B719" s="2" t="s">
        <v>687</v>
      </c>
      <c r="C719" s="13">
        <v>870</v>
      </c>
      <c r="D719" s="6">
        <v>262</v>
      </c>
      <c r="E719" s="6">
        <v>227940</v>
      </c>
      <c r="F719" s="6"/>
      <c r="G719" s="6"/>
    </row>
    <row r="720" spans="1:7" x14ac:dyDescent="0.25">
      <c r="A720" s="2" t="s">
        <v>1193</v>
      </c>
      <c r="B720" s="2" t="s">
        <v>1194</v>
      </c>
      <c r="C720" s="13">
        <v>153.4</v>
      </c>
      <c r="D720" s="6">
        <v>317</v>
      </c>
      <c r="E720" s="6">
        <v>48627.8</v>
      </c>
      <c r="F720" s="6"/>
      <c r="G720" s="6"/>
    </row>
    <row r="721" spans="1:7" x14ac:dyDescent="0.25">
      <c r="A721" s="2" t="s">
        <v>1243</v>
      </c>
      <c r="B721" s="2" t="s">
        <v>1244</v>
      </c>
      <c r="C721" s="13">
        <v>245</v>
      </c>
      <c r="D721" s="6">
        <v>80</v>
      </c>
      <c r="E721" s="6">
        <v>19600</v>
      </c>
      <c r="F721" s="6"/>
      <c r="G721" s="6"/>
    </row>
    <row r="722" spans="1:7" x14ac:dyDescent="0.25">
      <c r="A722" s="2" t="s">
        <v>1171</v>
      </c>
      <c r="B722" s="2" t="s">
        <v>1172</v>
      </c>
      <c r="C722" s="13">
        <v>976.52</v>
      </c>
      <c r="D722" s="6">
        <v>21</v>
      </c>
      <c r="E722" s="6">
        <v>20506.919999999998</v>
      </c>
      <c r="F722" s="6"/>
      <c r="G722" s="6"/>
    </row>
    <row r="723" spans="1:7" x14ac:dyDescent="0.25">
      <c r="A723" s="2" t="s">
        <v>1329</v>
      </c>
      <c r="B723" s="2" t="s">
        <v>1330</v>
      </c>
      <c r="C723" s="13">
        <v>610.33000000000004</v>
      </c>
      <c r="D723" s="6">
        <v>124</v>
      </c>
      <c r="E723" s="6">
        <v>75680.92</v>
      </c>
      <c r="F723" s="6"/>
      <c r="G723" s="6"/>
    </row>
    <row r="724" spans="1:7" x14ac:dyDescent="0.25">
      <c r="A724" s="2" t="s">
        <v>470</v>
      </c>
      <c r="B724" s="2" t="s">
        <v>471</v>
      </c>
      <c r="C724" s="13">
        <v>1133.32</v>
      </c>
      <c r="D724" s="6">
        <v>524</v>
      </c>
      <c r="E724" s="6">
        <v>593859.68000000005</v>
      </c>
      <c r="F724" s="6"/>
      <c r="G724" s="6"/>
    </row>
    <row r="725" spans="1:7" x14ac:dyDescent="0.25">
      <c r="A725" s="2" t="s">
        <v>1333</v>
      </c>
      <c r="B725" s="2" t="s">
        <v>1334</v>
      </c>
      <c r="C725" s="13">
        <v>709.16</v>
      </c>
      <c r="D725" s="6">
        <v>90</v>
      </c>
      <c r="E725" s="6">
        <v>63824.4</v>
      </c>
      <c r="F725" s="6"/>
      <c r="G725" s="6"/>
    </row>
    <row r="726" spans="1:7" x14ac:dyDescent="0.25">
      <c r="A726" s="2" t="s">
        <v>1077</v>
      </c>
      <c r="B726" s="2" t="s">
        <v>1078</v>
      </c>
      <c r="C726" s="13">
        <v>930</v>
      </c>
      <c r="D726" s="6">
        <v>248</v>
      </c>
      <c r="E726" s="6">
        <v>230640</v>
      </c>
      <c r="F726" s="6"/>
      <c r="G726" s="6"/>
    </row>
    <row r="727" spans="1:7" x14ac:dyDescent="0.25">
      <c r="A727" s="2" t="s">
        <v>1169</v>
      </c>
      <c r="B727" s="2" t="s">
        <v>1170</v>
      </c>
      <c r="C727" s="13">
        <v>976.52</v>
      </c>
      <c r="D727" s="6">
        <v>37</v>
      </c>
      <c r="E727" s="6">
        <v>36131.24</v>
      </c>
      <c r="F727" s="6"/>
      <c r="G727" s="6"/>
    </row>
    <row r="728" spans="1:7" x14ac:dyDescent="0.25">
      <c r="A728" s="2" t="s">
        <v>788</v>
      </c>
      <c r="B728" s="2" t="s">
        <v>789</v>
      </c>
      <c r="C728" s="13">
        <v>676.06</v>
      </c>
      <c r="D728" s="6">
        <v>277</v>
      </c>
      <c r="E728" s="6">
        <v>187268.62</v>
      </c>
      <c r="F728" s="6"/>
      <c r="G728" s="6"/>
    </row>
    <row r="729" spans="1:7" x14ac:dyDescent="0.25">
      <c r="A729" s="2" t="s">
        <v>1201</v>
      </c>
      <c r="B729" s="2" t="s">
        <v>1202</v>
      </c>
      <c r="C729" s="13">
        <v>153.4</v>
      </c>
      <c r="D729" s="6">
        <v>64</v>
      </c>
      <c r="E729" s="6">
        <v>9817.6</v>
      </c>
      <c r="F729" s="6"/>
      <c r="G729" s="6"/>
    </row>
    <row r="730" spans="1:7" x14ac:dyDescent="0.25">
      <c r="A730" s="2" t="s">
        <v>1175</v>
      </c>
      <c r="B730" s="2" t="s">
        <v>1176</v>
      </c>
      <c r="C730" s="13">
        <v>976.52</v>
      </c>
      <c r="D730" s="6">
        <v>51</v>
      </c>
      <c r="E730" s="6">
        <v>49802.52</v>
      </c>
      <c r="F730" s="6"/>
      <c r="G730" s="6"/>
    </row>
    <row r="731" spans="1:7" x14ac:dyDescent="0.25">
      <c r="A731" s="2" t="s">
        <v>921</v>
      </c>
      <c r="B731" s="2" t="s">
        <v>922</v>
      </c>
      <c r="C731" s="13">
        <v>201.5</v>
      </c>
      <c r="D731" s="6">
        <v>95</v>
      </c>
      <c r="E731" s="6">
        <v>19142.5</v>
      </c>
      <c r="F731" s="6"/>
      <c r="G731" s="6"/>
    </row>
    <row r="732" spans="1:7" x14ac:dyDescent="0.25">
      <c r="A732" s="2" t="s">
        <v>1163</v>
      </c>
      <c r="B732" s="2" t="s">
        <v>1164</v>
      </c>
      <c r="C732" s="13">
        <v>978.38</v>
      </c>
      <c r="D732" s="6">
        <v>110</v>
      </c>
      <c r="E732" s="6">
        <v>107621.8</v>
      </c>
      <c r="F732" s="6"/>
      <c r="G732" s="6"/>
    </row>
    <row r="733" spans="1:7" x14ac:dyDescent="0.25">
      <c r="A733" s="2" t="s">
        <v>1177</v>
      </c>
      <c r="B733" s="2" t="s">
        <v>1178</v>
      </c>
      <c r="C733" s="13">
        <v>984.61</v>
      </c>
      <c r="D733" s="6">
        <v>56</v>
      </c>
      <c r="E733" s="6">
        <v>55138.16</v>
      </c>
      <c r="F733" s="6"/>
      <c r="G733" s="6"/>
    </row>
    <row r="734" spans="1:7" x14ac:dyDescent="0.25">
      <c r="A734" s="2" t="s">
        <v>923</v>
      </c>
      <c r="B734" s="2" t="s">
        <v>924</v>
      </c>
      <c r="C734" s="13">
        <v>224.98</v>
      </c>
      <c r="D734" s="6">
        <v>99</v>
      </c>
      <c r="E734" s="6">
        <v>22273.02</v>
      </c>
      <c r="F734" s="6"/>
      <c r="G734" s="6"/>
    </row>
    <row r="735" spans="1:7" x14ac:dyDescent="0.25">
      <c r="A735" s="2" t="s">
        <v>464</v>
      </c>
      <c r="B735" s="2" t="s">
        <v>465</v>
      </c>
      <c r="C735" s="13">
        <v>599.24</v>
      </c>
      <c r="D735" s="6">
        <v>179</v>
      </c>
      <c r="E735" s="6">
        <v>107263.96</v>
      </c>
      <c r="F735" s="6"/>
      <c r="G735" s="6"/>
    </row>
    <row r="736" spans="1:7" x14ac:dyDescent="0.25">
      <c r="A736" s="2" t="s">
        <v>542</v>
      </c>
      <c r="B736" s="2" t="s">
        <v>543</v>
      </c>
      <c r="C736" s="13">
        <v>1142.96</v>
      </c>
      <c r="D736" s="6">
        <v>94</v>
      </c>
      <c r="E736" s="6">
        <v>107438.24</v>
      </c>
      <c r="F736" s="6"/>
      <c r="G736" s="6"/>
    </row>
    <row r="737" spans="1:7" x14ac:dyDescent="0.25">
      <c r="A737" s="2" t="s">
        <v>1131</v>
      </c>
      <c r="B737" s="2" t="s">
        <v>1132</v>
      </c>
      <c r="C737" s="13">
        <v>488.26</v>
      </c>
      <c r="D737" s="6">
        <v>54</v>
      </c>
      <c r="E737" s="6">
        <v>26366.04</v>
      </c>
      <c r="F737" s="6"/>
      <c r="G737" s="6"/>
    </row>
    <row r="738" spans="1:7" x14ac:dyDescent="0.25">
      <c r="A738" s="2" t="s">
        <v>1197</v>
      </c>
      <c r="B738" s="2" t="s">
        <v>1198</v>
      </c>
      <c r="C738" s="13">
        <v>153.4</v>
      </c>
      <c r="D738" s="6">
        <v>114</v>
      </c>
      <c r="E738" s="6">
        <v>17487.599999999999</v>
      </c>
      <c r="F738" s="6"/>
      <c r="G738" s="6"/>
    </row>
    <row r="739" spans="1:7" x14ac:dyDescent="0.25">
      <c r="A739" s="2" t="s">
        <v>1147</v>
      </c>
      <c r="B739" s="2" t="s">
        <v>1148</v>
      </c>
      <c r="C739" s="13">
        <v>675.61</v>
      </c>
      <c r="D739" s="6">
        <v>115</v>
      </c>
      <c r="E739" s="6">
        <v>77695.149999999994</v>
      </c>
      <c r="F739" s="6"/>
      <c r="G739" s="6"/>
    </row>
    <row r="740" spans="1:7" x14ac:dyDescent="0.25">
      <c r="A740" s="2" t="s">
        <v>1207</v>
      </c>
      <c r="B740" s="2" t="s">
        <v>1208</v>
      </c>
      <c r="C740" s="13">
        <v>153.4</v>
      </c>
      <c r="D740" s="6">
        <v>110</v>
      </c>
      <c r="E740" s="6">
        <v>16874</v>
      </c>
      <c r="F740" s="6"/>
      <c r="G740" s="6"/>
    </row>
    <row r="741" spans="1:7" x14ac:dyDescent="0.25">
      <c r="A741" s="2" t="s">
        <v>1135</v>
      </c>
      <c r="B741" s="2" t="s">
        <v>1136</v>
      </c>
      <c r="C741" s="13">
        <v>553.98</v>
      </c>
      <c r="D741" s="6">
        <v>42</v>
      </c>
      <c r="E741" s="6">
        <v>23267.16</v>
      </c>
      <c r="F741" s="6"/>
      <c r="G741" s="6"/>
    </row>
    <row r="742" spans="1:7" x14ac:dyDescent="0.25">
      <c r="A742" s="2" t="s">
        <v>947</v>
      </c>
      <c r="B742" s="2" t="s">
        <v>948</v>
      </c>
      <c r="C742" s="13">
        <v>291.58</v>
      </c>
      <c r="D742" s="6">
        <v>116</v>
      </c>
      <c r="E742" s="6">
        <v>33823.279999999999</v>
      </c>
      <c r="F742" s="6"/>
      <c r="G742" s="6"/>
    </row>
    <row r="743" spans="1:7" x14ac:dyDescent="0.25">
      <c r="A743" s="2" t="s">
        <v>1145</v>
      </c>
      <c r="B743" s="2" t="s">
        <v>1146</v>
      </c>
      <c r="C743" s="13">
        <v>383.57</v>
      </c>
      <c r="D743" s="6">
        <v>276</v>
      </c>
      <c r="E743" s="6">
        <v>105865.32</v>
      </c>
      <c r="F743" s="6"/>
      <c r="G743" s="6"/>
    </row>
    <row r="744" spans="1:7" x14ac:dyDescent="0.25">
      <c r="A744" s="2" t="s">
        <v>1203</v>
      </c>
      <c r="B744" s="2" t="s">
        <v>1204</v>
      </c>
      <c r="C744" s="13">
        <v>99.71</v>
      </c>
      <c r="D744" s="6">
        <v>130</v>
      </c>
      <c r="E744" s="6">
        <v>12962.3</v>
      </c>
      <c r="F744" s="6"/>
      <c r="G744" s="6"/>
    </row>
    <row r="745" spans="1:7" x14ac:dyDescent="0.25">
      <c r="A745" s="2" t="s">
        <v>1241</v>
      </c>
      <c r="B745" s="2" t="s">
        <v>1242</v>
      </c>
      <c r="C745" s="13">
        <v>240</v>
      </c>
      <c r="D745" s="6">
        <v>97</v>
      </c>
      <c r="E745" s="6">
        <v>23280</v>
      </c>
      <c r="F745" s="6"/>
      <c r="G745" s="6"/>
    </row>
    <row r="746" spans="1:7" x14ac:dyDescent="0.25">
      <c r="A746" s="2" t="s">
        <v>1165</v>
      </c>
      <c r="B746" s="2" t="s">
        <v>1166</v>
      </c>
      <c r="C746" s="13">
        <v>997.08</v>
      </c>
      <c r="D746" s="6">
        <v>241</v>
      </c>
      <c r="E746" s="6">
        <v>240296.28</v>
      </c>
      <c r="F746" s="6"/>
      <c r="G746" s="6"/>
    </row>
    <row r="747" spans="1:7" x14ac:dyDescent="0.25">
      <c r="A747" s="2" t="s">
        <v>949</v>
      </c>
      <c r="B747" s="2" t="s">
        <v>950</v>
      </c>
      <c r="C747" s="13">
        <v>350.88</v>
      </c>
      <c r="D747" s="6">
        <v>125</v>
      </c>
      <c r="E747" s="6">
        <v>43860</v>
      </c>
      <c r="F747" s="6"/>
      <c r="G747" s="6"/>
    </row>
    <row r="748" spans="1:7" x14ac:dyDescent="0.25">
      <c r="A748" s="2" t="s">
        <v>1205</v>
      </c>
      <c r="B748" s="2" t="s">
        <v>1206</v>
      </c>
      <c r="C748" s="13">
        <v>99.71</v>
      </c>
      <c r="D748" s="6">
        <v>135</v>
      </c>
      <c r="E748" s="6">
        <v>13460.85</v>
      </c>
      <c r="F748" s="6"/>
      <c r="G748" s="6"/>
    </row>
    <row r="749" spans="1:7" x14ac:dyDescent="0.25">
      <c r="A749" s="2" t="s">
        <v>1143</v>
      </c>
      <c r="B749" s="2" t="s">
        <v>1144</v>
      </c>
      <c r="C749" s="13">
        <v>257.08</v>
      </c>
      <c r="D749" s="6">
        <v>63</v>
      </c>
      <c r="E749" s="6">
        <v>16196.04</v>
      </c>
      <c r="F749" s="6"/>
      <c r="G749" s="6"/>
    </row>
    <row r="750" spans="1:7" x14ac:dyDescent="0.25">
      <c r="A750" s="2" t="s">
        <v>1327</v>
      </c>
      <c r="B750" s="2" t="s">
        <v>1328</v>
      </c>
      <c r="C750" s="13">
        <v>553.98</v>
      </c>
      <c r="D750" s="6">
        <v>124</v>
      </c>
      <c r="E750" s="6">
        <v>68693.52</v>
      </c>
      <c r="F750" s="6"/>
      <c r="G750" s="6"/>
    </row>
    <row r="751" spans="1:7" x14ac:dyDescent="0.25">
      <c r="A751" s="2" t="s">
        <v>909</v>
      </c>
      <c r="B751" s="2" t="s">
        <v>910</v>
      </c>
      <c r="C751" s="13">
        <v>137</v>
      </c>
      <c r="D751" s="6">
        <v>98</v>
      </c>
      <c r="E751" s="6">
        <v>13426</v>
      </c>
      <c r="F751" s="6"/>
      <c r="G751" s="6"/>
    </row>
    <row r="752" spans="1:7" x14ac:dyDescent="0.25">
      <c r="A752" s="2" t="s">
        <v>664</v>
      </c>
      <c r="B752" s="2" t="s">
        <v>665</v>
      </c>
      <c r="C752" s="13">
        <v>544.6</v>
      </c>
      <c r="D752" s="6">
        <v>48</v>
      </c>
      <c r="E752" s="6">
        <v>26140.799999999999</v>
      </c>
      <c r="F752" s="6"/>
      <c r="G752" s="6"/>
    </row>
    <row r="753" spans="1:7" x14ac:dyDescent="0.25">
      <c r="A753" s="2" t="s">
        <v>851</v>
      </c>
      <c r="B753" s="2" t="s">
        <v>852</v>
      </c>
      <c r="C753" s="13">
        <v>1141.26</v>
      </c>
      <c r="D753" s="6">
        <v>291</v>
      </c>
      <c r="E753" s="6">
        <v>332106.65999999997</v>
      </c>
      <c r="F753" s="6"/>
      <c r="G753" s="6"/>
    </row>
    <row r="754" spans="1:7" x14ac:dyDescent="0.25">
      <c r="A754" s="2" t="s">
        <v>786</v>
      </c>
      <c r="B754" s="2" t="s">
        <v>787</v>
      </c>
      <c r="C754" s="13">
        <v>450</v>
      </c>
      <c r="D754" s="6">
        <v>11</v>
      </c>
      <c r="E754" s="6">
        <v>4950</v>
      </c>
      <c r="F754" s="6"/>
      <c r="G754" s="6"/>
    </row>
    <row r="755" spans="1:7" x14ac:dyDescent="0.25">
      <c r="A755" s="2" t="s">
        <v>1187</v>
      </c>
      <c r="B755" s="2" t="s">
        <v>1188</v>
      </c>
      <c r="C755" s="13">
        <v>99.71</v>
      </c>
      <c r="D755" s="6">
        <v>143</v>
      </c>
      <c r="E755" s="6">
        <v>14258.53</v>
      </c>
      <c r="F755" s="6"/>
      <c r="G755" s="6"/>
    </row>
    <row r="756" spans="1:7" x14ac:dyDescent="0.25">
      <c r="A756" s="2" t="s">
        <v>1191</v>
      </c>
      <c r="B756" s="2" t="s">
        <v>1192</v>
      </c>
      <c r="C756" s="13">
        <v>99.71</v>
      </c>
      <c r="D756" s="6">
        <v>87</v>
      </c>
      <c r="E756" s="6">
        <v>8674.77</v>
      </c>
      <c r="F756" s="6"/>
      <c r="G756" s="6"/>
    </row>
    <row r="757" spans="1:7" x14ac:dyDescent="0.25">
      <c r="A757" s="2" t="s">
        <v>1117</v>
      </c>
      <c r="B757" s="2" t="s">
        <v>1118</v>
      </c>
      <c r="C757" s="13">
        <v>354.93</v>
      </c>
      <c r="D757" s="6">
        <v>19</v>
      </c>
      <c r="E757" s="6">
        <v>6743.67</v>
      </c>
      <c r="F757" s="6"/>
      <c r="G757" s="6"/>
    </row>
    <row r="758" spans="1:7" x14ac:dyDescent="0.25">
      <c r="A758" s="2" t="s">
        <v>1199</v>
      </c>
      <c r="B758" s="2" t="s">
        <v>1200</v>
      </c>
      <c r="C758" s="13">
        <v>99.71</v>
      </c>
      <c r="D758" s="6">
        <v>90</v>
      </c>
      <c r="E758" s="6">
        <v>8973.9</v>
      </c>
      <c r="F758" s="6"/>
      <c r="G758" s="6"/>
    </row>
    <row r="759" spans="1:7" x14ac:dyDescent="0.25">
      <c r="A759" s="2" t="s">
        <v>1195</v>
      </c>
      <c r="B759" s="2" t="s">
        <v>1196</v>
      </c>
      <c r="C759" s="13">
        <v>99.71</v>
      </c>
      <c r="D759" s="6">
        <v>138</v>
      </c>
      <c r="E759" s="6">
        <v>13759.98</v>
      </c>
      <c r="F759" s="6"/>
      <c r="G759" s="6"/>
    </row>
    <row r="760" spans="1:7" x14ac:dyDescent="0.25">
      <c r="A760" s="2" t="s">
        <v>919</v>
      </c>
      <c r="B760" s="2" t="s">
        <v>920</v>
      </c>
      <c r="C760" s="13">
        <v>192</v>
      </c>
      <c r="D760" s="6">
        <v>123</v>
      </c>
      <c r="E760" s="6">
        <v>23616</v>
      </c>
      <c r="F760" s="6"/>
      <c r="G760" s="6"/>
    </row>
    <row r="761" spans="1:7" x14ac:dyDescent="0.25">
      <c r="A761" s="2" t="s">
        <v>1111</v>
      </c>
      <c r="B761" s="2" t="s">
        <v>1112</v>
      </c>
      <c r="C761" s="13">
        <v>148.15</v>
      </c>
      <c r="D761" s="6">
        <v>92</v>
      </c>
      <c r="E761" s="6">
        <v>13629.8</v>
      </c>
      <c r="F761" s="6"/>
      <c r="G761" s="6"/>
    </row>
    <row r="762" spans="1:7" x14ac:dyDescent="0.25">
      <c r="A762" s="2" t="s">
        <v>853</v>
      </c>
      <c r="B762" s="2" t="s">
        <v>854</v>
      </c>
      <c r="C762" s="13">
        <v>2256.86</v>
      </c>
      <c r="D762" s="6">
        <v>86</v>
      </c>
      <c r="E762" s="6">
        <v>194089.96</v>
      </c>
      <c r="F762" s="6"/>
      <c r="G762" s="6"/>
    </row>
    <row r="763" spans="1:7" x14ac:dyDescent="0.25">
      <c r="A763" s="2" t="s">
        <v>1331</v>
      </c>
      <c r="B763" s="2" t="s">
        <v>1332</v>
      </c>
      <c r="C763" s="13">
        <v>652.58000000000004</v>
      </c>
      <c r="D763" s="6">
        <v>130</v>
      </c>
      <c r="E763" s="6">
        <v>84835.4</v>
      </c>
      <c r="F763" s="6"/>
      <c r="G763" s="6"/>
    </row>
    <row r="764" spans="1:7" x14ac:dyDescent="0.25">
      <c r="A764" s="2" t="s">
        <v>1185</v>
      </c>
      <c r="B764" s="2" t="s">
        <v>1186</v>
      </c>
      <c r="C764" s="13">
        <v>99.71</v>
      </c>
      <c r="D764" s="6">
        <v>121</v>
      </c>
      <c r="E764" s="6">
        <v>12064.91</v>
      </c>
      <c r="F764" s="6"/>
      <c r="G764" s="6"/>
    </row>
    <row r="765" spans="1:7" x14ac:dyDescent="0.25">
      <c r="A765" s="2" t="s">
        <v>1173</v>
      </c>
      <c r="B765" s="2" t="s">
        <v>1174</v>
      </c>
      <c r="C765" s="13">
        <v>958.21</v>
      </c>
      <c r="D765" s="6">
        <v>38</v>
      </c>
      <c r="E765" s="6">
        <v>36411.980000000003</v>
      </c>
      <c r="F765" s="6"/>
      <c r="G765" s="6"/>
    </row>
    <row r="766" spans="1:7" x14ac:dyDescent="0.25">
      <c r="A766" s="2" t="s">
        <v>660</v>
      </c>
      <c r="B766" s="2" t="s">
        <v>661</v>
      </c>
      <c r="C766" s="13">
        <v>556.05999999999995</v>
      </c>
      <c r="D766" s="6">
        <v>11</v>
      </c>
      <c r="E766" s="6">
        <v>6116.66</v>
      </c>
      <c r="F766" s="6"/>
      <c r="G766" s="6"/>
    </row>
    <row r="767" spans="1:7" x14ac:dyDescent="0.25">
      <c r="A767" s="2" t="s">
        <v>1053</v>
      </c>
      <c r="B767" s="2" t="s">
        <v>1054</v>
      </c>
      <c r="C767" s="13">
        <v>573.26</v>
      </c>
      <c r="D767" s="6">
        <v>81</v>
      </c>
      <c r="E767" s="6">
        <v>46434.06</v>
      </c>
      <c r="F767" s="6"/>
      <c r="G767" s="6"/>
    </row>
    <row r="768" spans="1:7" x14ac:dyDescent="0.25">
      <c r="A768" s="2" t="s">
        <v>658</v>
      </c>
      <c r="B768" s="2" t="s">
        <v>659</v>
      </c>
      <c r="C768" s="13">
        <v>556.05999999999995</v>
      </c>
      <c r="D768" s="6">
        <v>30</v>
      </c>
      <c r="E768" s="6">
        <v>16681.8</v>
      </c>
      <c r="F768" s="6"/>
      <c r="G768" s="6"/>
    </row>
    <row r="769" spans="1:7" x14ac:dyDescent="0.25">
      <c r="A769" s="2" t="s">
        <v>662</v>
      </c>
      <c r="B769" s="2" t="s">
        <v>663</v>
      </c>
      <c r="C769" s="13">
        <v>556.05999999999995</v>
      </c>
      <c r="D769" s="6">
        <v>63</v>
      </c>
      <c r="E769" s="6">
        <v>35031.78</v>
      </c>
      <c r="F769" s="6"/>
      <c r="G769" s="6"/>
    </row>
    <row r="770" spans="1:7" x14ac:dyDescent="0.25">
      <c r="A770" s="2" t="s">
        <v>1029</v>
      </c>
      <c r="B770" s="2" t="s">
        <v>1030</v>
      </c>
      <c r="C770" s="13">
        <v>48.43</v>
      </c>
      <c r="D770" s="6">
        <v>380</v>
      </c>
      <c r="E770" s="6">
        <v>18403.400000000001</v>
      </c>
      <c r="F770" s="6"/>
      <c r="G770" s="6"/>
    </row>
    <row r="772" spans="1:7" x14ac:dyDescent="0.25">
      <c r="E772" s="4">
        <f>SUBTOTAL(9,E715:E771)</f>
        <v>6300435.46</v>
      </c>
    </row>
  </sheetData>
  <autoFilter ref="A3:S676" xr:uid="{00000000-0009-0000-0000-000000000000}"/>
  <mergeCells count="18">
    <mergeCell ref="L679:M679"/>
    <mergeCell ref="N679:O679"/>
    <mergeCell ref="P679:Q679"/>
    <mergeCell ref="R679:S679"/>
    <mergeCell ref="D702:E702"/>
    <mergeCell ref="R1:R2"/>
    <mergeCell ref="S1:S2"/>
    <mergeCell ref="P1:Q2"/>
    <mergeCell ref="F1:G2"/>
    <mergeCell ref="H1:I2"/>
    <mergeCell ref="J1:K2"/>
    <mergeCell ref="L1:M2"/>
    <mergeCell ref="N1:O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  <ignoredErrors>
    <ignoredError sqref="S424 S221 N221:R221 N424:R42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76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167" sqref="I167"/>
    </sheetView>
  </sheetViews>
  <sheetFormatPr defaultColWidth="9" defaultRowHeight="15" outlineLevelRow="1" x14ac:dyDescent="0.25"/>
  <cols>
    <col min="1" max="1" width="11.140625" style="1" bestFit="1" customWidth="1"/>
    <col min="2" max="2" width="79.42578125" style="1" customWidth="1"/>
    <col min="3" max="3" width="8.42578125" style="12" bestFit="1" customWidth="1"/>
    <col min="4" max="4" width="12" style="4" bestFit="1" customWidth="1"/>
    <col min="5" max="5" width="14" style="4" customWidth="1"/>
    <col min="6" max="6" width="10.5703125" style="4" customWidth="1"/>
    <col min="7" max="7" width="13.85546875" style="4" customWidth="1"/>
    <col min="8" max="9" width="13.5703125" style="4" customWidth="1"/>
    <col min="10" max="10" width="12.28515625" style="4" customWidth="1"/>
    <col min="11" max="11" width="13.5703125" style="4" bestFit="1" customWidth="1"/>
    <col min="12" max="12" width="12.42578125" style="4" customWidth="1"/>
    <col min="13" max="13" width="13.5703125" style="4" bestFit="1" customWidth="1"/>
    <col min="14" max="15" width="14.140625" style="4" customWidth="1"/>
    <col min="16" max="16" width="11.42578125" style="4" customWidth="1"/>
    <col min="17" max="17" width="13.42578125" style="4" bestFit="1" customWidth="1"/>
    <col min="18" max="18" width="18.140625" style="4" customWidth="1"/>
    <col min="19" max="19" width="17.85546875" style="4" customWidth="1"/>
    <col min="20" max="20" width="11.85546875" bestFit="1" customWidth="1"/>
    <col min="21" max="21" width="14.5703125" style="49" bestFit="1" customWidth="1"/>
  </cols>
  <sheetData>
    <row r="1" spans="1:21" ht="15" customHeight="1" x14ac:dyDescent="0.25">
      <c r="A1" s="68" t="s">
        <v>0</v>
      </c>
      <c r="B1" s="68" t="s">
        <v>1</v>
      </c>
      <c r="C1" s="70" t="s">
        <v>1606</v>
      </c>
      <c r="D1" s="72" t="s">
        <v>1594</v>
      </c>
      <c r="E1" s="72" t="s">
        <v>1595</v>
      </c>
      <c r="F1" s="76" t="s">
        <v>1596</v>
      </c>
      <c r="G1" s="77"/>
      <c r="H1" s="76" t="s">
        <v>1597</v>
      </c>
      <c r="I1" s="77"/>
      <c r="J1" s="76" t="s">
        <v>1598</v>
      </c>
      <c r="K1" s="77"/>
      <c r="L1" s="76" t="s">
        <v>1607</v>
      </c>
      <c r="M1" s="77"/>
      <c r="N1" s="76" t="s">
        <v>1600</v>
      </c>
      <c r="O1" s="77"/>
      <c r="P1" s="76" t="s">
        <v>1601</v>
      </c>
      <c r="Q1" s="77"/>
      <c r="R1" s="74" t="s">
        <v>1604</v>
      </c>
      <c r="S1" s="74" t="s">
        <v>1605</v>
      </c>
      <c r="U1"/>
    </row>
    <row r="2" spans="1:21" ht="21" customHeight="1" x14ac:dyDescent="0.25">
      <c r="A2" s="69"/>
      <c r="B2" s="69"/>
      <c r="C2" s="71"/>
      <c r="D2" s="73"/>
      <c r="E2" s="73"/>
      <c r="F2" s="78"/>
      <c r="G2" s="79"/>
      <c r="H2" s="78"/>
      <c r="I2" s="79"/>
      <c r="J2" s="78"/>
      <c r="K2" s="79"/>
      <c r="L2" s="78"/>
      <c r="M2" s="79"/>
      <c r="N2" s="78"/>
      <c r="O2" s="79"/>
      <c r="P2" s="78"/>
      <c r="Q2" s="79"/>
      <c r="R2" s="75"/>
      <c r="S2" s="75"/>
      <c r="U2"/>
    </row>
    <row r="3" spans="1:21" x14ac:dyDescent="0.25">
      <c r="A3" s="43"/>
      <c r="B3" s="43"/>
      <c r="C3" s="8"/>
      <c r="D3" s="9"/>
      <c r="E3" s="9"/>
      <c r="F3" s="10"/>
      <c r="G3" s="11"/>
      <c r="H3" s="10"/>
      <c r="I3" s="11"/>
      <c r="J3" s="10"/>
      <c r="K3" s="11"/>
      <c r="L3" s="10"/>
      <c r="M3" s="11"/>
      <c r="N3" s="10"/>
      <c r="O3" s="11"/>
      <c r="P3" s="10"/>
      <c r="Q3" s="11"/>
      <c r="R3" s="5"/>
      <c r="S3" s="5"/>
    </row>
    <row r="4" spans="1:21" s="17" customFormat="1" ht="12" collapsed="1" x14ac:dyDescent="0.2">
      <c r="A4" s="15" t="s">
        <v>2</v>
      </c>
      <c r="B4" s="44"/>
      <c r="C4" s="16"/>
      <c r="D4" s="15">
        <v>34.14</v>
      </c>
      <c r="E4" s="15">
        <v>99.99</v>
      </c>
      <c r="F4" s="15">
        <f t="shared" ref="F4:R4" si="0">SUM(F5:F21)</f>
        <v>49804</v>
      </c>
      <c r="G4" s="15">
        <f t="shared" si="0"/>
        <v>9928679.3199999984</v>
      </c>
      <c r="H4" s="15">
        <f t="shared" si="0"/>
        <v>48114</v>
      </c>
      <c r="I4" s="15">
        <f t="shared" si="0"/>
        <v>10958386.319999998</v>
      </c>
      <c r="J4" s="15">
        <f t="shared" si="0"/>
        <v>591161</v>
      </c>
      <c r="K4" s="15">
        <f t="shared" si="0"/>
        <v>127992396.08000001</v>
      </c>
      <c r="L4" s="15">
        <f t="shared" si="0"/>
        <v>114900</v>
      </c>
      <c r="M4" s="15">
        <f t="shared" si="0"/>
        <v>30080627.52</v>
      </c>
      <c r="N4" s="15">
        <f t="shared" si="0"/>
        <v>803979</v>
      </c>
      <c r="O4" s="15">
        <f t="shared" si="0"/>
        <v>178960089.23999995</v>
      </c>
      <c r="P4" s="15">
        <f t="shared" si="0"/>
        <v>225779</v>
      </c>
      <c r="Q4" s="15">
        <f t="shared" si="0"/>
        <v>54696938</v>
      </c>
      <c r="R4" s="15">
        <f t="shared" si="0"/>
        <v>120.88660226648427</v>
      </c>
      <c r="S4" s="15">
        <f t="shared" ref="S4" si="1">SUM(S5:S21)</f>
        <v>36907.303357718156</v>
      </c>
      <c r="U4" s="47"/>
    </row>
    <row r="5" spans="1:21" s="1" customFormat="1" hidden="1" outlineLevel="1" x14ac:dyDescent="0.25">
      <c r="A5" s="7" t="s">
        <v>1422</v>
      </c>
      <c r="B5" s="7" t="s">
        <v>1423</v>
      </c>
      <c r="C5" s="13">
        <v>370.14</v>
      </c>
      <c r="D5" s="6">
        <v>14.46</v>
      </c>
      <c r="E5" s="6">
        <v>100</v>
      </c>
      <c r="F5" s="6">
        <v>4488</v>
      </c>
      <c r="G5" s="6">
        <v>1661188.32</v>
      </c>
      <c r="H5" s="6">
        <v>6468</v>
      </c>
      <c r="I5" s="6">
        <v>2394065.52</v>
      </c>
      <c r="J5" s="6">
        <v>42023</v>
      </c>
      <c r="K5" s="6">
        <v>15554393.219999999</v>
      </c>
      <c r="L5" s="6">
        <v>10488</v>
      </c>
      <c r="M5" s="6">
        <v>3882028.32</v>
      </c>
      <c r="N5" s="6">
        <f t="shared" ref="N5:N21" si="2">IF(J5+L5+H5+F5&lt;=0,"",J5+L5+H5+F5)</f>
        <v>63467</v>
      </c>
      <c r="O5" s="6">
        <f>IFERROR(C5*N5,"")</f>
        <v>23491675.379999999</v>
      </c>
      <c r="P5" s="6">
        <v>23977</v>
      </c>
      <c r="Q5" s="6">
        <v>8177109</v>
      </c>
      <c r="R5" s="6"/>
      <c r="S5" s="6"/>
      <c r="U5" s="46"/>
    </row>
    <row r="6" spans="1:21" s="1" customFormat="1" hidden="1" outlineLevel="1" x14ac:dyDescent="0.25">
      <c r="A6" s="7" t="s">
        <v>1403</v>
      </c>
      <c r="B6" s="7" t="s">
        <v>1404</v>
      </c>
      <c r="C6" s="13">
        <v>223.68</v>
      </c>
      <c r="D6" s="6">
        <v>14.25</v>
      </c>
      <c r="E6" s="6">
        <v>100</v>
      </c>
      <c r="F6" s="6">
        <v>2448</v>
      </c>
      <c r="G6" s="6">
        <v>547568.64000000001</v>
      </c>
      <c r="H6" s="6">
        <v>1752</v>
      </c>
      <c r="I6" s="6">
        <v>391887.35999999999</v>
      </c>
      <c r="J6" s="6">
        <v>40082</v>
      </c>
      <c r="K6" s="6">
        <v>8965541.7599999998</v>
      </c>
      <c r="L6" s="6">
        <v>67920</v>
      </c>
      <c r="M6" s="6">
        <v>15192345.6</v>
      </c>
      <c r="N6" s="6">
        <f t="shared" si="2"/>
        <v>112202</v>
      </c>
      <c r="O6" s="6">
        <f t="shared" ref="O6:O21" si="3">IFERROR(C6*N6,"")</f>
        <v>25097343.359999999</v>
      </c>
      <c r="P6" s="6">
        <v>24996</v>
      </c>
      <c r="Q6" s="6">
        <v>5467412</v>
      </c>
      <c r="R6" s="6"/>
      <c r="S6" s="6"/>
      <c r="U6" s="46"/>
    </row>
    <row r="7" spans="1:21" s="1" customFormat="1" hidden="1" outlineLevel="1" x14ac:dyDescent="0.25">
      <c r="A7" s="7" t="s">
        <v>1387</v>
      </c>
      <c r="B7" s="7" t="s">
        <v>1388</v>
      </c>
      <c r="C7" s="13">
        <v>240.97</v>
      </c>
      <c r="D7" s="6">
        <v>10.63</v>
      </c>
      <c r="E7" s="6">
        <v>100</v>
      </c>
      <c r="F7" s="6">
        <v>12120</v>
      </c>
      <c r="G7" s="6">
        <v>2920556.4</v>
      </c>
      <c r="H7" s="6">
        <v>7760</v>
      </c>
      <c r="I7" s="6">
        <v>1869927.2</v>
      </c>
      <c r="J7" s="6">
        <v>168865</v>
      </c>
      <c r="K7" s="6">
        <v>40691399.049999997</v>
      </c>
      <c r="L7" s="6"/>
      <c r="M7" s="6"/>
      <c r="N7" s="6">
        <f t="shared" si="2"/>
        <v>188745</v>
      </c>
      <c r="O7" s="6">
        <f t="shared" si="3"/>
        <v>45481882.649999999</v>
      </c>
      <c r="P7" s="6">
        <v>53427</v>
      </c>
      <c r="Q7" s="6">
        <v>13661175</v>
      </c>
      <c r="R7" s="6"/>
      <c r="S7" s="6"/>
      <c r="U7" s="46"/>
    </row>
    <row r="8" spans="1:21" s="1" customFormat="1" hidden="1" outlineLevel="1" x14ac:dyDescent="0.25">
      <c r="A8" s="7" t="s">
        <v>1379</v>
      </c>
      <c r="B8" s="7" t="s">
        <v>1380</v>
      </c>
      <c r="C8" s="13">
        <v>306.7</v>
      </c>
      <c r="D8" s="6">
        <v>50.2</v>
      </c>
      <c r="E8" s="6">
        <v>100</v>
      </c>
      <c r="F8" s="6">
        <v>2424</v>
      </c>
      <c r="G8" s="6">
        <v>743440.8</v>
      </c>
      <c r="H8" s="6">
        <v>5510</v>
      </c>
      <c r="I8" s="6">
        <v>1689917</v>
      </c>
      <c r="J8" s="6">
        <v>48264</v>
      </c>
      <c r="K8" s="6">
        <v>14802568.800000001</v>
      </c>
      <c r="L8" s="6">
        <v>3888</v>
      </c>
      <c r="M8" s="6">
        <v>1192449.6000000001</v>
      </c>
      <c r="N8" s="6">
        <f t="shared" si="2"/>
        <v>60086</v>
      </c>
      <c r="O8" s="6">
        <f t="shared" si="3"/>
        <v>18428376.199999999</v>
      </c>
      <c r="P8" s="6">
        <v>24028</v>
      </c>
      <c r="Q8" s="6">
        <v>8493251</v>
      </c>
      <c r="R8" s="6"/>
      <c r="S8" s="6"/>
      <c r="U8" s="46"/>
    </row>
    <row r="9" spans="1:21" s="1" customFormat="1" hidden="1" outlineLevel="1" x14ac:dyDescent="0.25">
      <c r="A9" s="7" t="s">
        <v>1405</v>
      </c>
      <c r="B9" s="7" t="s">
        <v>1602</v>
      </c>
      <c r="C9" s="13">
        <v>301</v>
      </c>
      <c r="D9" s="6">
        <v>79.13</v>
      </c>
      <c r="E9" s="6">
        <v>100</v>
      </c>
      <c r="F9" s="6">
        <v>624</v>
      </c>
      <c r="G9" s="6">
        <v>187824</v>
      </c>
      <c r="H9" s="6">
        <v>1044</v>
      </c>
      <c r="I9" s="6">
        <v>314244</v>
      </c>
      <c r="J9" s="6">
        <v>22447</v>
      </c>
      <c r="K9" s="6">
        <v>6756547</v>
      </c>
      <c r="L9" s="6">
        <v>32604</v>
      </c>
      <c r="M9" s="6">
        <v>9813804</v>
      </c>
      <c r="N9" s="6">
        <f t="shared" si="2"/>
        <v>56719</v>
      </c>
      <c r="O9" s="6">
        <f t="shared" si="3"/>
        <v>17072419</v>
      </c>
      <c r="P9" s="6">
        <v>11552</v>
      </c>
      <c r="Q9" s="6">
        <v>4125661</v>
      </c>
      <c r="R9" s="6"/>
      <c r="S9" s="6"/>
      <c r="U9" s="46"/>
    </row>
    <row r="10" spans="1:21" s="1" customFormat="1" hidden="1" outlineLevel="1" x14ac:dyDescent="0.25">
      <c r="A10" s="7" t="s">
        <v>1406</v>
      </c>
      <c r="B10" s="7" t="s">
        <v>1407</v>
      </c>
      <c r="C10" s="13">
        <v>260.64</v>
      </c>
      <c r="D10" s="6">
        <v>74.33</v>
      </c>
      <c r="E10" s="6">
        <v>100</v>
      </c>
      <c r="F10" s="6">
        <v>396</v>
      </c>
      <c r="G10" s="6">
        <v>103213.44</v>
      </c>
      <c r="H10" s="6">
        <v>168</v>
      </c>
      <c r="I10" s="6">
        <v>43787.519999999997</v>
      </c>
      <c r="J10" s="6">
        <v>41671</v>
      </c>
      <c r="K10" s="6">
        <v>10861129.439999999</v>
      </c>
      <c r="L10" s="6"/>
      <c r="M10" s="6"/>
      <c r="N10" s="6">
        <f t="shared" si="2"/>
        <v>42235</v>
      </c>
      <c r="O10" s="6">
        <f t="shared" si="3"/>
        <v>11008130.399999999</v>
      </c>
      <c r="P10" s="6">
        <v>5231</v>
      </c>
      <c r="Q10" s="6">
        <v>1273781</v>
      </c>
      <c r="R10" s="6"/>
      <c r="S10" s="6"/>
      <c r="U10" s="46"/>
    </row>
    <row r="11" spans="1:21" s="1" customFormat="1" hidden="1" outlineLevel="1" x14ac:dyDescent="0.25">
      <c r="A11" s="7" t="s">
        <v>1446</v>
      </c>
      <c r="B11" s="7" t="s">
        <v>1447</v>
      </c>
      <c r="C11" s="13">
        <v>111.06</v>
      </c>
      <c r="D11" s="6">
        <v>18.190000000000001</v>
      </c>
      <c r="E11" s="6">
        <v>100</v>
      </c>
      <c r="F11" s="6">
        <v>7128</v>
      </c>
      <c r="G11" s="6">
        <v>791635.68</v>
      </c>
      <c r="H11" s="6">
        <v>2448</v>
      </c>
      <c r="I11" s="6">
        <v>271874.88</v>
      </c>
      <c r="J11" s="6">
        <v>46707</v>
      </c>
      <c r="K11" s="6">
        <v>5187279.42</v>
      </c>
      <c r="L11" s="6"/>
      <c r="M11" s="6"/>
      <c r="N11" s="6">
        <f t="shared" si="2"/>
        <v>56283</v>
      </c>
      <c r="O11" s="6">
        <f t="shared" si="3"/>
        <v>6250789.9800000004</v>
      </c>
      <c r="P11" s="6">
        <v>11520</v>
      </c>
      <c r="Q11" s="6">
        <v>1361159</v>
      </c>
      <c r="R11" s="6"/>
      <c r="S11" s="6"/>
      <c r="U11" s="46"/>
    </row>
    <row r="12" spans="1:21" s="1" customFormat="1" hidden="1" outlineLevel="1" x14ac:dyDescent="0.25">
      <c r="A12" s="7" t="s">
        <v>1410</v>
      </c>
      <c r="B12" s="7" t="s">
        <v>1411</v>
      </c>
      <c r="C12" s="13">
        <v>310</v>
      </c>
      <c r="D12" s="6">
        <v>547.05999999999995</v>
      </c>
      <c r="E12" s="6">
        <v>100</v>
      </c>
      <c r="F12" s="6">
        <v>1248</v>
      </c>
      <c r="G12" s="6">
        <v>386880</v>
      </c>
      <c r="H12" s="6">
        <v>276</v>
      </c>
      <c r="I12" s="6">
        <v>85560</v>
      </c>
      <c r="J12" s="6">
        <v>156</v>
      </c>
      <c r="K12" s="6">
        <v>48360</v>
      </c>
      <c r="L12" s="6"/>
      <c r="M12" s="6"/>
      <c r="N12" s="6">
        <f t="shared" si="2"/>
        <v>1680</v>
      </c>
      <c r="O12" s="6">
        <f t="shared" si="3"/>
        <v>520800</v>
      </c>
      <c r="P12" s="6">
        <v>336</v>
      </c>
      <c r="Q12" s="6">
        <v>105501</v>
      </c>
      <c r="R12" s="6">
        <f t="shared" ref="R12" si="4">J12/D12*(D12-180)</f>
        <v>104.6710781267137</v>
      </c>
      <c r="S12" s="6">
        <f t="shared" ref="S12" si="5">R12*C12</f>
        <v>32448.034219281246</v>
      </c>
      <c r="U12" s="46"/>
    </row>
    <row r="13" spans="1:21" s="1" customFormat="1" hidden="1" outlineLevel="1" x14ac:dyDescent="0.25">
      <c r="A13" s="7" t="s">
        <v>1391</v>
      </c>
      <c r="B13" s="7" t="s">
        <v>1392</v>
      </c>
      <c r="C13" s="13">
        <v>209.67</v>
      </c>
      <c r="D13" s="6">
        <v>24.97</v>
      </c>
      <c r="E13" s="6">
        <v>99.54</v>
      </c>
      <c r="F13" s="6">
        <v>300</v>
      </c>
      <c r="G13" s="6">
        <v>62901</v>
      </c>
      <c r="H13" s="6">
        <v>12228</v>
      </c>
      <c r="I13" s="6">
        <v>2563844.7599999998</v>
      </c>
      <c r="J13" s="6">
        <v>13704</v>
      </c>
      <c r="K13" s="6">
        <v>2873317.68</v>
      </c>
      <c r="L13" s="6"/>
      <c r="M13" s="6"/>
      <c r="N13" s="6">
        <f t="shared" si="2"/>
        <v>26232</v>
      </c>
      <c r="O13" s="6">
        <f t="shared" si="3"/>
        <v>5500063.4399999995</v>
      </c>
      <c r="P13" s="6">
        <v>8520</v>
      </c>
      <c r="Q13" s="6">
        <v>1576221</v>
      </c>
      <c r="R13" s="6"/>
      <c r="S13" s="6"/>
      <c r="U13" s="46"/>
    </row>
    <row r="14" spans="1:21" s="1" customFormat="1" hidden="1" outlineLevel="1" x14ac:dyDescent="0.25">
      <c r="A14" s="7" t="s">
        <v>1389</v>
      </c>
      <c r="B14" s="7" t="s">
        <v>1390</v>
      </c>
      <c r="C14" s="13">
        <v>240.97</v>
      </c>
      <c r="D14" s="6">
        <v>13.79</v>
      </c>
      <c r="E14" s="6">
        <v>100</v>
      </c>
      <c r="F14" s="6">
        <v>2040</v>
      </c>
      <c r="G14" s="6">
        <v>491578.8</v>
      </c>
      <c r="H14" s="6">
        <v>340</v>
      </c>
      <c r="I14" s="6">
        <v>81929.8</v>
      </c>
      <c r="J14" s="6">
        <v>13836</v>
      </c>
      <c r="K14" s="6">
        <v>3334060.92</v>
      </c>
      <c r="L14" s="6"/>
      <c r="M14" s="6"/>
      <c r="N14" s="6">
        <f t="shared" si="2"/>
        <v>16216</v>
      </c>
      <c r="O14" s="6">
        <f t="shared" si="3"/>
        <v>3907569.52</v>
      </c>
      <c r="P14" s="6">
        <v>13547</v>
      </c>
      <c r="Q14" s="6">
        <v>3432087</v>
      </c>
      <c r="R14" s="6"/>
      <c r="S14" s="6"/>
      <c r="U14" s="46"/>
    </row>
    <row r="15" spans="1:21" s="1" customFormat="1" hidden="1" outlineLevel="1" x14ac:dyDescent="0.25">
      <c r="A15" s="7" t="s">
        <v>1464</v>
      </c>
      <c r="B15" s="7" t="s">
        <v>1465</v>
      </c>
      <c r="C15" s="13">
        <v>95.18</v>
      </c>
      <c r="D15" s="6">
        <v>20.41</v>
      </c>
      <c r="E15" s="6">
        <v>100</v>
      </c>
      <c r="F15" s="6">
        <v>4368</v>
      </c>
      <c r="G15" s="6">
        <v>415746.24</v>
      </c>
      <c r="H15" s="6">
        <v>288</v>
      </c>
      <c r="I15" s="6">
        <v>27411.84</v>
      </c>
      <c r="J15" s="6">
        <v>38138</v>
      </c>
      <c r="K15" s="6">
        <v>3629974.8400000003</v>
      </c>
      <c r="L15" s="6"/>
      <c r="M15" s="6"/>
      <c r="N15" s="6">
        <f t="shared" si="2"/>
        <v>42794</v>
      </c>
      <c r="O15" s="6">
        <f t="shared" si="3"/>
        <v>4073132.9200000004</v>
      </c>
      <c r="P15" s="6">
        <v>13760</v>
      </c>
      <c r="Q15" s="6">
        <v>1542032</v>
      </c>
      <c r="R15" s="6"/>
      <c r="S15" s="6"/>
      <c r="U15" s="46"/>
    </row>
    <row r="16" spans="1:21" s="1" customFormat="1" hidden="1" outlineLevel="1" x14ac:dyDescent="0.25">
      <c r="A16" s="7" t="s">
        <v>1468</v>
      </c>
      <c r="B16" s="7" t="s">
        <v>1469</v>
      </c>
      <c r="C16" s="13">
        <v>95.18</v>
      </c>
      <c r="D16" s="6">
        <v>34.659999999999997</v>
      </c>
      <c r="E16" s="6">
        <v>100</v>
      </c>
      <c r="F16" s="6">
        <v>5256</v>
      </c>
      <c r="G16" s="6">
        <v>500266.08</v>
      </c>
      <c r="H16" s="6">
        <v>4248</v>
      </c>
      <c r="I16" s="6">
        <v>404324.64</v>
      </c>
      <c r="J16" s="6">
        <v>54411</v>
      </c>
      <c r="K16" s="6">
        <v>5178838.9800000004</v>
      </c>
      <c r="L16" s="6"/>
      <c r="M16" s="6"/>
      <c r="N16" s="6">
        <f t="shared" si="2"/>
        <v>63915</v>
      </c>
      <c r="O16" s="6">
        <f t="shared" si="3"/>
        <v>6083429.7000000002</v>
      </c>
      <c r="P16" s="6">
        <v>17560</v>
      </c>
      <c r="Q16" s="6">
        <v>1833775</v>
      </c>
      <c r="R16" s="6"/>
      <c r="S16" s="6"/>
      <c r="U16" s="46"/>
    </row>
    <row r="17" spans="1:21" s="1" customFormat="1" hidden="1" outlineLevel="1" x14ac:dyDescent="0.25">
      <c r="A17" s="7" t="s">
        <v>1385</v>
      </c>
      <c r="B17" s="7" t="s">
        <v>1386</v>
      </c>
      <c r="C17" s="13">
        <v>240.97</v>
      </c>
      <c r="D17" s="6">
        <v>17.36</v>
      </c>
      <c r="E17" s="6">
        <v>100</v>
      </c>
      <c r="F17" s="6">
        <v>760</v>
      </c>
      <c r="G17" s="6">
        <v>183137.2</v>
      </c>
      <c r="H17" s="6">
        <v>1180</v>
      </c>
      <c r="I17" s="6">
        <v>284344.59999999998</v>
      </c>
      <c r="J17" s="6">
        <v>10289</v>
      </c>
      <c r="K17" s="6">
        <v>2479340.33</v>
      </c>
      <c r="L17" s="6"/>
      <c r="M17" s="6"/>
      <c r="N17" s="6">
        <f t="shared" si="2"/>
        <v>12229</v>
      </c>
      <c r="O17" s="6">
        <f t="shared" si="3"/>
        <v>2946822.13</v>
      </c>
      <c r="P17" s="6">
        <v>6833</v>
      </c>
      <c r="Q17" s="6">
        <v>1885755</v>
      </c>
      <c r="R17" s="6"/>
      <c r="S17" s="6"/>
      <c r="U17" s="46"/>
    </row>
    <row r="18" spans="1:21" s="1" customFormat="1" hidden="1" outlineLevel="1" x14ac:dyDescent="0.25">
      <c r="A18" s="7" t="s">
        <v>1456</v>
      </c>
      <c r="B18" s="7" t="s">
        <v>1457</v>
      </c>
      <c r="C18" s="13">
        <v>97.3</v>
      </c>
      <c r="D18" s="6">
        <v>110.82</v>
      </c>
      <c r="E18" s="6">
        <v>100</v>
      </c>
      <c r="F18" s="6">
        <v>3600</v>
      </c>
      <c r="G18" s="6">
        <v>350280</v>
      </c>
      <c r="H18" s="6">
        <v>3864</v>
      </c>
      <c r="I18" s="6">
        <v>375967.2</v>
      </c>
      <c r="J18" s="6">
        <v>29424</v>
      </c>
      <c r="K18" s="6">
        <v>2862955.2</v>
      </c>
      <c r="L18" s="6"/>
      <c r="M18" s="6"/>
      <c r="N18" s="6">
        <f t="shared" si="2"/>
        <v>36888</v>
      </c>
      <c r="O18" s="6">
        <f t="shared" si="3"/>
        <v>3589202.4</v>
      </c>
      <c r="P18" s="6">
        <v>6472</v>
      </c>
      <c r="Q18" s="6">
        <v>749436</v>
      </c>
      <c r="R18" s="6"/>
      <c r="S18" s="6"/>
      <c r="U18" s="46"/>
    </row>
    <row r="19" spans="1:21" s="1" customFormat="1" hidden="1" outlineLevel="1" x14ac:dyDescent="0.25">
      <c r="A19" s="7" t="s">
        <v>1412</v>
      </c>
      <c r="B19" s="7" t="s">
        <v>1413</v>
      </c>
      <c r="C19" s="13">
        <v>275</v>
      </c>
      <c r="D19" s="6">
        <v>187.45</v>
      </c>
      <c r="E19" s="6">
        <v>100</v>
      </c>
      <c r="F19" s="6"/>
      <c r="G19" s="6"/>
      <c r="H19" s="6"/>
      <c r="I19" s="6"/>
      <c r="J19" s="6">
        <v>408</v>
      </c>
      <c r="K19" s="6">
        <v>112200</v>
      </c>
      <c r="L19" s="6"/>
      <c r="M19" s="6"/>
      <c r="N19" s="6">
        <f t="shared" si="2"/>
        <v>408</v>
      </c>
      <c r="O19" s="6">
        <f t="shared" si="3"/>
        <v>112200</v>
      </c>
      <c r="P19" s="6">
        <v>132</v>
      </c>
      <c r="Q19" s="6">
        <v>33354</v>
      </c>
      <c r="R19" s="6">
        <f t="shared" ref="R19" si="6">J19/D19*(D19-180)</f>
        <v>16.215524139770583</v>
      </c>
      <c r="S19" s="6">
        <f t="shared" ref="S19" si="7">R19*C19</f>
        <v>4459.26913843691</v>
      </c>
      <c r="U19" s="46"/>
    </row>
    <row r="20" spans="1:21" s="1" customFormat="1" hidden="1" outlineLevel="1" x14ac:dyDescent="0.25">
      <c r="A20" s="7" t="s">
        <v>1414</v>
      </c>
      <c r="B20" s="7" t="s">
        <v>1415</v>
      </c>
      <c r="C20" s="13">
        <v>295</v>
      </c>
      <c r="D20" s="6">
        <v>103.45</v>
      </c>
      <c r="E20" s="6">
        <v>100</v>
      </c>
      <c r="F20" s="6"/>
      <c r="G20" s="6"/>
      <c r="H20" s="6">
        <v>540</v>
      </c>
      <c r="I20" s="6">
        <v>159300</v>
      </c>
      <c r="J20" s="6">
        <v>228</v>
      </c>
      <c r="K20" s="6">
        <v>67260</v>
      </c>
      <c r="L20" s="6"/>
      <c r="M20" s="6"/>
      <c r="N20" s="6">
        <f t="shared" si="2"/>
        <v>768</v>
      </c>
      <c r="O20" s="6">
        <f t="shared" si="3"/>
        <v>226560</v>
      </c>
      <c r="P20" s="6">
        <v>152</v>
      </c>
      <c r="Q20" s="6">
        <v>37483</v>
      </c>
      <c r="R20" s="6"/>
      <c r="S20" s="6"/>
      <c r="U20" s="46"/>
    </row>
    <row r="21" spans="1:21" s="17" customFormat="1" ht="14.1" hidden="1" customHeight="1" outlineLevel="1" x14ac:dyDescent="0.25">
      <c r="A21" s="7" t="s">
        <v>1359</v>
      </c>
      <c r="B21" s="7" t="s">
        <v>1360</v>
      </c>
      <c r="C21" s="13">
        <v>223.68</v>
      </c>
      <c r="D21" s="6">
        <v>51.73</v>
      </c>
      <c r="E21" s="6">
        <v>100</v>
      </c>
      <c r="F21" s="6">
        <v>2604</v>
      </c>
      <c r="G21" s="6">
        <v>582462.71999999997</v>
      </c>
      <c r="H21" s="6"/>
      <c r="I21" s="6"/>
      <c r="J21" s="6">
        <v>20508</v>
      </c>
      <c r="K21" s="6">
        <v>4587229.4400000004</v>
      </c>
      <c r="L21" s="6"/>
      <c r="M21" s="6"/>
      <c r="N21" s="6">
        <f t="shared" si="2"/>
        <v>23112</v>
      </c>
      <c r="O21" s="6">
        <f t="shared" si="3"/>
        <v>5169692.16</v>
      </c>
      <c r="P21" s="6">
        <v>3736</v>
      </c>
      <c r="Q21" s="6">
        <v>941746</v>
      </c>
      <c r="R21" s="6"/>
      <c r="S21" s="6"/>
      <c r="T21" s="1"/>
      <c r="U21" s="46"/>
    </row>
    <row r="22" spans="1:21" s="1" customFormat="1" collapsed="1" x14ac:dyDescent="0.25">
      <c r="A22" s="15" t="s">
        <v>407</v>
      </c>
      <c r="B22" s="16"/>
      <c r="C22" s="16"/>
      <c r="D22" s="15">
        <v>80</v>
      </c>
      <c r="E22" s="15">
        <v>98.31</v>
      </c>
      <c r="F22" s="15">
        <f t="shared" ref="F22:R22" si="8">SUM(F23:F48)</f>
        <v>14232</v>
      </c>
      <c r="G22" s="15">
        <f t="shared" si="8"/>
        <v>2367910.6799999997</v>
      </c>
      <c r="H22" s="15">
        <f t="shared" si="8"/>
        <v>17268</v>
      </c>
      <c r="I22" s="15">
        <f t="shared" si="8"/>
        <v>3324357.44</v>
      </c>
      <c r="J22" s="15">
        <f t="shared" si="8"/>
        <v>325682</v>
      </c>
      <c r="K22" s="15">
        <f t="shared" si="8"/>
        <v>56494928.060000002</v>
      </c>
      <c r="L22" s="15">
        <f t="shared" si="8"/>
        <v>45720</v>
      </c>
      <c r="M22" s="15">
        <f t="shared" si="8"/>
        <v>8176350</v>
      </c>
      <c r="N22" s="15">
        <f t="shared" si="8"/>
        <v>402902</v>
      </c>
      <c r="O22" s="15">
        <f t="shared" si="8"/>
        <v>70363546.180000007</v>
      </c>
      <c r="P22" s="15">
        <f t="shared" si="8"/>
        <v>64553</v>
      </c>
      <c r="Q22" s="15">
        <f t="shared" si="8"/>
        <v>13602152</v>
      </c>
      <c r="R22" s="15">
        <f t="shared" si="8"/>
        <v>15600.56277141276</v>
      </c>
      <c r="S22" s="15">
        <f t="shared" ref="S22" si="9">SUM(S23:S48)</f>
        <v>3473450.3775064633</v>
      </c>
      <c r="T22" s="17"/>
      <c r="U22" s="47"/>
    </row>
    <row r="23" spans="1:21" s="1" customFormat="1" hidden="1" outlineLevel="1" x14ac:dyDescent="0.25">
      <c r="A23" s="7" t="s">
        <v>1399</v>
      </c>
      <c r="B23" s="7" t="s">
        <v>1400</v>
      </c>
      <c r="C23" s="13">
        <v>205</v>
      </c>
      <c r="D23" s="6">
        <v>92.2</v>
      </c>
      <c r="E23" s="6">
        <v>100</v>
      </c>
      <c r="F23" s="6">
        <v>936</v>
      </c>
      <c r="G23" s="6">
        <v>191880</v>
      </c>
      <c r="H23" s="6"/>
      <c r="I23" s="6"/>
      <c r="J23" s="6">
        <v>16021</v>
      </c>
      <c r="K23" s="6">
        <v>3284305</v>
      </c>
      <c r="L23" s="6">
        <v>16200</v>
      </c>
      <c r="M23" s="6">
        <v>3321000</v>
      </c>
      <c r="N23" s="6">
        <f t="shared" ref="N23:N48" si="10">IF(J23+L23+H23+F23&lt;=0,"",J23+L23+H23+F23)</f>
        <v>33157</v>
      </c>
      <c r="O23" s="6">
        <f t="shared" ref="O23:O48" si="11">IFERROR(C23*N23,"")</f>
        <v>6797185</v>
      </c>
      <c r="P23" s="6">
        <v>1888</v>
      </c>
      <c r="Q23" s="6">
        <v>404687</v>
      </c>
      <c r="R23" s="6"/>
      <c r="S23" s="6"/>
      <c r="U23" s="46"/>
    </row>
    <row r="24" spans="1:21" s="1" customFormat="1" hidden="1" outlineLevel="1" x14ac:dyDescent="0.25">
      <c r="A24" s="7" t="s">
        <v>1408</v>
      </c>
      <c r="B24" s="7" t="s">
        <v>1409</v>
      </c>
      <c r="C24" s="13">
        <v>270.06</v>
      </c>
      <c r="D24" s="6">
        <v>128.16999999999999</v>
      </c>
      <c r="E24" s="6">
        <v>100</v>
      </c>
      <c r="F24" s="6">
        <v>1548</v>
      </c>
      <c r="G24" s="6">
        <v>418052.88</v>
      </c>
      <c r="H24" s="6">
        <v>696</v>
      </c>
      <c r="I24" s="6">
        <v>187961.76</v>
      </c>
      <c r="J24" s="6">
        <v>7368</v>
      </c>
      <c r="K24" s="6">
        <v>1989802.08</v>
      </c>
      <c r="L24" s="6"/>
      <c r="M24" s="6"/>
      <c r="N24" s="6">
        <f t="shared" si="10"/>
        <v>9612</v>
      </c>
      <c r="O24" s="6">
        <f t="shared" si="11"/>
        <v>2595816.7200000002</v>
      </c>
      <c r="P24" s="6">
        <v>2836</v>
      </c>
      <c r="Q24" s="6">
        <v>885026</v>
      </c>
      <c r="R24" s="6"/>
      <c r="S24" s="6"/>
      <c r="U24" s="46"/>
    </row>
    <row r="25" spans="1:21" s="1" customFormat="1" hidden="1" outlineLevel="1" x14ac:dyDescent="0.25">
      <c r="A25" s="7" t="s">
        <v>1373</v>
      </c>
      <c r="B25" s="7" t="s">
        <v>1374</v>
      </c>
      <c r="C25" s="13">
        <v>137.49</v>
      </c>
      <c r="D25" s="6">
        <v>140.6</v>
      </c>
      <c r="E25" s="6">
        <v>100</v>
      </c>
      <c r="F25" s="6">
        <v>240</v>
      </c>
      <c r="G25" s="6">
        <v>32997.599999999999</v>
      </c>
      <c r="H25" s="6">
        <v>384</v>
      </c>
      <c r="I25" s="6">
        <v>52796.160000000003</v>
      </c>
      <c r="J25" s="6">
        <v>22985</v>
      </c>
      <c r="K25" s="6">
        <v>3160207.65</v>
      </c>
      <c r="L25" s="6"/>
      <c r="M25" s="6"/>
      <c r="N25" s="6">
        <f t="shared" si="10"/>
        <v>23609</v>
      </c>
      <c r="O25" s="6">
        <f t="shared" si="11"/>
        <v>3246001.41</v>
      </c>
      <c r="P25" s="6">
        <v>2146</v>
      </c>
      <c r="Q25" s="6">
        <v>329544</v>
      </c>
      <c r="R25" s="6"/>
      <c r="S25" s="6"/>
      <c r="U25" s="46"/>
    </row>
    <row r="26" spans="1:21" s="1" customFormat="1" hidden="1" outlineLevel="1" x14ac:dyDescent="0.25">
      <c r="A26" s="7" t="s">
        <v>1454</v>
      </c>
      <c r="B26" s="7" t="s">
        <v>1455</v>
      </c>
      <c r="C26" s="13">
        <v>97.3</v>
      </c>
      <c r="D26" s="6">
        <v>56.63</v>
      </c>
      <c r="E26" s="6">
        <v>100</v>
      </c>
      <c r="F26" s="6">
        <v>3840</v>
      </c>
      <c r="G26" s="6">
        <v>373632</v>
      </c>
      <c r="H26" s="6">
        <v>672</v>
      </c>
      <c r="I26" s="6">
        <v>65385.599999999999</v>
      </c>
      <c r="J26" s="6">
        <v>21609</v>
      </c>
      <c r="K26" s="6">
        <v>2102555.7000000002</v>
      </c>
      <c r="L26" s="6"/>
      <c r="M26" s="6"/>
      <c r="N26" s="6">
        <f t="shared" si="10"/>
        <v>26121</v>
      </c>
      <c r="O26" s="6">
        <f t="shared" si="11"/>
        <v>2541573.2999999998</v>
      </c>
      <c r="P26" s="6">
        <v>9864</v>
      </c>
      <c r="Q26" s="6">
        <v>1096574</v>
      </c>
      <c r="R26" s="6"/>
      <c r="S26" s="6"/>
      <c r="U26" s="46"/>
    </row>
    <row r="27" spans="1:21" s="1" customFormat="1" hidden="1" outlineLevel="1" x14ac:dyDescent="0.25">
      <c r="A27" s="7" t="s">
        <v>1393</v>
      </c>
      <c r="B27" s="7" t="s">
        <v>1394</v>
      </c>
      <c r="C27" s="13">
        <v>350</v>
      </c>
      <c r="D27" s="6"/>
      <c r="E27" s="6">
        <v>100</v>
      </c>
      <c r="F27" s="6">
        <v>216</v>
      </c>
      <c r="G27" s="6">
        <v>75600</v>
      </c>
      <c r="H27" s="6"/>
      <c r="I27" s="6"/>
      <c r="J27" s="6">
        <v>804</v>
      </c>
      <c r="K27" s="6">
        <v>281400</v>
      </c>
      <c r="L27" s="6"/>
      <c r="M27" s="6"/>
      <c r="N27" s="6">
        <f t="shared" si="10"/>
        <v>1020</v>
      </c>
      <c r="O27" s="6">
        <f t="shared" si="11"/>
        <v>357000</v>
      </c>
      <c r="P27" s="6">
        <v>3232</v>
      </c>
      <c r="Q27" s="6">
        <v>1198555</v>
      </c>
      <c r="R27" s="6"/>
      <c r="S27" s="6"/>
      <c r="U27" s="46"/>
    </row>
    <row r="28" spans="1:21" s="1" customFormat="1" hidden="1" outlineLevel="1" x14ac:dyDescent="0.25">
      <c r="A28" s="7" t="s">
        <v>1357</v>
      </c>
      <c r="B28" s="7" t="s">
        <v>1358</v>
      </c>
      <c r="C28" s="13">
        <v>167.1</v>
      </c>
      <c r="D28" s="6">
        <v>44.27</v>
      </c>
      <c r="E28" s="6">
        <v>100</v>
      </c>
      <c r="F28" s="6">
        <v>744</v>
      </c>
      <c r="G28" s="6">
        <v>124322.4</v>
      </c>
      <c r="H28" s="6">
        <v>324</v>
      </c>
      <c r="I28" s="6">
        <v>54140.4</v>
      </c>
      <c r="J28" s="6">
        <v>1318</v>
      </c>
      <c r="K28" s="6">
        <v>220237.8</v>
      </c>
      <c r="L28" s="6">
        <v>18600</v>
      </c>
      <c r="M28" s="6">
        <v>3108060</v>
      </c>
      <c r="N28" s="6">
        <f t="shared" si="10"/>
        <v>20986</v>
      </c>
      <c r="O28" s="6">
        <f t="shared" si="11"/>
        <v>3506760.6</v>
      </c>
      <c r="P28" s="6">
        <v>1480</v>
      </c>
      <c r="Q28" s="6">
        <v>278170</v>
      </c>
      <c r="R28" s="6"/>
      <c r="S28" s="6"/>
      <c r="U28" s="46"/>
    </row>
    <row r="29" spans="1:21" s="1" customFormat="1" hidden="1" outlineLevel="1" x14ac:dyDescent="0.25">
      <c r="A29" s="7" t="s">
        <v>1401</v>
      </c>
      <c r="B29" s="7" t="s">
        <v>1402</v>
      </c>
      <c r="C29" s="13">
        <v>274.97000000000003</v>
      </c>
      <c r="D29" s="6">
        <v>163.26</v>
      </c>
      <c r="E29" s="6">
        <v>100</v>
      </c>
      <c r="F29" s="6">
        <v>36</v>
      </c>
      <c r="G29" s="6">
        <v>9898.92</v>
      </c>
      <c r="H29" s="6"/>
      <c r="I29" s="6"/>
      <c r="J29" s="6">
        <v>156</v>
      </c>
      <c r="K29" s="6">
        <v>42895.32</v>
      </c>
      <c r="L29" s="6"/>
      <c r="M29" s="6"/>
      <c r="N29" s="6">
        <f t="shared" si="10"/>
        <v>192</v>
      </c>
      <c r="O29" s="6">
        <f t="shared" si="11"/>
        <v>52794.240000000005</v>
      </c>
      <c r="P29" s="6">
        <v>3028</v>
      </c>
      <c r="Q29" s="6">
        <v>1015191</v>
      </c>
      <c r="R29" s="6"/>
      <c r="S29" s="6"/>
      <c r="U29" s="46"/>
    </row>
    <row r="30" spans="1:21" s="1" customFormat="1" hidden="1" outlineLevel="1" x14ac:dyDescent="0.25">
      <c r="A30" s="7" t="s">
        <v>1383</v>
      </c>
      <c r="B30" s="7" t="s">
        <v>1384</v>
      </c>
      <c r="C30" s="13">
        <v>105.76</v>
      </c>
      <c r="D30" s="6">
        <v>34.64</v>
      </c>
      <c r="E30" s="6">
        <v>100</v>
      </c>
      <c r="F30" s="6">
        <v>168</v>
      </c>
      <c r="G30" s="6">
        <v>17767.68</v>
      </c>
      <c r="H30" s="6">
        <v>576</v>
      </c>
      <c r="I30" s="6">
        <v>60917.760000000002</v>
      </c>
      <c r="J30" s="6">
        <v>33252</v>
      </c>
      <c r="K30" s="6">
        <v>3516731.52</v>
      </c>
      <c r="L30" s="6"/>
      <c r="M30" s="6"/>
      <c r="N30" s="6">
        <f t="shared" si="10"/>
        <v>33996</v>
      </c>
      <c r="O30" s="6">
        <f t="shared" si="11"/>
        <v>3595416.96</v>
      </c>
      <c r="P30" s="6">
        <v>3732</v>
      </c>
      <c r="Q30" s="6">
        <v>395782</v>
      </c>
      <c r="R30" s="6"/>
      <c r="S30" s="6"/>
      <c r="U30" s="46"/>
    </row>
    <row r="31" spans="1:21" s="1" customFormat="1" hidden="1" outlineLevel="1" x14ac:dyDescent="0.25">
      <c r="A31" s="7" t="s">
        <v>1346</v>
      </c>
      <c r="B31" s="7" t="s">
        <v>1347</v>
      </c>
      <c r="C31" s="13">
        <v>253.82</v>
      </c>
      <c r="D31" s="6">
        <v>51.32</v>
      </c>
      <c r="E31" s="6">
        <v>100</v>
      </c>
      <c r="F31" s="6">
        <v>300</v>
      </c>
      <c r="G31" s="6">
        <v>76146</v>
      </c>
      <c r="H31" s="6">
        <v>3400</v>
      </c>
      <c r="I31" s="6">
        <v>862988</v>
      </c>
      <c r="J31" s="6">
        <v>10218</v>
      </c>
      <c r="K31" s="6">
        <v>2593532.7599999998</v>
      </c>
      <c r="L31" s="6"/>
      <c r="M31" s="6"/>
      <c r="N31" s="6">
        <f t="shared" si="10"/>
        <v>13918</v>
      </c>
      <c r="O31" s="6">
        <f t="shared" si="11"/>
        <v>3532666.76</v>
      </c>
      <c r="P31" s="6">
        <v>3200</v>
      </c>
      <c r="Q31" s="6">
        <v>840211</v>
      </c>
      <c r="R31" s="6"/>
      <c r="S31" s="6"/>
      <c r="U31" s="46"/>
    </row>
    <row r="32" spans="1:21" s="1" customFormat="1" hidden="1" outlineLevel="1" x14ac:dyDescent="0.25">
      <c r="A32" s="7" t="s">
        <v>1448</v>
      </c>
      <c r="B32" s="7" t="s">
        <v>1449</v>
      </c>
      <c r="C32" s="13">
        <v>222.09</v>
      </c>
      <c r="D32" s="6">
        <v>33.93</v>
      </c>
      <c r="E32" s="6">
        <v>100</v>
      </c>
      <c r="F32" s="6">
        <v>300</v>
      </c>
      <c r="G32" s="6">
        <v>66627</v>
      </c>
      <c r="H32" s="6">
        <v>800</v>
      </c>
      <c r="I32" s="6">
        <v>177672</v>
      </c>
      <c r="J32" s="6">
        <v>7140</v>
      </c>
      <c r="K32" s="6">
        <v>1585722.6</v>
      </c>
      <c r="L32" s="6"/>
      <c r="M32" s="6"/>
      <c r="N32" s="6">
        <f t="shared" si="10"/>
        <v>8240</v>
      </c>
      <c r="O32" s="6">
        <f t="shared" si="11"/>
        <v>1830021.6</v>
      </c>
      <c r="P32" s="6">
        <v>1833</v>
      </c>
      <c r="Q32" s="6">
        <v>476724</v>
      </c>
      <c r="R32" s="6"/>
      <c r="S32" s="6"/>
      <c r="U32" s="46"/>
    </row>
    <row r="33" spans="1:21" s="1" customFormat="1" hidden="1" outlineLevel="1" x14ac:dyDescent="0.25">
      <c r="A33" s="7" t="s">
        <v>1444</v>
      </c>
      <c r="B33" s="7" t="s">
        <v>1445</v>
      </c>
      <c r="C33" s="13">
        <v>111.06</v>
      </c>
      <c r="D33" s="6">
        <v>30.69</v>
      </c>
      <c r="E33" s="6">
        <v>100</v>
      </c>
      <c r="F33" s="6">
        <v>240</v>
      </c>
      <c r="G33" s="6">
        <v>26654.400000000001</v>
      </c>
      <c r="H33" s="6">
        <v>72</v>
      </c>
      <c r="I33" s="6">
        <v>7996.32</v>
      </c>
      <c r="J33" s="6">
        <v>17379</v>
      </c>
      <c r="K33" s="6">
        <v>1930111.74</v>
      </c>
      <c r="L33" s="6"/>
      <c r="M33" s="6"/>
      <c r="N33" s="6">
        <f t="shared" si="10"/>
        <v>17691</v>
      </c>
      <c r="O33" s="6">
        <f t="shared" si="11"/>
        <v>1964762.46</v>
      </c>
      <c r="P33" s="6">
        <v>4120</v>
      </c>
      <c r="Q33" s="6">
        <v>528287</v>
      </c>
      <c r="R33" s="6"/>
      <c r="S33" s="6"/>
      <c r="U33" s="46"/>
    </row>
    <row r="34" spans="1:21" s="1" customFormat="1" hidden="1" outlineLevel="1" x14ac:dyDescent="0.25">
      <c r="A34" s="7" t="s">
        <v>1418</v>
      </c>
      <c r="B34" s="7" t="s">
        <v>1419</v>
      </c>
      <c r="C34" s="13">
        <v>227</v>
      </c>
      <c r="D34" s="6">
        <v>278.87</v>
      </c>
      <c r="E34" s="6">
        <v>100</v>
      </c>
      <c r="F34" s="6">
        <v>444</v>
      </c>
      <c r="G34" s="6">
        <v>100788</v>
      </c>
      <c r="H34" s="6">
        <v>60</v>
      </c>
      <c r="I34" s="6">
        <v>13620</v>
      </c>
      <c r="J34" s="6">
        <v>37380</v>
      </c>
      <c r="K34" s="6">
        <v>8485260</v>
      </c>
      <c r="L34" s="6"/>
      <c r="M34" s="6"/>
      <c r="N34" s="6">
        <f t="shared" si="10"/>
        <v>37884</v>
      </c>
      <c r="O34" s="6">
        <f t="shared" si="11"/>
        <v>8599668</v>
      </c>
      <c r="P34" s="6">
        <v>2496</v>
      </c>
      <c r="Q34" s="6">
        <v>645436</v>
      </c>
      <c r="R34" s="6">
        <f t="shared" ref="R34:R47" si="12">J34/D34*(D34-180)</f>
        <v>13252.62882346613</v>
      </c>
      <c r="S34" s="6">
        <f t="shared" ref="S34:S47" si="13">R34*C34</f>
        <v>3008346.7429268113</v>
      </c>
      <c r="U34" s="46"/>
    </row>
    <row r="35" spans="1:21" s="1" customFormat="1" hidden="1" outlineLevel="1" x14ac:dyDescent="0.25">
      <c r="A35" s="7" t="s">
        <v>1395</v>
      </c>
      <c r="B35" s="7" t="s">
        <v>1396</v>
      </c>
      <c r="C35" s="13">
        <v>285</v>
      </c>
      <c r="D35" s="6">
        <v>171.6</v>
      </c>
      <c r="E35" s="6">
        <v>100</v>
      </c>
      <c r="F35" s="6">
        <v>48</v>
      </c>
      <c r="G35" s="6">
        <v>13680</v>
      </c>
      <c r="H35" s="6">
        <v>2160</v>
      </c>
      <c r="I35" s="6">
        <v>615600</v>
      </c>
      <c r="J35" s="6">
        <v>11809</v>
      </c>
      <c r="K35" s="6">
        <v>3365565</v>
      </c>
      <c r="L35" s="6"/>
      <c r="M35" s="6"/>
      <c r="N35" s="6">
        <f t="shared" si="10"/>
        <v>14017</v>
      </c>
      <c r="O35" s="6">
        <f t="shared" si="11"/>
        <v>3994845</v>
      </c>
      <c r="P35" s="6">
        <v>3176</v>
      </c>
      <c r="Q35" s="6">
        <v>1188594</v>
      </c>
      <c r="R35" s="6"/>
      <c r="S35" s="6"/>
      <c r="U35" s="46"/>
    </row>
    <row r="36" spans="1:21" s="1" customFormat="1" hidden="1" outlineLevel="1" x14ac:dyDescent="0.25">
      <c r="A36" s="7" t="s">
        <v>1377</v>
      </c>
      <c r="B36" s="7" t="s">
        <v>1378</v>
      </c>
      <c r="C36" s="13">
        <v>264.39999999999998</v>
      </c>
      <c r="D36" s="6">
        <v>131.88999999999999</v>
      </c>
      <c r="E36" s="6">
        <v>100</v>
      </c>
      <c r="F36" s="6">
        <v>552</v>
      </c>
      <c r="G36" s="6">
        <v>145948.79999999999</v>
      </c>
      <c r="H36" s="6">
        <v>48</v>
      </c>
      <c r="I36" s="6">
        <v>12691.2</v>
      </c>
      <c r="J36" s="6">
        <v>11088</v>
      </c>
      <c r="K36" s="6">
        <v>2931667.2</v>
      </c>
      <c r="L36" s="6"/>
      <c r="M36" s="6"/>
      <c r="N36" s="6">
        <f t="shared" si="10"/>
        <v>11688</v>
      </c>
      <c r="O36" s="6">
        <f t="shared" si="11"/>
        <v>3090307.1999999997</v>
      </c>
      <c r="P36" s="6">
        <v>1040</v>
      </c>
      <c r="Q36" s="6">
        <v>311456</v>
      </c>
      <c r="R36" s="6"/>
      <c r="S36" s="6"/>
      <c r="U36" s="46"/>
    </row>
    <row r="37" spans="1:21" s="1" customFormat="1" hidden="1" outlineLevel="1" x14ac:dyDescent="0.25">
      <c r="A37" s="7" t="s">
        <v>1381</v>
      </c>
      <c r="B37" s="7" t="s">
        <v>1382</v>
      </c>
      <c r="C37" s="13">
        <v>433.08</v>
      </c>
      <c r="D37" s="6">
        <v>390.93</v>
      </c>
      <c r="E37" s="6">
        <v>100</v>
      </c>
      <c r="F37" s="6">
        <v>36</v>
      </c>
      <c r="G37" s="6">
        <v>15590.88</v>
      </c>
      <c r="H37" s="6"/>
      <c r="I37" s="6"/>
      <c r="J37" s="6">
        <v>696</v>
      </c>
      <c r="K37" s="6">
        <v>301423.68</v>
      </c>
      <c r="L37" s="6"/>
      <c r="M37" s="6"/>
      <c r="N37" s="6">
        <f t="shared" si="10"/>
        <v>732</v>
      </c>
      <c r="O37" s="6">
        <f t="shared" si="11"/>
        <v>317014.56</v>
      </c>
      <c r="P37" s="6">
        <v>564</v>
      </c>
      <c r="Q37" s="6">
        <v>293671</v>
      </c>
      <c r="R37" s="6">
        <f t="shared" si="12"/>
        <v>375.53342030542552</v>
      </c>
      <c r="S37" s="6">
        <f t="shared" si="13"/>
        <v>162636.01366587367</v>
      </c>
      <c r="U37" s="46"/>
    </row>
    <row r="38" spans="1:21" s="1" customFormat="1" hidden="1" outlineLevel="1" x14ac:dyDescent="0.25">
      <c r="A38" s="7" t="s">
        <v>1355</v>
      </c>
      <c r="B38" s="7" t="s">
        <v>1356</v>
      </c>
      <c r="C38" s="13">
        <v>133.6</v>
      </c>
      <c r="D38" s="6">
        <v>33.119999999999997</v>
      </c>
      <c r="E38" s="6">
        <v>100</v>
      </c>
      <c r="F38" s="6">
        <v>84</v>
      </c>
      <c r="G38" s="6">
        <v>11222.4</v>
      </c>
      <c r="H38" s="6">
        <v>144</v>
      </c>
      <c r="I38" s="6">
        <v>19238.400000000001</v>
      </c>
      <c r="J38" s="6">
        <v>12792</v>
      </c>
      <c r="K38" s="6">
        <v>1709011.2</v>
      </c>
      <c r="L38" s="6"/>
      <c r="M38" s="6"/>
      <c r="N38" s="6">
        <f t="shared" si="10"/>
        <v>13020</v>
      </c>
      <c r="O38" s="6">
        <f t="shared" si="11"/>
        <v>1739472</v>
      </c>
      <c r="P38" s="6">
        <v>952</v>
      </c>
      <c r="Q38" s="6">
        <v>137789</v>
      </c>
      <c r="R38" s="6"/>
      <c r="S38" s="6"/>
      <c r="U38" s="46"/>
    </row>
    <row r="39" spans="1:21" s="1" customFormat="1" hidden="1" outlineLevel="1" x14ac:dyDescent="0.25">
      <c r="A39" s="7" t="s">
        <v>1416</v>
      </c>
      <c r="B39" s="7" t="s">
        <v>1417</v>
      </c>
      <c r="C39" s="13">
        <v>255</v>
      </c>
      <c r="D39" s="6">
        <v>50.93</v>
      </c>
      <c r="E39" s="6">
        <v>100</v>
      </c>
      <c r="F39" s="6">
        <v>696</v>
      </c>
      <c r="G39" s="6">
        <v>177480</v>
      </c>
      <c r="H39" s="6">
        <v>420</v>
      </c>
      <c r="I39" s="6">
        <v>107100</v>
      </c>
      <c r="J39" s="6">
        <v>41323</v>
      </c>
      <c r="K39" s="6">
        <v>10537365</v>
      </c>
      <c r="L39" s="6">
        <v>2400</v>
      </c>
      <c r="M39" s="6">
        <v>612000</v>
      </c>
      <c r="N39" s="6">
        <f t="shared" si="10"/>
        <v>44839</v>
      </c>
      <c r="O39" s="6">
        <f t="shared" si="11"/>
        <v>11433945</v>
      </c>
      <c r="P39" s="6">
        <v>4480</v>
      </c>
      <c r="Q39" s="6">
        <v>1373817</v>
      </c>
      <c r="R39" s="6"/>
      <c r="S39" s="6"/>
      <c r="U39" s="46"/>
    </row>
    <row r="40" spans="1:21" s="1" customFormat="1" hidden="1" outlineLevel="1" x14ac:dyDescent="0.25">
      <c r="A40" s="7" t="s">
        <v>1462</v>
      </c>
      <c r="B40" s="7" t="s">
        <v>1463</v>
      </c>
      <c r="C40" s="13">
        <v>89.9</v>
      </c>
      <c r="D40" s="6">
        <v>137.99</v>
      </c>
      <c r="E40" s="6">
        <v>100</v>
      </c>
      <c r="F40" s="6">
        <v>840</v>
      </c>
      <c r="G40" s="6">
        <v>75516</v>
      </c>
      <c r="H40" s="6">
        <v>1056</v>
      </c>
      <c r="I40" s="6">
        <v>94934.399999999994</v>
      </c>
      <c r="J40" s="6">
        <v>15315</v>
      </c>
      <c r="K40" s="6">
        <v>1376818.5</v>
      </c>
      <c r="L40" s="6"/>
      <c r="M40" s="6"/>
      <c r="N40" s="6">
        <f t="shared" si="10"/>
        <v>17211</v>
      </c>
      <c r="O40" s="6">
        <f t="shared" si="11"/>
        <v>1547268.9000000001</v>
      </c>
      <c r="P40" s="6">
        <v>2024</v>
      </c>
      <c r="Q40" s="6">
        <v>191292</v>
      </c>
      <c r="R40" s="6"/>
      <c r="S40" s="6"/>
      <c r="U40" s="46"/>
    </row>
    <row r="41" spans="1:21" s="1" customFormat="1" hidden="1" outlineLevel="1" x14ac:dyDescent="0.25">
      <c r="A41" s="7" t="s">
        <v>1580</v>
      </c>
      <c r="B41" s="7" t="s">
        <v>1581</v>
      </c>
      <c r="C41" s="13">
        <v>153.35</v>
      </c>
      <c r="D41" s="6">
        <v>30.52</v>
      </c>
      <c r="E41" s="6">
        <v>100</v>
      </c>
      <c r="F41" s="6">
        <v>120</v>
      </c>
      <c r="G41" s="6">
        <v>18402</v>
      </c>
      <c r="H41" s="6">
        <v>1272</v>
      </c>
      <c r="I41" s="6">
        <v>195061.2</v>
      </c>
      <c r="J41" s="6">
        <v>7555</v>
      </c>
      <c r="K41" s="6">
        <v>1158559.25</v>
      </c>
      <c r="L41" s="6"/>
      <c r="M41" s="6"/>
      <c r="N41" s="6">
        <f t="shared" si="10"/>
        <v>8947</v>
      </c>
      <c r="O41" s="6">
        <f t="shared" si="11"/>
        <v>1372022.45</v>
      </c>
      <c r="P41" s="6">
        <v>1872</v>
      </c>
      <c r="Q41" s="6">
        <v>333198</v>
      </c>
      <c r="R41" s="6"/>
      <c r="S41" s="6"/>
      <c r="U41" s="46"/>
    </row>
    <row r="42" spans="1:21" s="1" customFormat="1" hidden="1" outlineLevel="1" x14ac:dyDescent="0.25">
      <c r="A42" s="7" t="s">
        <v>1450</v>
      </c>
      <c r="B42" s="7" t="s">
        <v>1451</v>
      </c>
      <c r="C42" s="13">
        <v>92.01</v>
      </c>
      <c r="D42" s="6">
        <v>40.86</v>
      </c>
      <c r="E42" s="6">
        <v>100</v>
      </c>
      <c r="F42" s="6">
        <v>528</v>
      </c>
      <c r="G42" s="6">
        <v>48581.279999999999</v>
      </c>
      <c r="H42" s="6">
        <v>408</v>
      </c>
      <c r="I42" s="6">
        <v>37540.080000000002</v>
      </c>
      <c r="J42" s="6">
        <v>11352</v>
      </c>
      <c r="K42" s="6">
        <v>1044497.52</v>
      </c>
      <c r="L42" s="6"/>
      <c r="M42" s="6"/>
      <c r="N42" s="6">
        <f t="shared" si="10"/>
        <v>12288</v>
      </c>
      <c r="O42" s="6">
        <f t="shared" si="11"/>
        <v>1130618.8800000001</v>
      </c>
      <c r="P42" s="6">
        <v>656</v>
      </c>
      <c r="Q42" s="6">
        <v>62824</v>
      </c>
      <c r="R42" s="6"/>
      <c r="S42" s="6"/>
      <c r="U42" s="46"/>
    </row>
    <row r="43" spans="1:21" s="1" customFormat="1" hidden="1" outlineLevel="1" x14ac:dyDescent="0.25">
      <c r="A43" s="7" t="s">
        <v>1460</v>
      </c>
      <c r="B43" s="7" t="s">
        <v>1461</v>
      </c>
      <c r="C43" s="13">
        <v>89.9</v>
      </c>
      <c r="D43" s="6">
        <v>20.6</v>
      </c>
      <c r="E43" s="6">
        <v>100</v>
      </c>
      <c r="F43" s="6">
        <v>240</v>
      </c>
      <c r="G43" s="6">
        <v>21576</v>
      </c>
      <c r="H43" s="6">
        <v>72</v>
      </c>
      <c r="I43" s="6">
        <v>6472.8</v>
      </c>
      <c r="J43" s="6">
        <v>13416</v>
      </c>
      <c r="K43" s="6">
        <v>1206098.3999999999</v>
      </c>
      <c r="L43" s="6"/>
      <c r="M43" s="6"/>
      <c r="N43" s="6">
        <f t="shared" si="10"/>
        <v>13728</v>
      </c>
      <c r="O43" s="6">
        <f t="shared" si="11"/>
        <v>1234147.2000000002</v>
      </c>
      <c r="P43" s="6">
        <v>2544</v>
      </c>
      <c r="Q43" s="6">
        <v>238644</v>
      </c>
      <c r="R43" s="6"/>
      <c r="S43" s="6"/>
      <c r="U43" s="46"/>
    </row>
    <row r="44" spans="1:21" s="1" customFormat="1" hidden="1" outlineLevel="1" x14ac:dyDescent="0.25">
      <c r="A44" s="7" t="s">
        <v>1434</v>
      </c>
      <c r="B44" s="7" t="s">
        <v>1435</v>
      </c>
      <c r="C44" s="13">
        <v>222.09</v>
      </c>
      <c r="D44" s="6">
        <v>25.68</v>
      </c>
      <c r="E44" s="6">
        <v>100</v>
      </c>
      <c r="F44" s="6">
        <v>960</v>
      </c>
      <c r="G44" s="6">
        <v>213206.39999999999</v>
      </c>
      <c r="H44" s="6">
        <v>192</v>
      </c>
      <c r="I44" s="6">
        <v>42641.279999999999</v>
      </c>
      <c r="J44" s="6">
        <v>6000</v>
      </c>
      <c r="K44" s="6">
        <v>1332540</v>
      </c>
      <c r="L44" s="6"/>
      <c r="M44" s="6"/>
      <c r="N44" s="6">
        <f t="shared" si="10"/>
        <v>7152</v>
      </c>
      <c r="O44" s="6">
        <f t="shared" si="11"/>
        <v>1588387.68</v>
      </c>
      <c r="P44" s="6">
        <v>1512</v>
      </c>
      <c r="Q44" s="6">
        <v>397183</v>
      </c>
      <c r="R44" s="6"/>
      <c r="S44" s="6"/>
      <c r="U44" s="46"/>
    </row>
    <row r="45" spans="1:21" s="1" customFormat="1" hidden="1" outlineLevel="1" x14ac:dyDescent="0.25">
      <c r="A45" s="7" t="s">
        <v>1452</v>
      </c>
      <c r="B45" s="7" t="s">
        <v>1453</v>
      </c>
      <c r="C45" s="13">
        <v>92.01</v>
      </c>
      <c r="D45" s="6">
        <v>24.07</v>
      </c>
      <c r="E45" s="6">
        <v>100</v>
      </c>
      <c r="F45" s="6">
        <v>960</v>
      </c>
      <c r="G45" s="6">
        <v>88329.600000000006</v>
      </c>
      <c r="H45" s="6">
        <v>96</v>
      </c>
      <c r="I45" s="6">
        <v>8832.9599999999991</v>
      </c>
      <c r="J45" s="6">
        <v>9336</v>
      </c>
      <c r="K45" s="6">
        <v>859005.36</v>
      </c>
      <c r="L45" s="6"/>
      <c r="M45" s="6"/>
      <c r="N45" s="6">
        <f t="shared" si="10"/>
        <v>10392</v>
      </c>
      <c r="O45" s="6">
        <f t="shared" si="11"/>
        <v>956167.92</v>
      </c>
      <c r="P45" s="6">
        <v>952</v>
      </c>
      <c r="Q45" s="6">
        <v>88467</v>
      </c>
      <c r="R45" s="6"/>
      <c r="S45" s="6"/>
      <c r="U45" s="46"/>
    </row>
    <row r="46" spans="1:21" s="1" customFormat="1" hidden="1" outlineLevel="1" x14ac:dyDescent="0.25">
      <c r="A46" s="7" t="s">
        <v>1424</v>
      </c>
      <c r="B46" s="7" t="s">
        <v>1425</v>
      </c>
      <c r="C46" s="13">
        <v>401.87</v>
      </c>
      <c r="D46" s="6">
        <v>148.62</v>
      </c>
      <c r="E46" s="6">
        <v>100</v>
      </c>
      <c r="F46" s="6">
        <v>12</v>
      </c>
      <c r="G46" s="6">
        <v>4822.4399999999996</v>
      </c>
      <c r="H46" s="6">
        <v>156</v>
      </c>
      <c r="I46" s="6">
        <v>62691.72</v>
      </c>
      <c r="J46" s="6">
        <v>334</v>
      </c>
      <c r="K46" s="6">
        <v>134224.57999999999</v>
      </c>
      <c r="L46" s="6"/>
      <c r="M46" s="6"/>
      <c r="N46" s="6">
        <f t="shared" si="10"/>
        <v>502</v>
      </c>
      <c r="O46" s="6">
        <f t="shared" si="11"/>
        <v>201738.74</v>
      </c>
      <c r="P46" s="6">
        <v>300</v>
      </c>
      <c r="Q46" s="6">
        <v>140922</v>
      </c>
      <c r="R46" s="6"/>
      <c r="S46" s="6"/>
      <c r="U46" s="46"/>
    </row>
    <row r="47" spans="1:21" s="1" customFormat="1" hidden="1" outlineLevel="1" x14ac:dyDescent="0.25">
      <c r="A47" s="7" t="s">
        <v>1438</v>
      </c>
      <c r="B47" s="7" t="s">
        <v>1439</v>
      </c>
      <c r="C47" s="13">
        <v>153.35</v>
      </c>
      <c r="D47" s="6">
        <v>250.17</v>
      </c>
      <c r="E47" s="6">
        <v>100</v>
      </c>
      <c r="F47" s="6"/>
      <c r="G47" s="6"/>
      <c r="H47" s="6">
        <v>3504</v>
      </c>
      <c r="I47" s="6">
        <v>537338.4</v>
      </c>
      <c r="J47" s="6">
        <v>7032</v>
      </c>
      <c r="K47" s="6">
        <v>1078357.2</v>
      </c>
      <c r="L47" s="6"/>
      <c r="M47" s="6"/>
      <c r="N47" s="6">
        <f t="shared" si="10"/>
        <v>10536</v>
      </c>
      <c r="O47" s="6">
        <f t="shared" si="11"/>
        <v>1615695.5999999999</v>
      </c>
      <c r="P47" s="6">
        <v>2066</v>
      </c>
      <c r="Q47" s="6">
        <v>391836</v>
      </c>
      <c r="R47" s="6">
        <f t="shared" si="12"/>
        <v>1972.4005276412038</v>
      </c>
      <c r="S47" s="6">
        <f t="shared" si="13"/>
        <v>302467.62091377861</v>
      </c>
      <c r="U47" s="46"/>
    </row>
    <row r="48" spans="1:21" s="1" customFormat="1" hidden="1" outlineLevel="1" x14ac:dyDescent="0.25">
      <c r="A48" s="7" t="s">
        <v>1524</v>
      </c>
      <c r="B48" s="7" t="s">
        <v>1525</v>
      </c>
      <c r="C48" s="13">
        <v>133.25</v>
      </c>
      <c r="D48" s="6">
        <v>37.07</v>
      </c>
      <c r="E48" s="6">
        <v>100</v>
      </c>
      <c r="F48" s="6">
        <v>144</v>
      </c>
      <c r="G48" s="6">
        <v>19188</v>
      </c>
      <c r="H48" s="6">
        <v>756</v>
      </c>
      <c r="I48" s="6">
        <v>100737</v>
      </c>
      <c r="J48" s="6">
        <v>2004</v>
      </c>
      <c r="K48" s="6">
        <v>267033</v>
      </c>
      <c r="L48" s="6">
        <v>8520</v>
      </c>
      <c r="M48" s="6">
        <v>1135290</v>
      </c>
      <c r="N48" s="6">
        <f t="shared" si="10"/>
        <v>11424</v>
      </c>
      <c r="O48" s="6">
        <f t="shared" si="11"/>
        <v>1522248</v>
      </c>
      <c r="P48" s="6">
        <v>2560</v>
      </c>
      <c r="Q48" s="6">
        <v>358272</v>
      </c>
      <c r="R48" s="6"/>
      <c r="S48" s="6"/>
      <c r="U48" s="46"/>
    </row>
    <row r="49" spans="1:21" s="1" customFormat="1" collapsed="1" x14ac:dyDescent="0.25">
      <c r="A49" s="15" t="s">
        <v>818</v>
      </c>
      <c r="B49" s="16"/>
      <c r="C49" s="16"/>
      <c r="D49" s="15">
        <v>179.97</v>
      </c>
      <c r="E49" s="15">
        <v>76.44</v>
      </c>
      <c r="F49" s="15">
        <f t="shared" ref="F49:R49" si="14">SUM(F50:F130)</f>
        <v>5907</v>
      </c>
      <c r="G49" s="15">
        <f t="shared" si="14"/>
        <v>802778.1799999997</v>
      </c>
      <c r="H49" s="15">
        <f t="shared" si="14"/>
        <v>15772</v>
      </c>
      <c r="I49" s="15">
        <f t="shared" si="14"/>
        <v>2128712.7800000007</v>
      </c>
      <c r="J49" s="15">
        <f t="shared" si="14"/>
        <v>119382</v>
      </c>
      <c r="K49" s="15">
        <f t="shared" si="14"/>
        <v>16366925.709999988</v>
      </c>
      <c r="L49" s="15">
        <f t="shared" si="14"/>
        <v>78840</v>
      </c>
      <c r="M49" s="15">
        <f t="shared" si="14"/>
        <v>10862617.199999999</v>
      </c>
      <c r="N49" s="15">
        <f t="shared" si="14"/>
        <v>219901</v>
      </c>
      <c r="O49" s="15">
        <f t="shared" si="14"/>
        <v>30161033.870000008</v>
      </c>
      <c r="P49" s="15">
        <f t="shared" si="14"/>
        <v>29234</v>
      </c>
      <c r="Q49" s="15">
        <f t="shared" si="14"/>
        <v>4763121</v>
      </c>
      <c r="R49" s="15">
        <f t="shared" si="14"/>
        <v>22594.776692450821</v>
      </c>
      <c r="S49" s="15">
        <f t="shared" ref="S49" si="15">SUM(S50:S130)</f>
        <v>2773957.8907545782</v>
      </c>
      <c r="T49" s="17"/>
      <c r="U49" s="47"/>
    </row>
    <row r="50" spans="1:21" s="17" customFormat="1" ht="14.1" hidden="1" customHeight="1" outlineLevel="1" x14ac:dyDescent="0.25">
      <c r="A50" s="7" t="s">
        <v>1520</v>
      </c>
      <c r="B50" s="7" t="s">
        <v>1521</v>
      </c>
      <c r="C50" s="13">
        <v>133.25</v>
      </c>
      <c r="D50" s="6">
        <v>13.66</v>
      </c>
      <c r="E50" s="6">
        <v>86.02</v>
      </c>
      <c r="F50" s="6"/>
      <c r="G50" s="6"/>
      <c r="H50" s="6">
        <v>96</v>
      </c>
      <c r="I50" s="6">
        <v>12792</v>
      </c>
      <c r="J50" s="6">
        <v>1500</v>
      </c>
      <c r="K50" s="6">
        <v>199875</v>
      </c>
      <c r="L50" s="6">
        <v>12900</v>
      </c>
      <c r="M50" s="6">
        <v>1718925</v>
      </c>
      <c r="N50" s="6">
        <f t="shared" ref="N50:N81" si="16">IF(J50+L50+H50+F50&lt;=0,"",J50+L50+H50+F50)</f>
        <v>14496</v>
      </c>
      <c r="O50" s="6">
        <f t="shared" ref="O50:O81" si="17">IFERROR(C50*N50,"")</f>
        <v>1931592</v>
      </c>
      <c r="P50" s="6">
        <v>1168</v>
      </c>
      <c r="Q50" s="6">
        <v>164939</v>
      </c>
      <c r="R50" s="6"/>
      <c r="S50" s="6"/>
      <c r="T50" s="1"/>
      <c r="U50" s="46"/>
    </row>
    <row r="51" spans="1:21" s="1" customFormat="1" hidden="1" outlineLevel="1" x14ac:dyDescent="0.25">
      <c r="A51" s="7" t="s">
        <v>1420</v>
      </c>
      <c r="B51" s="7" t="s">
        <v>1421</v>
      </c>
      <c r="C51" s="13">
        <v>240</v>
      </c>
      <c r="D51" s="6">
        <v>182.13</v>
      </c>
      <c r="E51" s="6">
        <v>100</v>
      </c>
      <c r="F51" s="6">
        <v>252</v>
      </c>
      <c r="G51" s="6">
        <v>60480</v>
      </c>
      <c r="H51" s="6">
        <v>1632</v>
      </c>
      <c r="I51" s="6">
        <v>391680</v>
      </c>
      <c r="J51" s="6">
        <v>10272</v>
      </c>
      <c r="K51" s="6">
        <v>2465280</v>
      </c>
      <c r="L51" s="6"/>
      <c r="M51" s="6"/>
      <c r="N51" s="6">
        <f t="shared" si="16"/>
        <v>12156</v>
      </c>
      <c r="O51" s="6">
        <f t="shared" si="17"/>
        <v>2917440</v>
      </c>
      <c r="P51" s="6">
        <v>1352</v>
      </c>
      <c r="Q51" s="6">
        <v>395905</v>
      </c>
      <c r="R51" s="6">
        <f t="shared" ref="R51:R108" si="18">J51/D51*(D51-180)</f>
        <v>120.13045626750097</v>
      </c>
      <c r="S51" s="6">
        <f t="shared" ref="S51:S108" si="19">R51*C51</f>
        <v>28831.309504200235</v>
      </c>
      <c r="U51" s="46"/>
    </row>
    <row r="52" spans="1:21" s="1" customFormat="1" hidden="1" outlineLevel="1" x14ac:dyDescent="0.25">
      <c r="A52" s="7" t="s">
        <v>1344</v>
      </c>
      <c r="B52" s="7" t="s">
        <v>1345</v>
      </c>
      <c r="C52" s="13">
        <v>100.47</v>
      </c>
      <c r="D52" s="6">
        <v>51.91</v>
      </c>
      <c r="E52" s="6">
        <v>100</v>
      </c>
      <c r="F52" s="6">
        <v>1488</v>
      </c>
      <c r="G52" s="6">
        <v>149499.35999999999</v>
      </c>
      <c r="H52" s="6">
        <v>5064</v>
      </c>
      <c r="I52" s="6">
        <v>508780.08</v>
      </c>
      <c r="J52" s="6">
        <v>2546</v>
      </c>
      <c r="K52" s="6">
        <v>255796.62000000002</v>
      </c>
      <c r="L52" s="6"/>
      <c r="M52" s="6"/>
      <c r="N52" s="6">
        <f t="shared" si="16"/>
        <v>9098</v>
      </c>
      <c r="O52" s="6">
        <f t="shared" si="17"/>
        <v>914076.05999999994</v>
      </c>
      <c r="P52" s="6">
        <v>1472</v>
      </c>
      <c r="Q52" s="6">
        <v>166838</v>
      </c>
      <c r="R52" s="6"/>
      <c r="S52" s="6"/>
      <c r="U52" s="46"/>
    </row>
    <row r="53" spans="1:21" s="1" customFormat="1" hidden="1" outlineLevel="1" x14ac:dyDescent="0.25">
      <c r="A53" s="7" t="s">
        <v>1522</v>
      </c>
      <c r="B53" s="7" t="s">
        <v>1523</v>
      </c>
      <c r="C53" s="13">
        <v>133.25</v>
      </c>
      <c r="D53" s="6">
        <v>157.91999999999999</v>
      </c>
      <c r="E53" s="6">
        <v>100</v>
      </c>
      <c r="F53" s="6">
        <v>204</v>
      </c>
      <c r="G53" s="6">
        <v>27183</v>
      </c>
      <c r="H53" s="6">
        <v>588</v>
      </c>
      <c r="I53" s="6">
        <v>78351</v>
      </c>
      <c r="J53" s="6">
        <v>9684</v>
      </c>
      <c r="K53" s="6">
        <v>1290393</v>
      </c>
      <c r="L53" s="6">
        <v>6000</v>
      </c>
      <c r="M53" s="6">
        <v>799500</v>
      </c>
      <c r="N53" s="6">
        <f t="shared" si="16"/>
        <v>16476</v>
      </c>
      <c r="O53" s="6">
        <f t="shared" si="17"/>
        <v>2195427</v>
      </c>
      <c r="P53" s="6">
        <v>1828</v>
      </c>
      <c r="Q53" s="6">
        <v>269167</v>
      </c>
      <c r="R53" s="6"/>
      <c r="S53" s="6"/>
      <c r="U53" s="46"/>
    </row>
    <row r="54" spans="1:21" s="1" customFormat="1" hidden="1" outlineLevel="1" x14ac:dyDescent="0.25">
      <c r="A54" s="7" t="s">
        <v>1582</v>
      </c>
      <c r="B54" s="7" t="s">
        <v>1583</v>
      </c>
      <c r="C54" s="13">
        <v>90.95</v>
      </c>
      <c r="D54" s="6">
        <v>31</v>
      </c>
      <c r="E54" s="6">
        <v>100</v>
      </c>
      <c r="F54" s="6"/>
      <c r="G54" s="6"/>
      <c r="H54" s="6"/>
      <c r="I54" s="6"/>
      <c r="J54" s="6">
        <v>24</v>
      </c>
      <c r="K54" s="6">
        <v>2182.8000000000002</v>
      </c>
      <c r="L54" s="6"/>
      <c r="M54" s="6"/>
      <c r="N54" s="6">
        <f t="shared" si="16"/>
        <v>24</v>
      </c>
      <c r="O54" s="6">
        <f t="shared" si="17"/>
        <v>2182.8000000000002</v>
      </c>
      <c r="P54" s="6">
        <v>24</v>
      </c>
      <c r="Q54" s="6">
        <v>2216</v>
      </c>
      <c r="R54" s="6"/>
      <c r="S54" s="6"/>
      <c r="U54" s="46"/>
    </row>
    <row r="55" spans="1:21" s="1" customFormat="1" hidden="1" outlineLevel="1" x14ac:dyDescent="0.25">
      <c r="A55" s="7" t="s">
        <v>1458</v>
      </c>
      <c r="B55" s="7" t="s">
        <v>1459</v>
      </c>
      <c r="C55" s="13">
        <v>90.95</v>
      </c>
      <c r="D55" s="6">
        <v>30.12</v>
      </c>
      <c r="E55" s="6">
        <v>32.26</v>
      </c>
      <c r="F55" s="6">
        <v>36</v>
      </c>
      <c r="G55" s="6">
        <v>3274.2</v>
      </c>
      <c r="H55" s="6">
        <v>48</v>
      </c>
      <c r="I55" s="6">
        <v>4365.6000000000004</v>
      </c>
      <c r="J55" s="6">
        <v>1188</v>
      </c>
      <c r="K55" s="6">
        <v>108048.6</v>
      </c>
      <c r="L55" s="6"/>
      <c r="M55" s="6"/>
      <c r="N55" s="6">
        <f t="shared" si="16"/>
        <v>1272</v>
      </c>
      <c r="O55" s="6">
        <f t="shared" si="17"/>
        <v>115688.40000000001</v>
      </c>
      <c r="P55" s="6">
        <v>208</v>
      </c>
      <c r="Q55" s="6">
        <v>19372</v>
      </c>
      <c r="R55" s="6"/>
      <c r="S55" s="6"/>
      <c r="U55" s="46"/>
    </row>
    <row r="56" spans="1:21" s="1" customFormat="1" hidden="1" outlineLevel="1" x14ac:dyDescent="0.25">
      <c r="A56" s="7" t="s">
        <v>1375</v>
      </c>
      <c r="B56" s="7" t="s">
        <v>1376</v>
      </c>
      <c r="C56" s="13">
        <v>137.49</v>
      </c>
      <c r="D56" s="6">
        <v>95.26</v>
      </c>
      <c r="E56" s="6">
        <v>100</v>
      </c>
      <c r="F56" s="6">
        <v>1944</v>
      </c>
      <c r="G56" s="6">
        <v>267280.56</v>
      </c>
      <c r="H56" s="6"/>
      <c r="I56" s="6"/>
      <c r="J56" s="6">
        <v>7363</v>
      </c>
      <c r="K56" s="6">
        <v>1012338.87</v>
      </c>
      <c r="L56" s="6"/>
      <c r="M56" s="6"/>
      <c r="N56" s="6">
        <f t="shared" si="16"/>
        <v>9307</v>
      </c>
      <c r="O56" s="6">
        <f t="shared" si="17"/>
        <v>1279619.4300000002</v>
      </c>
      <c r="P56" s="6">
        <v>1016</v>
      </c>
      <c r="Q56" s="6">
        <v>163628</v>
      </c>
      <c r="R56" s="6"/>
      <c r="S56" s="6"/>
      <c r="U56" s="46"/>
    </row>
    <row r="57" spans="1:21" s="1" customFormat="1" hidden="1" outlineLevel="1" x14ac:dyDescent="0.25">
      <c r="A57" s="7" t="s">
        <v>1518</v>
      </c>
      <c r="B57" s="7" t="s">
        <v>1519</v>
      </c>
      <c r="C57" s="13">
        <v>133.25</v>
      </c>
      <c r="D57" s="6">
        <v>81.400000000000006</v>
      </c>
      <c r="E57" s="6">
        <v>100</v>
      </c>
      <c r="F57" s="6"/>
      <c r="G57" s="6"/>
      <c r="H57" s="6">
        <v>540</v>
      </c>
      <c r="I57" s="6">
        <v>71955</v>
      </c>
      <c r="J57" s="6">
        <v>5244</v>
      </c>
      <c r="K57" s="6">
        <v>698763</v>
      </c>
      <c r="L57" s="6">
        <v>6000</v>
      </c>
      <c r="M57" s="6">
        <v>799500</v>
      </c>
      <c r="N57" s="6">
        <f t="shared" si="16"/>
        <v>11784</v>
      </c>
      <c r="O57" s="6">
        <f t="shared" si="17"/>
        <v>1570218</v>
      </c>
      <c r="P57" s="6">
        <v>1908</v>
      </c>
      <c r="Q57" s="6">
        <v>259269</v>
      </c>
      <c r="R57" s="6"/>
      <c r="S57" s="6"/>
      <c r="U57" s="46"/>
    </row>
    <row r="58" spans="1:21" s="1" customFormat="1" hidden="1" outlineLevel="1" x14ac:dyDescent="0.25">
      <c r="A58" s="7" t="s">
        <v>1578</v>
      </c>
      <c r="B58" s="7" t="s">
        <v>1579</v>
      </c>
      <c r="C58" s="13">
        <v>133.25</v>
      </c>
      <c r="D58" s="6">
        <v>59.69</v>
      </c>
      <c r="E58" s="6">
        <v>100</v>
      </c>
      <c r="F58" s="6">
        <v>108</v>
      </c>
      <c r="G58" s="6">
        <v>14391</v>
      </c>
      <c r="H58" s="6">
        <v>252</v>
      </c>
      <c r="I58" s="6">
        <v>33579</v>
      </c>
      <c r="J58" s="6">
        <v>1608</v>
      </c>
      <c r="K58" s="6">
        <v>214266</v>
      </c>
      <c r="L58" s="6">
        <v>1800</v>
      </c>
      <c r="M58" s="6">
        <v>239850</v>
      </c>
      <c r="N58" s="6">
        <f t="shared" si="16"/>
        <v>3768</v>
      </c>
      <c r="O58" s="6">
        <f t="shared" si="17"/>
        <v>502086</v>
      </c>
      <c r="P58" s="6">
        <v>704</v>
      </c>
      <c r="Q58" s="6">
        <v>104452</v>
      </c>
      <c r="R58" s="6"/>
      <c r="S58" s="6"/>
      <c r="U58" s="46"/>
    </row>
    <row r="59" spans="1:21" s="1" customFormat="1" hidden="1" outlineLevel="1" x14ac:dyDescent="0.25">
      <c r="A59" s="7" t="s">
        <v>1502</v>
      </c>
      <c r="B59" s="7" t="s">
        <v>1503</v>
      </c>
      <c r="C59" s="13">
        <v>133.25</v>
      </c>
      <c r="D59" s="6">
        <v>51.73</v>
      </c>
      <c r="E59" s="6">
        <v>100</v>
      </c>
      <c r="F59" s="6">
        <v>24</v>
      </c>
      <c r="G59" s="6">
        <v>3198</v>
      </c>
      <c r="H59" s="6">
        <v>168</v>
      </c>
      <c r="I59" s="6">
        <v>22386</v>
      </c>
      <c r="J59" s="6">
        <v>804</v>
      </c>
      <c r="K59" s="6">
        <v>107133</v>
      </c>
      <c r="L59" s="6">
        <v>2640</v>
      </c>
      <c r="M59" s="6">
        <v>351780</v>
      </c>
      <c r="N59" s="6">
        <f t="shared" si="16"/>
        <v>3636</v>
      </c>
      <c r="O59" s="6">
        <f t="shared" si="17"/>
        <v>484497</v>
      </c>
      <c r="P59" s="6">
        <v>772</v>
      </c>
      <c r="Q59" s="6">
        <v>120209</v>
      </c>
      <c r="R59" s="6"/>
      <c r="S59" s="6"/>
      <c r="U59" s="46"/>
    </row>
    <row r="60" spans="1:21" s="1" customFormat="1" hidden="1" outlineLevel="1" x14ac:dyDescent="0.25">
      <c r="A60" s="7" t="s">
        <v>1532</v>
      </c>
      <c r="B60" s="7" t="s">
        <v>1533</v>
      </c>
      <c r="C60" s="13">
        <v>148.06</v>
      </c>
      <c r="D60" s="6">
        <v>154.41</v>
      </c>
      <c r="E60" s="6">
        <v>100</v>
      </c>
      <c r="F60" s="6">
        <v>48</v>
      </c>
      <c r="G60" s="6">
        <v>7106.88</v>
      </c>
      <c r="H60" s="6">
        <v>432</v>
      </c>
      <c r="I60" s="6">
        <v>63961.919999999998</v>
      </c>
      <c r="J60" s="6">
        <v>1045</v>
      </c>
      <c r="K60" s="6">
        <v>154722.70000000001</v>
      </c>
      <c r="L60" s="6">
        <v>1200</v>
      </c>
      <c r="M60" s="6">
        <v>177672</v>
      </c>
      <c r="N60" s="6">
        <f t="shared" si="16"/>
        <v>2725</v>
      </c>
      <c r="O60" s="6">
        <f t="shared" si="17"/>
        <v>403463.5</v>
      </c>
      <c r="P60" s="6">
        <v>636</v>
      </c>
      <c r="Q60" s="6">
        <v>112341</v>
      </c>
      <c r="R60" s="6"/>
      <c r="S60" s="6"/>
      <c r="U60" s="46"/>
    </row>
    <row r="61" spans="1:21" s="1" customFormat="1" hidden="1" outlineLevel="1" x14ac:dyDescent="0.25">
      <c r="A61" s="7" t="s">
        <v>1512</v>
      </c>
      <c r="B61" s="7" t="s">
        <v>1513</v>
      </c>
      <c r="C61" s="13">
        <v>133.25</v>
      </c>
      <c r="D61" s="6">
        <v>120.89</v>
      </c>
      <c r="E61" s="6">
        <v>100</v>
      </c>
      <c r="F61" s="6">
        <v>48</v>
      </c>
      <c r="G61" s="6">
        <v>6396</v>
      </c>
      <c r="H61" s="6">
        <v>804</v>
      </c>
      <c r="I61" s="6">
        <v>107133</v>
      </c>
      <c r="J61" s="6">
        <v>4848</v>
      </c>
      <c r="K61" s="6">
        <v>645996</v>
      </c>
      <c r="L61" s="6">
        <v>12780</v>
      </c>
      <c r="M61" s="6">
        <v>1702935</v>
      </c>
      <c r="N61" s="6">
        <f t="shared" si="16"/>
        <v>18480</v>
      </c>
      <c r="O61" s="6">
        <f t="shared" si="17"/>
        <v>2462460</v>
      </c>
      <c r="P61" s="6">
        <v>1756</v>
      </c>
      <c r="Q61" s="6">
        <v>237945</v>
      </c>
      <c r="R61" s="6"/>
      <c r="S61" s="6"/>
      <c r="U61" s="46"/>
    </row>
    <row r="62" spans="1:21" s="1" customFormat="1" hidden="1" outlineLevel="1" x14ac:dyDescent="0.25">
      <c r="A62" s="7" t="s">
        <v>1442</v>
      </c>
      <c r="B62" s="7" t="s">
        <v>1443</v>
      </c>
      <c r="C62" s="13">
        <v>105.76</v>
      </c>
      <c r="D62" s="6">
        <v>91.17</v>
      </c>
      <c r="E62" s="6">
        <v>100</v>
      </c>
      <c r="F62" s="6"/>
      <c r="G62" s="6"/>
      <c r="H62" s="6">
        <v>960</v>
      </c>
      <c r="I62" s="6">
        <v>101529.60000000001</v>
      </c>
      <c r="J62" s="6">
        <v>2160</v>
      </c>
      <c r="K62" s="6">
        <v>228441.60000000001</v>
      </c>
      <c r="L62" s="6"/>
      <c r="M62" s="6"/>
      <c r="N62" s="6">
        <f t="shared" si="16"/>
        <v>3120</v>
      </c>
      <c r="O62" s="6">
        <f t="shared" si="17"/>
        <v>329971.20000000001</v>
      </c>
      <c r="P62" s="6">
        <v>648</v>
      </c>
      <c r="Q62" s="6">
        <v>72949</v>
      </c>
      <c r="R62" s="6"/>
      <c r="S62" s="6"/>
      <c r="U62" s="46"/>
    </row>
    <row r="63" spans="1:21" s="1" customFormat="1" hidden="1" outlineLevel="1" x14ac:dyDescent="0.25">
      <c r="A63" s="7" t="s">
        <v>1480</v>
      </c>
      <c r="B63" s="7" t="s">
        <v>1481</v>
      </c>
      <c r="C63" s="13">
        <v>148.06</v>
      </c>
      <c r="D63" s="6">
        <v>72.709999999999994</v>
      </c>
      <c r="E63" s="6">
        <v>100</v>
      </c>
      <c r="F63" s="6">
        <v>37</v>
      </c>
      <c r="G63" s="6">
        <v>5478.22</v>
      </c>
      <c r="H63" s="6">
        <v>384</v>
      </c>
      <c r="I63" s="6">
        <v>56855.040000000001</v>
      </c>
      <c r="J63" s="6">
        <v>1309</v>
      </c>
      <c r="K63" s="6">
        <v>193810.54</v>
      </c>
      <c r="L63" s="6">
        <v>600</v>
      </c>
      <c r="M63" s="6">
        <v>88836</v>
      </c>
      <c r="N63" s="6">
        <f t="shared" si="16"/>
        <v>2330</v>
      </c>
      <c r="O63" s="6">
        <f t="shared" si="17"/>
        <v>344979.8</v>
      </c>
      <c r="P63" s="6">
        <v>516</v>
      </c>
      <c r="Q63" s="6">
        <v>83026</v>
      </c>
      <c r="R63" s="6"/>
      <c r="S63" s="6"/>
      <c r="U63" s="46"/>
    </row>
    <row r="64" spans="1:21" s="1" customFormat="1" hidden="1" outlineLevel="1" x14ac:dyDescent="0.25">
      <c r="A64" s="7" t="s">
        <v>1528</v>
      </c>
      <c r="B64" s="7" t="s">
        <v>1529</v>
      </c>
      <c r="C64" s="13">
        <v>169.21</v>
      </c>
      <c r="D64" s="6">
        <v>63.5</v>
      </c>
      <c r="E64" s="6">
        <v>100</v>
      </c>
      <c r="F64" s="6">
        <v>12</v>
      </c>
      <c r="G64" s="6">
        <v>2030.52</v>
      </c>
      <c r="H64" s="6">
        <v>132</v>
      </c>
      <c r="I64" s="6">
        <v>22335.72</v>
      </c>
      <c r="J64" s="6">
        <v>1405</v>
      </c>
      <c r="K64" s="6">
        <v>237740.05</v>
      </c>
      <c r="L64" s="6">
        <v>1200</v>
      </c>
      <c r="M64" s="6">
        <v>203052</v>
      </c>
      <c r="N64" s="6">
        <f t="shared" si="16"/>
        <v>2749</v>
      </c>
      <c r="O64" s="6">
        <f t="shared" si="17"/>
        <v>465158.29000000004</v>
      </c>
      <c r="P64" s="6">
        <v>468</v>
      </c>
      <c r="Q64" s="6">
        <v>89155</v>
      </c>
      <c r="R64" s="6"/>
      <c r="S64" s="6"/>
      <c r="U64" s="46"/>
    </row>
    <row r="65" spans="1:21" s="1" customFormat="1" hidden="1" outlineLevel="1" x14ac:dyDescent="0.25">
      <c r="A65" s="7" t="s">
        <v>1576</v>
      </c>
      <c r="B65" s="7" t="s">
        <v>1577</v>
      </c>
      <c r="C65" s="13">
        <v>109.42</v>
      </c>
      <c r="D65" s="6">
        <v>560.94000000000005</v>
      </c>
      <c r="E65" s="6">
        <v>100</v>
      </c>
      <c r="F65" s="6"/>
      <c r="G65" s="6"/>
      <c r="H65" s="6"/>
      <c r="I65" s="6"/>
      <c r="J65" s="6">
        <v>4956</v>
      </c>
      <c r="K65" s="6">
        <v>542285.52</v>
      </c>
      <c r="L65" s="6"/>
      <c r="M65" s="6"/>
      <c r="N65" s="6">
        <f t="shared" si="16"/>
        <v>4956</v>
      </c>
      <c r="O65" s="6">
        <f t="shared" si="17"/>
        <v>542285.52</v>
      </c>
      <c r="P65" s="6">
        <v>144</v>
      </c>
      <c r="Q65" s="6">
        <v>17190</v>
      </c>
      <c r="R65" s="6">
        <f t="shared" si="18"/>
        <v>3365.669483367205</v>
      </c>
      <c r="S65" s="6">
        <f t="shared" si="19"/>
        <v>368271.55487003957</v>
      </c>
      <c r="U65" s="46"/>
    </row>
    <row r="66" spans="1:21" s="1" customFormat="1" hidden="1" outlineLevel="1" x14ac:dyDescent="0.25">
      <c r="A66" s="7" t="s">
        <v>1498</v>
      </c>
      <c r="B66" s="7" t="s">
        <v>1499</v>
      </c>
      <c r="C66" s="13">
        <v>133.25</v>
      </c>
      <c r="D66" s="6">
        <v>429</v>
      </c>
      <c r="E66" s="6">
        <v>100</v>
      </c>
      <c r="F66" s="6">
        <v>36</v>
      </c>
      <c r="G66" s="6">
        <v>4797</v>
      </c>
      <c r="H66" s="6">
        <v>288</v>
      </c>
      <c r="I66" s="6">
        <v>38376</v>
      </c>
      <c r="J66" s="6">
        <v>4224</v>
      </c>
      <c r="K66" s="6">
        <v>562848</v>
      </c>
      <c r="L66" s="6">
        <v>2760</v>
      </c>
      <c r="M66" s="6">
        <v>367770</v>
      </c>
      <c r="N66" s="6">
        <f t="shared" si="16"/>
        <v>7308</v>
      </c>
      <c r="O66" s="6">
        <f t="shared" si="17"/>
        <v>973791</v>
      </c>
      <c r="P66" s="6">
        <v>596</v>
      </c>
      <c r="Q66" s="6">
        <v>96141</v>
      </c>
      <c r="R66" s="6">
        <f t="shared" si="18"/>
        <v>2451.6923076923076</v>
      </c>
      <c r="S66" s="6">
        <f t="shared" si="19"/>
        <v>326688</v>
      </c>
      <c r="U66" s="46"/>
    </row>
    <row r="67" spans="1:21" s="1" customFormat="1" hidden="1" outlineLevel="1" x14ac:dyDescent="0.25">
      <c r="A67" s="7" t="s">
        <v>1472</v>
      </c>
      <c r="B67" s="7" t="s">
        <v>1473</v>
      </c>
      <c r="C67" s="13">
        <v>95.18</v>
      </c>
      <c r="D67" s="6">
        <v>67.7</v>
      </c>
      <c r="E67" s="6">
        <v>100</v>
      </c>
      <c r="F67" s="6">
        <v>48</v>
      </c>
      <c r="G67" s="6">
        <v>4568.6400000000003</v>
      </c>
      <c r="H67" s="6"/>
      <c r="I67" s="6"/>
      <c r="J67" s="6">
        <v>4008</v>
      </c>
      <c r="K67" s="6">
        <v>381481.44</v>
      </c>
      <c r="L67" s="6"/>
      <c r="M67" s="6"/>
      <c r="N67" s="6">
        <f t="shared" si="16"/>
        <v>4056</v>
      </c>
      <c r="O67" s="6">
        <f t="shared" si="17"/>
        <v>386050.08</v>
      </c>
      <c r="P67" s="6">
        <v>632</v>
      </c>
      <c r="Q67" s="6">
        <v>73991</v>
      </c>
      <c r="R67" s="6"/>
      <c r="S67" s="6"/>
      <c r="U67" s="46"/>
    </row>
    <row r="68" spans="1:21" s="1" customFormat="1" hidden="1" outlineLevel="1" x14ac:dyDescent="0.25">
      <c r="A68" s="7" t="s">
        <v>1470</v>
      </c>
      <c r="B68" s="7" t="s">
        <v>1471</v>
      </c>
      <c r="C68" s="13">
        <v>88.84</v>
      </c>
      <c r="D68" s="6">
        <v>107.82</v>
      </c>
      <c r="E68" s="6">
        <v>100</v>
      </c>
      <c r="F68" s="6"/>
      <c r="G68" s="6"/>
      <c r="H68" s="6"/>
      <c r="I68" s="6"/>
      <c r="J68" s="6">
        <v>2406</v>
      </c>
      <c r="K68" s="6">
        <v>213749.04</v>
      </c>
      <c r="L68" s="6"/>
      <c r="M68" s="6"/>
      <c r="N68" s="6">
        <f t="shared" si="16"/>
        <v>2406</v>
      </c>
      <c r="O68" s="6">
        <f t="shared" si="17"/>
        <v>213749.04</v>
      </c>
      <c r="P68" s="6">
        <v>564</v>
      </c>
      <c r="Q68" s="6">
        <v>52394</v>
      </c>
      <c r="R68" s="6"/>
      <c r="S68" s="6"/>
      <c r="U68" s="46"/>
    </row>
    <row r="69" spans="1:21" s="1" customFormat="1" hidden="1" outlineLevel="1" x14ac:dyDescent="0.25">
      <c r="A69" s="7" t="s">
        <v>1556</v>
      </c>
      <c r="B69" s="7" t="s">
        <v>1557</v>
      </c>
      <c r="C69" s="13">
        <v>93.07</v>
      </c>
      <c r="D69" s="6">
        <v>82.64</v>
      </c>
      <c r="E69" s="6">
        <v>100</v>
      </c>
      <c r="F69" s="6">
        <v>14</v>
      </c>
      <c r="G69" s="6">
        <v>1302.98</v>
      </c>
      <c r="H69" s="6">
        <v>441</v>
      </c>
      <c r="I69" s="6">
        <v>41043.870000000003</v>
      </c>
      <c r="J69" s="6">
        <v>0</v>
      </c>
      <c r="K69" s="6">
        <v>0</v>
      </c>
      <c r="L69" s="6"/>
      <c r="M69" s="6"/>
      <c r="N69" s="6">
        <f t="shared" si="16"/>
        <v>455</v>
      </c>
      <c r="O69" s="6">
        <f t="shared" si="17"/>
        <v>42346.85</v>
      </c>
      <c r="P69" s="6">
        <v>255</v>
      </c>
      <c r="Q69" s="6">
        <v>25768</v>
      </c>
      <c r="R69" s="6"/>
      <c r="S69" s="6"/>
      <c r="U69" s="46"/>
    </row>
    <row r="70" spans="1:21" s="1" customFormat="1" hidden="1" outlineLevel="1" x14ac:dyDescent="0.25">
      <c r="A70" s="7" t="s">
        <v>1526</v>
      </c>
      <c r="B70" s="7" t="s">
        <v>1527</v>
      </c>
      <c r="C70" s="13">
        <v>149.11000000000001</v>
      </c>
      <c r="D70" s="6">
        <v>293.43</v>
      </c>
      <c r="E70" s="6">
        <v>100</v>
      </c>
      <c r="F70" s="6"/>
      <c r="G70" s="6"/>
      <c r="H70" s="6">
        <v>360</v>
      </c>
      <c r="I70" s="6">
        <v>53679.6</v>
      </c>
      <c r="J70" s="6">
        <v>1212</v>
      </c>
      <c r="K70" s="6">
        <v>180721.32</v>
      </c>
      <c r="L70" s="6">
        <v>1440</v>
      </c>
      <c r="M70" s="6">
        <v>214718.4</v>
      </c>
      <c r="N70" s="6">
        <f t="shared" si="16"/>
        <v>3012</v>
      </c>
      <c r="O70" s="6">
        <f t="shared" si="17"/>
        <v>449119.32000000007</v>
      </c>
      <c r="P70" s="6">
        <v>316</v>
      </c>
      <c r="Q70" s="6">
        <v>57830</v>
      </c>
      <c r="R70" s="6">
        <f t="shared" si="18"/>
        <v>468.51773847254879</v>
      </c>
      <c r="S70" s="6">
        <f t="shared" si="19"/>
        <v>69860.679983641749</v>
      </c>
      <c r="U70" s="46"/>
    </row>
    <row r="71" spans="1:21" s="1" customFormat="1" hidden="1" outlineLevel="1" x14ac:dyDescent="0.25">
      <c r="A71" s="7" t="s">
        <v>1510</v>
      </c>
      <c r="B71" s="7" t="s">
        <v>1511</v>
      </c>
      <c r="C71" s="13">
        <v>133.25</v>
      </c>
      <c r="D71" s="6">
        <v>106.41</v>
      </c>
      <c r="E71" s="6">
        <v>100</v>
      </c>
      <c r="F71" s="6">
        <v>12</v>
      </c>
      <c r="G71" s="6">
        <v>1599</v>
      </c>
      <c r="H71" s="6">
        <v>84</v>
      </c>
      <c r="I71" s="6">
        <v>11193</v>
      </c>
      <c r="J71" s="6">
        <v>812</v>
      </c>
      <c r="K71" s="6">
        <v>108199</v>
      </c>
      <c r="L71" s="6">
        <v>2640</v>
      </c>
      <c r="M71" s="6">
        <v>351780</v>
      </c>
      <c r="N71" s="6">
        <f t="shared" si="16"/>
        <v>3548</v>
      </c>
      <c r="O71" s="6">
        <f t="shared" si="17"/>
        <v>472771</v>
      </c>
      <c r="P71" s="6">
        <v>408</v>
      </c>
      <c r="Q71" s="6">
        <v>64548</v>
      </c>
      <c r="R71" s="6"/>
      <c r="S71" s="6"/>
      <c r="U71" s="46"/>
    </row>
    <row r="72" spans="1:21" s="1" customFormat="1" hidden="1" outlineLevel="1" x14ac:dyDescent="0.25">
      <c r="A72" s="7" t="s">
        <v>1548</v>
      </c>
      <c r="B72" s="7" t="s">
        <v>1549</v>
      </c>
      <c r="C72" s="13">
        <v>148.06</v>
      </c>
      <c r="D72" s="6">
        <v>164.01</v>
      </c>
      <c r="E72" s="6">
        <v>100</v>
      </c>
      <c r="F72" s="6">
        <v>24</v>
      </c>
      <c r="G72" s="6">
        <v>3553.44</v>
      </c>
      <c r="H72" s="6">
        <v>360</v>
      </c>
      <c r="I72" s="6">
        <v>53301.599999999999</v>
      </c>
      <c r="J72" s="6">
        <v>1464</v>
      </c>
      <c r="K72" s="6">
        <v>216759.84</v>
      </c>
      <c r="L72" s="6">
        <v>1200</v>
      </c>
      <c r="M72" s="6">
        <v>177672</v>
      </c>
      <c r="N72" s="6">
        <f t="shared" si="16"/>
        <v>3048</v>
      </c>
      <c r="O72" s="6">
        <f t="shared" si="17"/>
        <v>451286.88</v>
      </c>
      <c r="P72" s="6">
        <v>252</v>
      </c>
      <c r="Q72" s="6">
        <v>43263</v>
      </c>
      <c r="R72" s="6"/>
      <c r="S72" s="6"/>
      <c r="U72" s="46"/>
    </row>
    <row r="73" spans="1:21" s="1" customFormat="1" hidden="1" outlineLevel="1" x14ac:dyDescent="0.25">
      <c r="A73" s="7" t="s">
        <v>1514</v>
      </c>
      <c r="B73" s="7" t="s">
        <v>1515</v>
      </c>
      <c r="C73" s="13">
        <v>133.25</v>
      </c>
      <c r="D73" s="6">
        <v>167.79</v>
      </c>
      <c r="E73" s="6">
        <v>100</v>
      </c>
      <c r="F73" s="6">
        <v>12</v>
      </c>
      <c r="G73" s="6">
        <v>1599</v>
      </c>
      <c r="H73" s="6">
        <v>84</v>
      </c>
      <c r="I73" s="6">
        <v>11193</v>
      </c>
      <c r="J73" s="6">
        <v>684</v>
      </c>
      <c r="K73" s="6">
        <v>91143</v>
      </c>
      <c r="L73" s="6">
        <v>1800</v>
      </c>
      <c r="M73" s="6">
        <v>239850</v>
      </c>
      <c r="N73" s="6">
        <f t="shared" si="16"/>
        <v>2580</v>
      </c>
      <c r="O73" s="6">
        <f t="shared" si="17"/>
        <v>343785</v>
      </c>
      <c r="P73" s="6">
        <v>656</v>
      </c>
      <c r="Q73" s="6">
        <v>106790</v>
      </c>
      <c r="R73" s="6"/>
      <c r="S73" s="6"/>
      <c r="U73" s="46"/>
    </row>
    <row r="74" spans="1:21" s="1" customFormat="1" hidden="1" outlineLevel="1" x14ac:dyDescent="0.25">
      <c r="A74" s="7" t="s">
        <v>1508</v>
      </c>
      <c r="B74" s="7" t="s">
        <v>1509</v>
      </c>
      <c r="C74" s="13">
        <v>133.25</v>
      </c>
      <c r="D74" s="6">
        <v>137.34</v>
      </c>
      <c r="E74" s="6">
        <v>100</v>
      </c>
      <c r="F74" s="6">
        <v>48</v>
      </c>
      <c r="G74" s="6">
        <v>6396</v>
      </c>
      <c r="H74" s="6">
        <v>24</v>
      </c>
      <c r="I74" s="6">
        <v>3198</v>
      </c>
      <c r="J74" s="6">
        <v>997</v>
      </c>
      <c r="K74" s="6">
        <v>132850.25</v>
      </c>
      <c r="L74" s="6">
        <v>1560</v>
      </c>
      <c r="M74" s="6">
        <v>207870</v>
      </c>
      <c r="N74" s="6">
        <f t="shared" si="16"/>
        <v>2629</v>
      </c>
      <c r="O74" s="6">
        <f t="shared" si="17"/>
        <v>350314.25</v>
      </c>
      <c r="P74" s="6">
        <v>304</v>
      </c>
      <c r="Q74" s="6">
        <v>48371</v>
      </c>
      <c r="R74" s="6"/>
      <c r="S74" s="6"/>
      <c r="U74" s="46"/>
    </row>
    <row r="75" spans="1:21" s="1" customFormat="1" hidden="1" outlineLevel="1" x14ac:dyDescent="0.25">
      <c r="A75" s="7" t="s">
        <v>1476</v>
      </c>
      <c r="B75" s="7" t="s">
        <v>1477</v>
      </c>
      <c r="C75" s="13">
        <v>84.61</v>
      </c>
      <c r="D75" s="6">
        <v>26.45</v>
      </c>
      <c r="E75" s="6">
        <v>100</v>
      </c>
      <c r="F75" s="6"/>
      <c r="G75" s="6"/>
      <c r="H75" s="6">
        <v>60</v>
      </c>
      <c r="I75" s="6">
        <v>5076.6000000000004</v>
      </c>
      <c r="J75" s="6">
        <v>770</v>
      </c>
      <c r="K75" s="6">
        <v>65149.7</v>
      </c>
      <c r="L75" s="6"/>
      <c r="M75" s="6"/>
      <c r="N75" s="6">
        <f t="shared" si="16"/>
        <v>830</v>
      </c>
      <c r="O75" s="6">
        <f t="shared" si="17"/>
        <v>70226.3</v>
      </c>
      <c r="P75" s="6">
        <v>267</v>
      </c>
      <c r="Q75" s="6">
        <v>24081</v>
      </c>
      <c r="R75" s="6"/>
      <c r="S75" s="6"/>
      <c r="U75" s="46"/>
    </row>
    <row r="76" spans="1:21" s="1" customFormat="1" hidden="1" outlineLevel="1" x14ac:dyDescent="0.25">
      <c r="A76" s="7" t="s">
        <v>1474</v>
      </c>
      <c r="B76" s="7" t="s">
        <v>1475</v>
      </c>
      <c r="C76" s="13">
        <v>158.63999999999999</v>
      </c>
      <c r="D76" s="6">
        <v>137.25</v>
      </c>
      <c r="E76" s="6">
        <v>100</v>
      </c>
      <c r="F76" s="6">
        <v>24</v>
      </c>
      <c r="G76" s="6">
        <v>3807.36</v>
      </c>
      <c r="H76" s="6">
        <v>24</v>
      </c>
      <c r="I76" s="6">
        <v>3807.36</v>
      </c>
      <c r="J76" s="6">
        <v>3228</v>
      </c>
      <c r="K76" s="6">
        <v>512089.92000000004</v>
      </c>
      <c r="L76" s="6"/>
      <c r="M76" s="6"/>
      <c r="N76" s="6">
        <f t="shared" si="16"/>
        <v>3276</v>
      </c>
      <c r="O76" s="6">
        <f t="shared" si="17"/>
        <v>519704.63999999996</v>
      </c>
      <c r="P76" s="6">
        <v>200</v>
      </c>
      <c r="Q76" s="6">
        <v>31001</v>
      </c>
      <c r="R76" s="6"/>
      <c r="S76" s="6"/>
      <c r="U76" s="46"/>
    </row>
    <row r="77" spans="1:21" s="1" customFormat="1" hidden="1" outlineLevel="1" x14ac:dyDescent="0.25">
      <c r="A77" s="7" t="s">
        <v>1361</v>
      </c>
      <c r="B77" s="7" t="s">
        <v>1362</v>
      </c>
      <c r="C77" s="13">
        <v>150.18</v>
      </c>
      <c r="D77" s="6">
        <v>77.81</v>
      </c>
      <c r="E77" s="6">
        <v>100</v>
      </c>
      <c r="F77" s="6"/>
      <c r="G77" s="6"/>
      <c r="H77" s="6">
        <v>24</v>
      </c>
      <c r="I77" s="6">
        <v>3604.32</v>
      </c>
      <c r="J77" s="6">
        <v>1464</v>
      </c>
      <c r="K77" s="6">
        <v>219863.52</v>
      </c>
      <c r="L77" s="6">
        <v>3000</v>
      </c>
      <c r="M77" s="6">
        <v>450540</v>
      </c>
      <c r="N77" s="6">
        <f t="shared" si="16"/>
        <v>4488</v>
      </c>
      <c r="O77" s="6">
        <f t="shared" si="17"/>
        <v>674007.84000000008</v>
      </c>
      <c r="P77" s="6">
        <v>364</v>
      </c>
      <c r="Q77" s="6">
        <v>59972</v>
      </c>
      <c r="R77" s="6"/>
      <c r="S77" s="6"/>
      <c r="U77" s="46"/>
    </row>
    <row r="78" spans="1:21" s="1" customFormat="1" hidden="1" outlineLevel="1" x14ac:dyDescent="0.25">
      <c r="A78" s="7" t="s">
        <v>1466</v>
      </c>
      <c r="B78" s="7" t="s">
        <v>1467</v>
      </c>
      <c r="C78" s="13">
        <v>88.84</v>
      </c>
      <c r="D78" s="6">
        <v>165.86</v>
      </c>
      <c r="E78" s="6">
        <v>100</v>
      </c>
      <c r="F78" s="6">
        <v>12</v>
      </c>
      <c r="G78" s="6">
        <v>1066.08</v>
      </c>
      <c r="H78" s="6"/>
      <c r="I78" s="6"/>
      <c r="J78" s="6">
        <v>3675</v>
      </c>
      <c r="K78" s="6">
        <v>326487</v>
      </c>
      <c r="L78" s="6"/>
      <c r="M78" s="6"/>
      <c r="N78" s="6">
        <f t="shared" si="16"/>
        <v>3687</v>
      </c>
      <c r="O78" s="6">
        <f t="shared" si="17"/>
        <v>327553.08</v>
      </c>
      <c r="P78" s="6">
        <v>384</v>
      </c>
      <c r="Q78" s="6">
        <v>32729</v>
      </c>
      <c r="R78" s="6"/>
      <c r="S78" s="6"/>
      <c r="U78" s="46"/>
    </row>
    <row r="79" spans="1:21" s="1" customFormat="1" hidden="1" outlineLevel="1" x14ac:dyDescent="0.25">
      <c r="A79" s="7" t="s">
        <v>1506</v>
      </c>
      <c r="B79" s="7" t="s">
        <v>1507</v>
      </c>
      <c r="C79" s="13">
        <v>133.25</v>
      </c>
      <c r="D79" s="6">
        <v>541.86</v>
      </c>
      <c r="E79" s="6">
        <v>100</v>
      </c>
      <c r="F79" s="6"/>
      <c r="G79" s="6"/>
      <c r="H79" s="6">
        <v>204</v>
      </c>
      <c r="I79" s="6">
        <v>27183</v>
      </c>
      <c r="J79" s="6">
        <v>948</v>
      </c>
      <c r="K79" s="6">
        <v>126321</v>
      </c>
      <c r="L79" s="6">
        <v>1560</v>
      </c>
      <c r="M79" s="6">
        <v>207870</v>
      </c>
      <c r="N79" s="6">
        <f t="shared" si="16"/>
        <v>2712</v>
      </c>
      <c r="O79" s="6">
        <f t="shared" si="17"/>
        <v>361374</v>
      </c>
      <c r="P79" s="6">
        <v>480</v>
      </c>
      <c r="Q79" s="6">
        <v>79336</v>
      </c>
      <c r="R79" s="6">
        <f t="shared" si="18"/>
        <v>633.08470822721733</v>
      </c>
      <c r="S79" s="6">
        <f t="shared" si="19"/>
        <v>84358.537371276703</v>
      </c>
      <c r="U79" s="46"/>
    </row>
    <row r="80" spans="1:21" s="1" customFormat="1" hidden="1" outlineLevel="1" x14ac:dyDescent="0.25">
      <c r="A80" s="7" t="s">
        <v>1500</v>
      </c>
      <c r="B80" s="7" t="s">
        <v>1501</v>
      </c>
      <c r="C80" s="13">
        <v>133.25</v>
      </c>
      <c r="D80" s="6">
        <v>82.07</v>
      </c>
      <c r="E80" s="6">
        <v>100</v>
      </c>
      <c r="F80" s="6">
        <v>12</v>
      </c>
      <c r="G80" s="6">
        <v>1599</v>
      </c>
      <c r="H80" s="6">
        <v>12</v>
      </c>
      <c r="I80" s="6">
        <v>1599</v>
      </c>
      <c r="J80" s="6">
        <v>612</v>
      </c>
      <c r="K80" s="6">
        <v>81549</v>
      </c>
      <c r="L80" s="6">
        <v>2520</v>
      </c>
      <c r="M80" s="6">
        <v>335790</v>
      </c>
      <c r="N80" s="6">
        <f t="shared" si="16"/>
        <v>3156</v>
      </c>
      <c r="O80" s="6">
        <f t="shared" si="17"/>
        <v>420537</v>
      </c>
      <c r="P80" s="6">
        <v>160</v>
      </c>
      <c r="Q80" s="6">
        <v>24859</v>
      </c>
      <c r="R80" s="6"/>
      <c r="S80" s="6"/>
      <c r="U80" s="46"/>
    </row>
    <row r="81" spans="1:21" s="1" customFormat="1" hidden="1" outlineLevel="1" x14ac:dyDescent="0.25">
      <c r="A81" s="7" t="s">
        <v>1352</v>
      </c>
      <c r="B81" s="7" t="s">
        <v>1353</v>
      </c>
      <c r="C81" s="13">
        <v>109.14</v>
      </c>
      <c r="D81" s="6">
        <v>357.18</v>
      </c>
      <c r="E81" s="6">
        <v>100</v>
      </c>
      <c r="F81" s="6"/>
      <c r="G81" s="6"/>
      <c r="H81" s="6"/>
      <c r="I81" s="6"/>
      <c r="J81" s="6">
        <v>1944</v>
      </c>
      <c r="K81" s="6">
        <v>212168.16</v>
      </c>
      <c r="L81" s="6"/>
      <c r="M81" s="6"/>
      <c r="N81" s="6">
        <f t="shared" si="16"/>
        <v>1944</v>
      </c>
      <c r="O81" s="6">
        <f t="shared" si="17"/>
        <v>212168.16</v>
      </c>
      <c r="P81" s="6">
        <v>1400</v>
      </c>
      <c r="Q81" s="6">
        <v>190969</v>
      </c>
      <c r="R81" s="6">
        <f t="shared" si="18"/>
        <v>964.32588610784478</v>
      </c>
      <c r="S81" s="6">
        <f t="shared" si="19"/>
        <v>105246.52720981019</v>
      </c>
      <c r="U81" s="46"/>
    </row>
    <row r="82" spans="1:21" s="1" customFormat="1" hidden="1" outlineLevel="1" x14ac:dyDescent="0.25">
      <c r="A82" s="7" t="s">
        <v>1530</v>
      </c>
      <c r="B82" s="7" t="s">
        <v>1531</v>
      </c>
      <c r="C82" s="13">
        <v>164.98</v>
      </c>
      <c r="D82" s="6">
        <v>17</v>
      </c>
      <c r="E82" s="6">
        <v>99.46</v>
      </c>
      <c r="F82" s="6"/>
      <c r="G82" s="6"/>
      <c r="H82" s="6"/>
      <c r="I82" s="6"/>
      <c r="J82" s="6">
        <v>106</v>
      </c>
      <c r="K82" s="6">
        <v>17487.88</v>
      </c>
      <c r="L82" s="6">
        <v>2040</v>
      </c>
      <c r="M82" s="6">
        <v>336559.2</v>
      </c>
      <c r="N82" s="6">
        <f t="shared" ref="N82:N113" si="20">IF(J82+L82+H82+F82&lt;=0,"",J82+L82+H82+F82)</f>
        <v>2146</v>
      </c>
      <c r="O82" s="6">
        <f t="shared" ref="O82:O113" si="21">IFERROR(C82*N82,"")</f>
        <v>354047.07999999996</v>
      </c>
      <c r="P82" s="6">
        <v>252</v>
      </c>
      <c r="Q82" s="6">
        <v>43873</v>
      </c>
      <c r="R82" s="6"/>
      <c r="S82" s="6"/>
      <c r="U82" s="46"/>
    </row>
    <row r="83" spans="1:21" s="1" customFormat="1" hidden="1" outlineLevel="1" x14ac:dyDescent="0.25">
      <c r="A83" s="7" t="s">
        <v>1554</v>
      </c>
      <c r="B83" s="7" t="s">
        <v>1555</v>
      </c>
      <c r="C83" s="13">
        <v>148.06</v>
      </c>
      <c r="D83" s="6">
        <v>70.66</v>
      </c>
      <c r="E83" s="6">
        <v>100</v>
      </c>
      <c r="F83" s="6"/>
      <c r="G83" s="6"/>
      <c r="H83" s="6">
        <v>396</v>
      </c>
      <c r="I83" s="6">
        <v>58631.76</v>
      </c>
      <c r="J83" s="6">
        <v>600</v>
      </c>
      <c r="K83" s="6">
        <v>88836</v>
      </c>
      <c r="L83" s="6">
        <v>600</v>
      </c>
      <c r="M83" s="6">
        <v>88836</v>
      </c>
      <c r="N83" s="6">
        <f t="shared" si="20"/>
        <v>1596</v>
      </c>
      <c r="O83" s="6">
        <f t="shared" si="21"/>
        <v>236303.76</v>
      </c>
      <c r="P83" s="6">
        <v>432</v>
      </c>
      <c r="Q83" s="6">
        <v>72228</v>
      </c>
      <c r="R83" s="6"/>
      <c r="S83" s="6"/>
      <c r="U83" s="46"/>
    </row>
    <row r="84" spans="1:21" s="1" customFormat="1" hidden="1" outlineLevel="1" x14ac:dyDescent="0.25">
      <c r="A84" s="7" t="s">
        <v>1516</v>
      </c>
      <c r="B84" s="7" t="s">
        <v>1517</v>
      </c>
      <c r="C84" s="13">
        <v>119.7</v>
      </c>
      <c r="D84" s="6">
        <v>55.39</v>
      </c>
      <c r="E84" s="6">
        <v>100</v>
      </c>
      <c r="F84" s="6">
        <v>312</v>
      </c>
      <c r="G84" s="6">
        <v>37346.400000000001</v>
      </c>
      <c r="H84" s="6">
        <v>132</v>
      </c>
      <c r="I84" s="6">
        <v>15800.4</v>
      </c>
      <c r="J84" s="6">
        <v>1080</v>
      </c>
      <c r="K84" s="6">
        <v>129276</v>
      </c>
      <c r="L84" s="6">
        <v>1200</v>
      </c>
      <c r="M84" s="6">
        <v>143640</v>
      </c>
      <c r="N84" s="6">
        <f t="shared" si="20"/>
        <v>2724</v>
      </c>
      <c r="O84" s="6">
        <f t="shared" si="21"/>
        <v>326062.8</v>
      </c>
      <c r="P84" s="6">
        <v>372</v>
      </c>
      <c r="Q84" s="6">
        <v>48259</v>
      </c>
      <c r="R84" s="6"/>
      <c r="S84" s="6"/>
      <c r="U84" s="46"/>
    </row>
    <row r="85" spans="1:21" s="1" customFormat="1" hidden="1" outlineLevel="1" x14ac:dyDescent="0.25">
      <c r="A85" s="7" t="s">
        <v>1552</v>
      </c>
      <c r="B85" s="7" t="s">
        <v>1553</v>
      </c>
      <c r="C85" s="13">
        <v>148.06</v>
      </c>
      <c r="D85" s="6">
        <v>99.88</v>
      </c>
      <c r="E85" s="6">
        <v>100</v>
      </c>
      <c r="F85" s="6">
        <v>24</v>
      </c>
      <c r="G85" s="6">
        <v>3553.44</v>
      </c>
      <c r="H85" s="6">
        <v>360</v>
      </c>
      <c r="I85" s="6">
        <v>53301.599999999999</v>
      </c>
      <c r="J85" s="6">
        <v>1032</v>
      </c>
      <c r="K85" s="6">
        <v>152797.92000000001</v>
      </c>
      <c r="L85" s="6">
        <v>600</v>
      </c>
      <c r="M85" s="6">
        <v>88836</v>
      </c>
      <c r="N85" s="6">
        <f t="shared" si="20"/>
        <v>2016</v>
      </c>
      <c r="O85" s="6">
        <f t="shared" si="21"/>
        <v>298488.96000000002</v>
      </c>
      <c r="P85" s="6">
        <v>460</v>
      </c>
      <c r="Q85" s="6">
        <v>78488</v>
      </c>
      <c r="R85" s="6"/>
      <c r="S85" s="6"/>
      <c r="U85" s="46"/>
    </row>
    <row r="86" spans="1:21" s="1" customFormat="1" hidden="1" outlineLevel="1" x14ac:dyDescent="0.25">
      <c r="A86" s="7" t="s">
        <v>1436</v>
      </c>
      <c r="B86" s="7" t="s">
        <v>1437</v>
      </c>
      <c r="C86" s="13">
        <v>100.47</v>
      </c>
      <c r="D86" s="6">
        <v>268.95999999999998</v>
      </c>
      <c r="E86" s="6">
        <v>100</v>
      </c>
      <c r="F86" s="6"/>
      <c r="G86" s="6"/>
      <c r="H86" s="6"/>
      <c r="I86" s="6"/>
      <c r="J86" s="6">
        <v>2916</v>
      </c>
      <c r="K86" s="6">
        <v>292970.52</v>
      </c>
      <c r="L86" s="6"/>
      <c r="M86" s="6"/>
      <c r="N86" s="6">
        <f t="shared" si="20"/>
        <v>2916</v>
      </c>
      <c r="O86" s="6">
        <f t="shared" si="21"/>
        <v>292970.52</v>
      </c>
      <c r="P86" s="6">
        <v>136</v>
      </c>
      <c r="Q86" s="6">
        <v>13425</v>
      </c>
      <c r="R86" s="6">
        <f t="shared" si="18"/>
        <v>964.48304580606771</v>
      </c>
      <c r="S86" s="6">
        <f t="shared" si="19"/>
        <v>96901.611612135617</v>
      </c>
      <c r="U86" s="46"/>
    </row>
    <row r="87" spans="1:21" s="1" customFormat="1" hidden="1" outlineLevel="1" x14ac:dyDescent="0.25">
      <c r="A87" s="7" t="s">
        <v>1550</v>
      </c>
      <c r="B87" s="7" t="s">
        <v>1551</v>
      </c>
      <c r="C87" s="13">
        <v>148.06</v>
      </c>
      <c r="D87" s="6">
        <v>291.06</v>
      </c>
      <c r="E87" s="6">
        <v>100</v>
      </c>
      <c r="F87" s="6">
        <v>12</v>
      </c>
      <c r="G87" s="6">
        <v>1776.72</v>
      </c>
      <c r="H87" s="6">
        <v>360</v>
      </c>
      <c r="I87" s="6">
        <v>53301.599999999999</v>
      </c>
      <c r="J87" s="6">
        <v>2028</v>
      </c>
      <c r="K87" s="6">
        <v>300265.68</v>
      </c>
      <c r="L87" s="6">
        <v>600</v>
      </c>
      <c r="M87" s="6">
        <v>88836</v>
      </c>
      <c r="N87" s="6">
        <f t="shared" si="20"/>
        <v>3000</v>
      </c>
      <c r="O87" s="6">
        <f t="shared" si="21"/>
        <v>444180</v>
      </c>
      <c r="P87" s="6">
        <v>220</v>
      </c>
      <c r="Q87" s="6">
        <v>37731</v>
      </c>
      <c r="R87" s="6">
        <f t="shared" si="18"/>
        <v>773.82560296846009</v>
      </c>
      <c r="S87" s="6">
        <f t="shared" si="19"/>
        <v>114572.6187755102</v>
      </c>
      <c r="U87" s="46"/>
    </row>
    <row r="88" spans="1:21" s="1" customFormat="1" hidden="1" outlineLevel="1" x14ac:dyDescent="0.25">
      <c r="A88" s="7" t="s">
        <v>1560</v>
      </c>
      <c r="B88" s="7" t="s">
        <v>1561</v>
      </c>
      <c r="C88" s="13">
        <v>153.35</v>
      </c>
      <c r="D88" s="6"/>
      <c r="E88" s="6">
        <v>77.42</v>
      </c>
      <c r="F88" s="6"/>
      <c r="G88" s="6"/>
      <c r="H88" s="6"/>
      <c r="I88" s="6"/>
      <c r="J88" s="6"/>
      <c r="K88" s="6"/>
      <c r="L88" s="6"/>
      <c r="M88" s="6"/>
      <c r="N88" s="6" t="str">
        <f t="shared" si="20"/>
        <v/>
      </c>
      <c r="O88" s="6" t="str">
        <f t="shared" si="21"/>
        <v/>
      </c>
      <c r="P88" s="6">
        <v>147</v>
      </c>
      <c r="Q88" s="6">
        <v>28115</v>
      </c>
      <c r="R88" s="6"/>
      <c r="S88" s="6"/>
      <c r="U88" s="46"/>
    </row>
    <row r="89" spans="1:21" s="1" customFormat="1" hidden="1" outlineLevel="1" x14ac:dyDescent="0.25">
      <c r="A89" s="7" t="s">
        <v>1558</v>
      </c>
      <c r="B89" s="7" t="s">
        <v>1559</v>
      </c>
      <c r="C89" s="13">
        <v>52.88</v>
      </c>
      <c r="D89" s="6">
        <v>46.09</v>
      </c>
      <c r="E89" s="6">
        <v>100</v>
      </c>
      <c r="F89" s="6"/>
      <c r="G89" s="6"/>
      <c r="H89" s="6"/>
      <c r="I89" s="6"/>
      <c r="J89" s="6">
        <v>1008</v>
      </c>
      <c r="K89" s="6">
        <v>53303.040000000001</v>
      </c>
      <c r="L89" s="6"/>
      <c r="M89" s="6"/>
      <c r="N89" s="6">
        <f t="shared" si="20"/>
        <v>1008</v>
      </c>
      <c r="O89" s="6">
        <f t="shared" si="21"/>
        <v>53303.040000000001</v>
      </c>
      <c r="P89" s="6">
        <v>452</v>
      </c>
      <c r="Q89" s="6">
        <v>24532</v>
      </c>
      <c r="R89" s="6"/>
      <c r="S89" s="6"/>
      <c r="U89" s="46"/>
    </row>
    <row r="90" spans="1:21" s="1" customFormat="1" hidden="1" outlineLevel="1" x14ac:dyDescent="0.25">
      <c r="A90" s="7" t="s">
        <v>1536</v>
      </c>
      <c r="B90" s="7" t="s">
        <v>1537</v>
      </c>
      <c r="C90" s="13">
        <v>148.06</v>
      </c>
      <c r="D90" s="6">
        <v>102.59</v>
      </c>
      <c r="E90" s="6">
        <v>100</v>
      </c>
      <c r="F90" s="6"/>
      <c r="G90" s="6"/>
      <c r="H90" s="6">
        <v>144</v>
      </c>
      <c r="I90" s="6">
        <v>21320.639999999999</v>
      </c>
      <c r="J90" s="6">
        <v>384</v>
      </c>
      <c r="K90" s="6">
        <v>56855.040000000001</v>
      </c>
      <c r="L90" s="6">
        <v>1800</v>
      </c>
      <c r="M90" s="6">
        <v>266508</v>
      </c>
      <c r="N90" s="6">
        <f t="shared" si="20"/>
        <v>2328</v>
      </c>
      <c r="O90" s="6">
        <f t="shared" si="21"/>
        <v>344683.68</v>
      </c>
      <c r="P90" s="6">
        <v>380</v>
      </c>
      <c r="Q90" s="6">
        <v>68026</v>
      </c>
      <c r="R90" s="6"/>
      <c r="S90" s="6"/>
      <c r="U90" s="46"/>
    </row>
    <row r="91" spans="1:21" s="1" customFormat="1" hidden="1" outlineLevel="1" x14ac:dyDescent="0.25">
      <c r="A91" s="7" t="s">
        <v>1504</v>
      </c>
      <c r="B91" s="7" t="s">
        <v>1505</v>
      </c>
      <c r="C91" s="13">
        <v>133.25</v>
      </c>
      <c r="D91" s="6">
        <v>82.45</v>
      </c>
      <c r="E91" s="6">
        <v>100</v>
      </c>
      <c r="F91" s="6">
        <v>36</v>
      </c>
      <c r="G91" s="6">
        <v>4797</v>
      </c>
      <c r="H91" s="6">
        <v>12</v>
      </c>
      <c r="I91" s="6">
        <v>1599</v>
      </c>
      <c r="J91" s="6">
        <v>1824</v>
      </c>
      <c r="K91" s="6">
        <v>243048</v>
      </c>
      <c r="L91" s="6">
        <v>1200</v>
      </c>
      <c r="M91" s="6">
        <v>159900</v>
      </c>
      <c r="N91" s="6">
        <f t="shared" si="20"/>
        <v>3072</v>
      </c>
      <c r="O91" s="6">
        <f t="shared" si="21"/>
        <v>409344</v>
      </c>
      <c r="P91" s="6">
        <v>332</v>
      </c>
      <c r="Q91" s="6">
        <v>46772</v>
      </c>
      <c r="R91" s="6"/>
      <c r="S91" s="6"/>
      <c r="U91" s="46"/>
    </row>
    <row r="92" spans="1:21" s="1" customFormat="1" hidden="1" outlineLevel="1" x14ac:dyDescent="0.25">
      <c r="A92" s="7" t="s">
        <v>1542</v>
      </c>
      <c r="B92" s="7" t="s">
        <v>1543</v>
      </c>
      <c r="C92" s="13">
        <v>148.06</v>
      </c>
      <c r="D92" s="6">
        <v>202.4</v>
      </c>
      <c r="E92" s="6">
        <v>100</v>
      </c>
      <c r="F92" s="6">
        <v>12</v>
      </c>
      <c r="G92" s="6">
        <v>1776.72</v>
      </c>
      <c r="H92" s="6">
        <v>36</v>
      </c>
      <c r="I92" s="6">
        <v>5330.16</v>
      </c>
      <c r="J92" s="6">
        <v>792</v>
      </c>
      <c r="K92" s="6">
        <v>117263.52</v>
      </c>
      <c r="L92" s="6">
        <v>1560</v>
      </c>
      <c r="M92" s="6">
        <v>230973.6</v>
      </c>
      <c r="N92" s="6">
        <f t="shared" si="20"/>
        <v>2400</v>
      </c>
      <c r="O92" s="6">
        <f t="shared" si="21"/>
        <v>355344</v>
      </c>
      <c r="P92" s="6">
        <v>264</v>
      </c>
      <c r="Q92" s="6">
        <v>47743</v>
      </c>
      <c r="R92" s="6">
        <f t="shared" si="18"/>
        <v>87.652173913043498</v>
      </c>
      <c r="S92" s="6">
        <f t="shared" si="19"/>
        <v>12977.78086956522</v>
      </c>
      <c r="U92" s="46"/>
    </row>
    <row r="93" spans="1:21" s="1" customFormat="1" hidden="1" outlineLevel="1" x14ac:dyDescent="0.25">
      <c r="A93" s="7" t="s">
        <v>1566</v>
      </c>
      <c r="B93" s="7" t="s">
        <v>1567</v>
      </c>
      <c r="C93" s="13">
        <v>941.24</v>
      </c>
      <c r="D93" s="6">
        <v>5098.5</v>
      </c>
      <c r="E93" s="6">
        <v>100</v>
      </c>
      <c r="F93" s="6">
        <v>2</v>
      </c>
      <c r="G93" s="6">
        <v>1882.48</v>
      </c>
      <c r="H93" s="6"/>
      <c r="I93" s="6"/>
      <c r="J93" s="6">
        <v>207</v>
      </c>
      <c r="K93" s="6">
        <v>194836.68</v>
      </c>
      <c r="L93" s="6"/>
      <c r="M93" s="6"/>
      <c r="N93" s="6">
        <f t="shared" si="20"/>
        <v>209</v>
      </c>
      <c r="O93" s="6">
        <f t="shared" si="21"/>
        <v>196719.16</v>
      </c>
      <c r="P93" s="6">
        <v>35</v>
      </c>
      <c r="Q93" s="6">
        <v>40568</v>
      </c>
      <c r="R93" s="6">
        <f t="shared" si="18"/>
        <v>199.69196822594881</v>
      </c>
      <c r="S93" s="6">
        <f t="shared" si="19"/>
        <v>187958.06817299206</v>
      </c>
      <c r="U93" s="46"/>
    </row>
    <row r="94" spans="1:21" s="1" customFormat="1" hidden="1" outlineLevel="1" x14ac:dyDescent="0.25">
      <c r="A94" s="7" t="s">
        <v>1568</v>
      </c>
      <c r="B94" s="7" t="s">
        <v>1569</v>
      </c>
      <c r="C94" s="13">
        <v>153.35</v>
      </c>
      <c r="D94" s="6">
        <v>366.75</v>
      </c>
      <c r="E94" s="6">
        <v>91.4</v>
      </c>
      <c r="F94" s="6">
        <v>120</v>
      </c>
      <c r="G94" s="6">
        <v>18402</v>
      </c>
      <c r="H94" s="6"/>
      <c r="I94" s="6"/>
      <c r="J94" s="6">
        <v>60</v>
      </c>
      <c r="K94" s="6">
        <v>9201</v>
      </c>
      <c r="L94" s="6"/>
      <c r="M94" s="6"/>
      <c r="N94" s="6">
        <f t="shared" si="20"/>
        <v>180</v>
      </c>
      <c r="O94" s="6">
        <f t="shared" si="21"/>
        <v>27603</v>
      </c>
      <c r="P94" s="6">
        <v>93</v>
      </c>
      <c r="Q94" s="6">
        <v>17430</v>
      </c>
      <c r="R94" s="6">
        <f t="shared" si="18"/>
        <v>30.552147239263807</v>
      </c>
      <c r="S94" s="6">
        <f t="shared" si="19"/>
        <v>4685.1717791411047</v>
      </c>
      <c r="U94" s="46"/>
    </row>
    <row r="95" spans="1:21" s="1" customFormat="1" hidden="1" outlineLevel="1" x14ac:dyDescent="0.25">
      <c r="A95" s="7" t="s">
        <v>1592</v>
      </c>
      <c r="B95" s="7" t="s">
        <v>1593</v>
      </c>
      <c r="C95" s="13">
        <v>133.25</v>
      </c>
      <c r="D95" s="6">
        <v>21.05</v>
      </c>
      <c r="E95" s="6">
        <v>100</v>
      </c>
      <c r="F95" s="6">
        <v>36</v>
      </c>
      <c r="G95" s="6">
        <v>4797</v>
      </c>
      <c r="H95" s="6">
        <v>12</v>
      </c>
      <c r="I95" s="6">
        <v>1599</v>
      </c>
      <c r="J95" s="6">
        <v>93</v>
      </c>
      <c r="K95" s="6">
        <v>12392.25</v>
      </c>
      <c r="L95" s="6">
        <v>600</v>
      </c>
      <c r="M95" s="6">
        <v>79950</v>
      </c>
      <c r="N95" s="6">
        <f t="shared" si="20"/>
        <v>741</v>
      </c>
      <c r="O95" s="6">
        <f t="shared" si="21"/>
        <v>98738.25</v>
      </c>
      <c r="P95" s="6">
        <v>144</v>
      </c>
      <c r="Q95" s="6">
        <v>21049</v>
      </c>
      <c r="R95" s="6"/>
      <c r="S95" s="6"/>
      <c r="U95" s="46"/>
    </row>
    <row r="96" spans="1:21" s="1" customFormat="1" hidden="1" outlineLevel="1" x14ac:dyDescent="0.25">
      <c r="A96" s="7" t="s">
        <v>1562</v>
      </c>
      <c r="B96" s="7" t="s">
        <v>1563</v>
      </c>
      <c r="C96" s="13">
        <v>941.24</v>
      </c>
      <c r="D96" s="6">
        <v>30.32</v>
      </c>
      <c r="E96" s="6">
        <v>100</v>
      </c>
      <c r="F96" s="6"/>
      <c r="G96" s="6"/>
      <c r="H96" s="6">
        <v>40</v>
      </c>
      <c r="I96" s="6">
        <v>37649.599999999999</v>
      </c>
      <c r="J96" s="6">
        <v>21</v>
      </c>
      <c r="K96" s="6">
        <v>19766.04</v>
      </c>
      <c r="L96" s="6"/>
      <c r="M96" s="6"/>
      <c r="N96" s="6">
        <f t="shared" si="20"/>
        <v>61</v>
      </c>
      <c r="O96" s="6">
        <f t="shared" si="21"/>
        <v>57415.64</v>
      </c>
      <c r="P96" s="6">
        <v>144</v>
      </c>
      <c r="Q96" s="6">
        <v>147629</v>
      </c>
      <c r="R96" s="6"/>
      <c r="S96" s="6"/>
      <c r="U96" s="46"/>
    </row>
    <row r="97" spans="1:21" s="1" customFormat="1" hidden="1" outlineLevel="1" x14ac:dyDescent="0.25">
      <c r="A97" s="7" t="s">
        <v>1544</v>
      </c>
      <c r="B97" s="7" t="s">
        <v>1545</v>
      </c>
      <c r="C97" s="13">
        <v>148.06</v>
      </c>
      <c r="D97" s="6">
        <v>1011.83</v>
      </c>
      <c r="E97" s="6">
        <v>100</v>
      </c>
      <c r="F97" s="6"/>
      <c r="G97" s="6"/>
      <c r="H97" s="6"/>
      <c r="I97" s="6"/>
      <c r="J97" s="6">
        <v>2124</v>
      </c>
      <c r="K97" s="6">
        <v>314479.44</v>
      </c>
      <c r="L97" s="6">
        <v>600</v>
      </c>
      <c r="M97" s="6">
        <v>88836</v>
      </c>
      <c r="N97" s="6">
        <f t="shared" si="20"/>
        <v>2724</v>
      </c>
      <c r="O97" s="6">
        <f t="shared" si="21"/>
        <v>403315.44</v>
      </c>
      <c r="P97" s="6">
        <v>116</v>
      </c>
      <c r="Q97" s="6">
        <v>20766</v>
      </c>
      <c r="R97" s="6">
        <f t="shared" si="18"/>
        <v>1746.1499659033634</v>
      </c>
      <c r="S97" s="6">
        <f t="shared" si="19"/>
        <v>258534.963951652</v>
      </c>
      <c r="U97" s="46"/>
    </row>
    <row r="98" spans="1:21" s="1" customFormat="1" hidden="1" outlineLevel="1" x14ac:dyDescent="0.25">
      <c r="A98" s="7" t="s">
        <v>1572</v>
      </c>
      <c r="B98" s="7" t="s">
        <v>1573</v>
      </c>
      <c r="C98" s="13">
        <v>153.35</v>
      </c>
      <c r="D98" s="6">
        <v>451</v>
      </c>
      <c r="E98" s="6">
        <v>98.92</v>
      </c>
      <c r="F98" s="6">
        <v>380</v>
      </c>
      <c r="G98" s="6">
        <v>58273</v>
      </c>
      <c r="H98" s="6">
        <v>60</v>
      </c>
      <c r="I98" s="6">
        <v>9201</v>
      </c>
      <c r="J98" s="6">
        <v>940</v>
      </c>
      <c r="K98" s="6">
        <v>144149</v>
      </c>
      <c r="L98" s="6"/>
      <c r="M98" s="6"/>
      <c r="N98" s="6">
        <f t="shared" si="20"/>
        <v>1380</v>
      </c>
      <c r="O98" s="6">
        <f t="shared" si="21"/>
        <v>211623</v>
      </c>
      <c r="P98" s="6">
        <v>27</v>
      </c>
      <c r="Q98" s="6">
        <v>4357</v>
      </c>
      <c r="R98" s="6">
        <f t="shared" si="18"/>
        <v>564.83370288248341</v>
      </c>
      <c r="S98" s="6">
        <f t="shared" si="19"/>
        <v>86617.248337028825</v>
      </c>
      <c r="U98" s="46"/>
    </row>
    <row r="99" spans="1:21" s="1" customFormat="1" hidden="1" outlineLevel="1" x14ac:dyDescent="0.25">
      <c r="A99" s="7" t="s">
        <v>1564</v>
      </c>
      <c r="B99" s="7" t="s">
        <v>1565</v>
      </c>
      <c r="C99" s="13">
        <v>153.35</v>
      </c>
      <c r="D99" s="6">
        <v>132.61000000000001</v>
      </c>
      <c r="E99" s="6">
        <v>100</v>
      </c>
      <c r="F99" s="6"/>
      <c r="G99" s="6"/>
      <c r="H99" s="6">
        <v>80</v>
      </c>
      <c r="I99" s="6">
        <v>12268</v>
      </c>
      <c r="J99" s="6">
        <v>90</v>
      </c>
      <c r="K99" s="6">
        <v>13801.5</v>
      </c>
      <c r="L99" s="6"/>
      <c r="M99" s="6"/>
      <c r="N99" s="6">
        <f t="shared" si="20"/>
        <v>170</v>
      </c>
      <c r="O99" s="6">
        <f t="shared" si="21"/>
        <v>26069.5</v>
      </c>
      <c r="P99" s="6">
        <v>147</v>
      </c>
      <c r="Q99" s="6">
        <v>26733</v>
      </c>
      <c r="R99" s="6"/>
      <c r="S99" s="6"/>
      <c r="U99" s="46"/>
    </row>
    <row r="100" spans="1:21" s="1" customFormat="1" hidden="1" outlineLevel="1" x14ac:dyDescent="0.25">
      <c r="A100" s="7" t="s">
        <v>1570</v>
      </c>
      <c r="B100" s="7" t="s">
        <v>1571</v>
      </c>
      <c r="C100" s="13">
        <v>951.81</v>
      </c>
      <c r="D100" s="6">
        <v>108.27</v>
      </c>
      <c r="E100" s="6">
        <v>100</v>
      </c>
      <c r="F100" s="6">
        <v>20</v>
      </c>
      <c r="G100" s="6">
        <v>19036.2</v>
      </c>
      <c r="H100" s="6"/>
      <c r="I100" s="6"/>
      <c r="J100" s="6">
        <v>186</v>
      </c>
      <c r="K100" s="6">
        <v>177036.66</v>
      </c>
      <c r="L100" s="6"/>
      <c r="M100" s="6"/>
      <c r="N100" s="6">
        <f t="shared" si="20"/>
        <v>206</v>
      </c>
      <c r="O100" s="6">
        <f t="shared" si="21"/>
        <v>196072.86</v>
      </c>
      <c r="P100" s="6">
        <v>103</v>
      </c>
      <c r="Q100" s="6">
        <v>109865</v>
      </c>
      <c r="R100" s="6"/>
      <c r="S100" s="6"/>
      <c r="U100" s="46"/>
    </row>
    <row r="101" spans="1:21" s="1" customFormat="1" hidden="1" outlineLevel="1" x14ac:dyDescent="0.25">
      <c r="A101" s="7" t="s">
        <v>1534</v>
      </c>
      <c r="B101" s="7" t="s">
        <v>1535</v>
      </c>
      <c r="C101" s="13">
        <v>148.06</v>
      </c>
      <c r="D101" s="6">
        <v>1146.4000000000001</v>
      </c>
      <c r="E101" s="6">
        <v>100</v>
      </c>
      <c r="F101" s="6"/>
      <c r="G101" s="6"/>
      <c r="H101" s="6"/>
      <c r="I101" s="6"/>
      <c r="J101" s="6">
        <v>1656</v>
      </c>
      <c r="K101" s="6">
        <v>245187.36</v>
      </c>
      <c r="L101" s="6">
        <v>1200</v>
      </c>
      <c r="M101" s="6">
        <v>177672</v>
      </c>
      <c r="N101" s="6">
        <f t="shared" si="20"/>
        <v>2856</v>
      </c>
      <c r="O101" s="6">
        <f t="shared" si="21"/>
        <v>422859.36</v>
      </c>
      <c r="P101" s="6">
        <v>240</v>
      </c>
      <c r="Q101" s="6">
        <v>43736</v>
      </c>
      <c r="R101" s="6">
        <f t="shared" si="18"/>
        <v>1395.9860432658759</v>
      </c>
      <c r="S101" s="6">
        <f t="shared" si="19"/>
        <v>206689.69356594558</v>
      </c>
      <c r="U101" s="46"/>
    </row>
    <row r="102" spans="1:21" s="1" customFormat="1" hidden="1" outlineLevel="1" x14ac:dyDescent="0.25">
      <c r="A102" s="7" t="s">
        <v>1354</v>
      </c>
      <c r="B102" s="7" t="s">
        <v>1603</v>
      </c>
      <c r="C102" s="13">
        <v>135.37</v>
      </c>
      <c r="D102" s="6">
        <v>268.83</v>
      </c>
      <c r="E102" s="6">
        <v>100</v>
      </c>
      <c r="F102" s="6"/>
      <c r="G102" s="6"/>
      <c r="H102" s="6"/>
      <c r="I102" s="6"/>
      <c r="J102" s="6">
        <v>1644</v>
      </c>
      <c r="K102" s="6">
        <v>222548.28</v>
      </c>
      <c r="L102" s="6"/>
      <c r="M102" s="6"/>
      <c r="N102" s="6">
        <f t="shared" si="20"/>
        <v>1644</v>
      </c>
      <c r="O102" s="6">
        <f t="shared" si="21"/>
        <v>222548.28</v>
      </c>
      <c r="P102" s="6">
        <v>988</v>
      </c>
      <c r="Q102" s="6">
        <v>167164</v>
      </c>
      <c r="R102" s="6">
        <f t="shared" si="18"/>
        <v>543.22999665215934</v>
      </c>
      <c r="S102" s="6">
        <f t="shared" si="19"/>
        <v>73537.044646802809</v>
      </c>
      <c r="U102" s="46"/>
    </row>
    <row r="103" spans="1:21" s="1" customFormat="1" hidden="1" outlineLevel="1" x14ac:dyDescent="0.25">
      <c r="A103" s="7" t="s">
        <v>1590</v>
      </c>
      <c r="B103" s="7" t="s">
        <v>1591</v>
      </c>
      <c r="C103" s="13">
        <v>133.25</v>
      </c>
      <c r="D103" s="6">
        <v>73.400000000000006</v>
      </c>
      <c r="E103" s="6">
        <v>100</v>
      </c>
      <c r="F103" s="6"/>
      <c r="G103" s="6"/>
      <c r="H103" s="6"/>
      <c r="I103" s="6"/>
      <c r="J103" s="6">
        <v>288</v>
      </c>
      <c r="K103" s="6">
        <v>38376</v>
      </c>
      <c r="L103" s="6">
        <v>120</v>
      </c>
      <c r="M103" s="6">
        <v>15990</v>
      </c>
      <c r="N103" s="6">
        <f t="shared" si="20"/>
        <v>408</v>
      </c>
      <c r="O103" s="6">
        <f t="shared" si="21"/>
        <v>54366</v>
      </c>
      <c r="P103" s="6">
        <v>212</v>
      </c>
      <c r="Q103" s="6">
        <v>33652</v>
      </c>
      <c r="R103" s="6"/>
      <c r="S103" s="6"/>
      <c r="U103" s="46"/>
    </row>
    <row r="104" spans="1:21" s="1" customFormat="1" hidden="1" outlineLevel="1" x14ac:dyDescent="0.25">
      <c r="A104" s="7" t="s">
        <v>1546</v>
      </c>
      <c r="B104" s="7" t="s">
        <v>1547</v>
      </c>
      <c r="C104" s="13">
        <v>148.06</v>
      </c>
      <c r="D104" s="6">
        <v>724.5</v>
      </c>
      <c r="E104" s="6">
        <v>100</v>
      </c>
      <c r="F104" s="6"/>
      <c r="G104" s="6"/>
      <c r="H104" s="6">
        <v>60</v>
      </c>
      <c r="I104" s="6">
        <v>8883.6</v>
      </c>
      <c r="J104" s="6">
        <v>1236</v>
      </c>
      <c r="K104" s="6">
        <v>183002.16</v>
      </c>
      <c r="L104" s="6">
        <v>600</v>
      </c>
      <c r="M104" s="6">
        <v>88836</v>
      </c>
      <c r="N104" s="6">
        <f t="shared" si="20"/>
        <v>1896</v>
      </c>
      <c r="O104" s="6">
        <f t="shared" si="21"/>
        <v>280721.76</v>
      </c>
      <c r="P104" s="6">
        <v>184</v>
      </c>
      <c r="Q104" s="6">
        <v>33631</v>
      </c>
      <c r="R104" s="6">
        <f t="shared" si="18"/>
        <v>928.91925465838506</v>
      </c>
      <c r="S104" s="6">
        <f t="shared" si="19"/>
        <v>137535.7848447205</v>
      </c>
      <c r="U104" s="46"/>
    </row>
    <row r="105" spans="1:21" s="1" customFormat="1" hidden="1" outlineLevel="1" x14ac:dyDescent="0.25">
      <c r="A105" s="7" t="s">
        <v>1538</v>
      </c>
      <c r="B105" s="7" t="s">
        <v>1539</v>
      </c>
      <c r="C105" s="13">
        <v>148.06</v>
      </c>
      <c r="D105" s="6">
        <v>459.96</v>
      </c>
      <c r="E105" s="6">
        <v>100</v>
      </c>
      <c r="F105" s="6"/>
      <c r="G105" s="6"/>
      <c r="H105" s="6">
        <v>36</v>
      </c>
      <c r="I105" s="6">
        <v>5330.16</v>
      </c>
      <c r="J105" s="6">
        <v>1692</v>
      </c>
      <c r="K105" s="6">
        <v>250517.52</v>
      </c>
      <c r="L105" s="6">
        <v>1200</v>
      </c>
      <c r="M105" s="6">
        <v>177672</v>
      </c>
      <c r="N105" s="6">
        <f t="shared" si="20"/>
        <v>2928</v>
      </c>
      <c r="O105" s="6">
        <f t="shared" si="21"/>
        <v>433519.68</v>
      </c>
      <c r="P105" s="6">
        <v>232</v>
      </c>
      <c r="Q105" s="6">
        <v>41830</v>
      </c>
      <c r="R105" s="6">
        <f t="shared" si="18"/>
        <v>1029.855465692669</v>
      </c>
      <c r="S105" s="6">
        <f t="shared" si="19"/>
        <v>152480.40025045659</v>
      </c>
      <c r="U105" s="46"/>
    </row>
    <row r="106" spans="1:21" s="1" customFormat="1" hidden="1" outlineLevel="1" x14ac:dyDescent="0.25">
      <c r="A106" s="7" t="s">
        <v>1540</v>
      </c>
      <c r="B106" s="7" t="s">
        <v>1541</v>
      </c>
      <c r="C106" s="13">
        <v>148.06</v>
      </c>
      <c r="D106" s="6">
        <v>3900.5</v>
      </c>
      <c r="E106" s="6">
        <v>100</v>
      </c>
      <c r="F106" s="6"/>
      <c r="G106" s="6"/>
      <c r="H106" s="6"/>
      <c r="I106" s="6"/>
      <c r="J106" s="6">
        <v>2508</v>
      </c>
      <c r="K106" s="6">
        <v>371334.48</v>
      </c>
      <c r="L106" s="6">
        <v>1200</v>
      </c>
      <c r="M106" s="6">
        <v>177672</v>
      </c>
      <c r="N106" s="6">
        <f t="shared" si="20"/>
        <v>3708</v>
      </c>
      <c r="O106" s="6">
        <f t="shared" si="21"/>
        <v>549006.48</v>
      </c>
      <c r="P106" s="6">
        <v>120</v>
      </c>
      <c r="Q106" s="6">
        <v>22009</v>
      </c>
      <c r="R106" s="6">
        <f t="shared" si="18"/>
        <v>2392.2609921804897</v>
      </c>
      <c r="S106" s="6">
        <f t="shared" si="19"/>
        <v>354198.1625022433</v>
      </c>
      <c r="U106" s="46"/>
    </row>
    <row r="107" spans="1:21" s="1" customFormat="1" hidden="1" outlineLevel="1" x14ac:dyDescent="0.25">
      <c r="A107" s="7" t="s">
        <v>1440</v>
      </c>
      <c r="B107" s="7" t="s">
        <v>1441</v>
      </c>
      <c r="C107" s="13">
        <v>105.76</v>
      </c>
      <c r="D107" s="6">
        <v>63.68</v>
      </c>
      <c r="E107" s="6">
        <v>100</v>
      </c>
      <c r="F107" s="6">
        <v>48</v>
      </c>
      <c r="G107" s="6">
        <v>5076.4799999999996</v>
      </c>
      <c r="H107" s="6">
        <v>960</v>
      </c>
      <c r="I107" s="6">
        <v>101529.60000000001</v>
      </c>
      <c r="J107" s="6">
        <v>2544</v>
      </c>
      <c r="K107" s="6">
        <v>269053.44</v>
      </c>
      <c r="L107" s="6"/>
      <c r="M107" s="6"/>
      <c r="N107" s="6">
        <f t="shared" si="20"/>
        <v>3552</v>
      </c>
      <c r="O107" s="6">
        <f t="shared" si="21"/>
        <v>375659.52000000002</v>
      </c>
      <c r="P107" s="6">
        <v>792</v>
      </c>
      <c r="Q107" s="6">
        <v>85369</v>
      </c>
      <c r="R107" s="6"/>
      <c r="S107" s="6"/>
      <c r="U107" s="46"/>
    </row>
    <row r="108" spans="1:21" s="1" customFormat="1" hidden="1" outlineLevel="1" x14ac:dyDescent="0.25">
      <c r="A108" s="7" t="s">
        <v>1478</v>
      </c>
      <c r="B108" s="7" t="s">
        <v>1479</v>
      </c>
      <c r="C108" s="13">
        <v>26.44</v>
      </c>
      <c r="D108" s="6">
        <v>455.09</v>
      </c>
      <c r="E108" s="6">
        <v>100</v>
      </c>
      <c r="F108" s="6"/>
      <c r="G108" s="6"/>
      <c r="H108" s="6"/>
      <c r="I108" s="6"/>
      <c r="J108" s="6">
        <v>6508</v>
      </c>
      <c r="K108" s="6">
        <v>172071.52</v>
      </c>
      <c r="L108" s="6"/>
      <c r="M108" s="6"/>
      <c r="N108" s="6">
        <f t="shared" si="20"/>
        <v>6508</v>
      </c>
      <c r="O108" s="6">
        <f t="shared" si="21"/>
        <v>172071.52000000002</v>
      </c>
      <c r="P108" s="6">
        <v>96</v>
      </c>
      <c r="Q108" s="6">
        <v>2830</v>
      </c>
      <c r="R108" s="6">
        <f t="shared" si="18"/>
        <v>3933.9157529279923</v>
      </c>
      <c r="S108" s="6">
        <f t="shared" si="19"/>
        <v>104012.73250741612</v>
      </c>
      <c r="U108" s="46"/>
    </row>
    <row r="109" spans="1:21" s="1" customFormat="1" hidden="1" outlineLevel="1" x14ac:dyDescent="0.25">
      <c r="A109" s="7" t="s">
        <v>1574</v>
      </c>
      <c r="B109" s="7" t="s">
        <v>1575</v>
      </c>
      <c r="C109" s="13">
        <v>951.81</v>
      </c>
      <c r="D109" s="6"/>
      <c r="E109" s="6">
        <v>100</v>
      </c>
      <c r="F109" s="6"/>
      <c r="G109" s="6"/>
      <c r="H109" s="6"/>
      <c r="I109" s="6"/>
      <c r="J109" s="6">
        <v>315</v>
      </c>
      <c r="K109" s="6">
        <v>299820.15000000002</v>
      </c>
      <c r="L109" s="6"/>
      <c r="M109" s="6"/>
      <c r="N109" s="6">
        <f t="shared" si="20"/>
        <v>315</v>
      </c>
      <c r="O109" s="6">
        <f t="shared" si="21"/>
        <v>299820.14999999997</v>
      </c>
      <c r="P109" s="6">
        <v>43</v>
      </c>
      <c r="Q109" s="6">
        <v>51556</v>
      </c>
      <c r="R109" s="6"/>
      <c r="S109" s="6"/>
      <c r="U109" s="46"/>
    </row>
    <row r="110" spans="1:21" s="1" customFormat="1" hidden="1" outlineLevel="1" x14ac:dyDescent="0.25">
      <c r="A110" s="7" t="s">
        <v>1584</v>
      </c>
      <c r="B110" s="7" t="s">
        <v>1585</v>
      </c>
      <c r="C110" s="13">
        <v>133.25</v>
      </c>
      <c r="D110" s="6">
        <v>98.43</v>
      </c>
      <c r="E110" s="6">
        <v>100</v>
      </c>
      <c r="F110" s="6">
        <v>444</v>
      </c>
      <c r="G110" s="6">
        <v>59163</v>
      </c>
      <c r="H110" s="6"/>
      <c r="I110" s="6"/>
      <c r="J110" s="6">
        <v>504</v>
      </c>
      <c r="K110" s="6">
        <v>67158</v>
      </c>
      <c r="L110" s="6">
        <v>120</v>
      </c>
      <c r="M110" s="6">
        <v>15990</v>
      </c>
      <c r="N110" s="6">
        <f t="shared" si="20"/>
        <v>1068</v>
      </c>
      <c r="O110" s="6">
        <f t="shared" si="21"/>
        <v>142311</v>
      </c>
      <c r="P110" s="6">
        <v>140</v>
      </c>
      <c r="Q110" s="6">
        <v>21648</v>
      </c>
      <c r="R110" s="6"/>
      <c r="S110" s="6"/>
      <c r="U110" s="46"/>
    </row>
    <row r="111" spans="1:21" s="1" customFormat="1" hidden="1" outlineLevel="1" x14ac:dyDescent="0.25">
      <c r="A111" s="7" t="s">
        <v>1369</v>
      </c>
      <c r="B111" s="7" t="s">
        <v>1370</v>
      </c>
      <c r="C111" s="13">
        <v>1036.05</v>
      </c>
      <c r="D111" s="6"/>
      <c r="E111" s="6">
        <v>100</v>
      </c>
      <c r="F111" s="6"/>
      <c r="G111" s="6"/>
      <c r="H111" s="6"/>
      <c r="I111" s="6"/>
      <c r="J111" s="6">
        <v>12</v>
      </c>
      <c r="K111" s="6">
        <v>12432.6</v>
      </c>
      <c r="L111" s="6"/>
      <c r="M111" s="6"/>
      <c r="N111" s="6">
        <f t="shared" si="20"/>
        <v>12</v>
      </c>
      <c r="O111" s="6">
        <f t="shared" si="21"/>
        <v>12432.599999999999</v>
      </c>
      <c r="P111" s="6"/>
      <c r="Q111" s="6"/>
      <c r="R111" s="6"/>
      <c r="S111" s="6"/>
      <c r="U111" s="46"/>
    </row>
    <row r="112" spans="1:21" s="1" customFormat="1" hidden="1" outlineLevel="1" x14ac:dyDescent="0.25">
      <c r="A112" s="7" t="s">
        <v>1371</v>
      </c>
      <c r="B112" s="7" t="s">
        <v>1372</v>
      </c>
      <c r="C112" s="13">
        <v>571.75</v>
      </c>
      <c r="D112" s="6"/>
      <c r="E112" s="6">
        <v>100</v>
      </c>
      <c r="F112" s="6">
        <v>18</v>
      </c>
      <c r="G112" s="6">
        <v>10291.5</v>
      </c>
      <c r="H112" s="6"/>
      <c r="I112" s="6"/>
      <c r="J112" s="6">
        <v>0</v>
      </c>
      <c r="K112" s="6">
        <v>0</v>
      </c>
      <c r="L112" s="6"/>
      <c r="M112" s="6"/>
      <c r="N112" s="6">
        <f t="shared" si="20"/>
        <v>18</v>
      </c>
      <c r="O112" s="6">
        <f t="shared" si="21"/>
        <v>10291.5</v>
      </c>
      <c r="P112" s="6"/>
      <c r="Q112" s="6"/>
      <c r="R112" s="6"/>
      <c r="S112" s="6"/>
      <c r="U112" s="46"/>
    </row>
    <row r="113" spans="1:21" s="1" customFormat="1" hidden="1" outlineLevel="1" x14ac:dyDescent="0.25">
      <c r="A113" s="7" t="s">
        <v>1397</v>
      </c>
      <c r="B113" s="7" t="s">
        <v>1398</v>
      </c>
      <c r="C113" s="13">
        <v>232.66</v>
      </c>
      <c r="D113" s="6"/>
      <c r="E113" s="6">
        <v>96.77</v>
      </c>
      <c r="F113" s="6"/>
      <c r="G113" s="6"/>
      <c r="H113" s="6"/>
      <c r="I113" s="6"/>
      <c r="J113" s="6"/>
      <c r="K113" s="6"/>
      <c r="L113" s="6"/>
      <c r="M113" s="6"/>
      <c r="N113" s="6" t="str">
        <f t="shared" si="20"/>
        <v/>
      </c>
      <c r="O113" s="6" t="str">
        <f t="shared" si="21"/>
        <v/>
      </c>
      <c r="P113" s="6"/>
      <c r="Q113" s="6"/>
      <c r="R113" s="6"/>
      <c r="S113" s="6"/>
      <c r="U113" s="46"/>
    </row>
    <row r="114" spans="1:21" s="1" customFormat="1" hidden="1" outlineLevel="1" x14ac:dyDescent="0.25">
      <c r="A114" s="7" t="s">
        <v>1363</v>
      </c>
      <c r="B114" s="7" t="s">
        <v>1364</v>
      </c>
      <c r="C114" s="13">
        <v>652.33000000000004</v>
      </c>
      <c r="D114" s="6"/>
      <c r="E114" s="6">
        <v>100</v>
      </c>
      <c r="F114" s="6"/>
      <c r="G114" s="6"/>
      <c r="H114" s="6">
        <v>2</v>
      </c>
      <c r="I114" s="6">
        <v>1304.6600000000001</v>
      </c>
      <c r="J114" s="6">
        <v>0</v>
      </c>
      <c r="K114" s="6">
        <v>0</v>
      </c>
      <c r="L114" s="6"/>
      <c r="M114" s="6"/>
      <c r="N114" s="6">
        <f t="shared" ref="N114:N130" si="22">IF(J114+L114+H114+F114&lt;=0,"",J114+L114+H114+F114)</f>
        <v>2</v>
      </c>
      <c r="O114" s="6">
        <f t="shared" ref="O114:O130" si="23">IFERROR(C114*N114,"")</f>
        <v>1304.6600000000001</v>
      </c>
      <c r="P114" s="6">
        <v>2</v>
      </c>
      <c r="Q114" s="6">
        <v>1631</v>
      </c>
      <c r="R114" s="6"/>
      <c r="S114" s="6"/>
      <c r="U114" s="46"/>
    </row>
    <row r="115" spans="1:21" s="1" customFormat="1" hidden="1" outlineLevel="1" x14ac:dyDescent="0.25">
      <c r="A115" s="7" t="s">
        <v>1365</v>
      </c>
      <c r="B115" s="7" t="s">
        <v>1366</v>
      </c>
      <c r="C115" s="13">
        <v>745.19</v>
      </c>
      <c r="D115" s="6"/>
      <c r="E115" s="6">
        <v>100</v>
      </c>
      <c r="F115" s="6"/>
      <c r="G115" s="6"/>
      <c r="H115" s="6"/>
      <c r="I115" s="6"/>
      <c r="J115" s="6">
        <v>4</v>
      </c>
      <c r="K115" s="6">
        <v>2980.76</v>
      </c>
      <c r="L115" s="6"/>
      <c r="M115" s="6"/>
      <c r="N115" s="6">
        <f t="shared" si="22"/>
        <v>4</v>
      </c>
      <c r="O115" s="6">
        <f t="shared" si="23"/>
        <v>2980.76</v>
      </c>
      <c r="P115" s="6">
        <v>4</v>
      </c>
      <c r="Q115" s="6">
        <v>4036</v>
      </c>
      <c r="R115" s="6"/>
      <c r="S115" s="6"/>
      <c r="U115" s="46"/>
    </row>
    <row r="116" spans="1:21" s="1" customFormat="1" hidden="1" outlineLevel="1" x14ac:dyDescent="0.25">
      <c r="A116" s="7" t="s">
        <v>1367</v>
      </c>
      <c r="B116" s="7" t="s">
        <v>1368</v>
      </c>
      <c r="C116" s="13">
        <v>855.53</v>
      </c>
      <c r="D116" s="6"/>
      <c r="E116" s="6">
        <v>100</v>
      </c>
      <c r="F116" s="6"/>
      <c r="G116" s="6"/>
      <c r="H116" s="6">
        <v>2</v>
      </c>
      <c r="I116" s="6">
        <v>1711.06</v>
      </c>
      <c r="J116" s="6">
        <v>0</v>
      </c>
      <c r="K116" s="6">
        <v>0</v>
      </c>
      <c r="L116" s="6"/>
      <c r="M116" s="6"/>
      <c r="N116" s="6">
        <f t="shared" si="22"/>
        <v>2</v>
      </c>
      <c r="O116" s="6">
        <f t="shared" si="23"/>
        <v>1711.06</v>
      </c>
      <c r="P116" s="6">
        <v>8</v>
      </c>
      <c r="Q116" s="6">
        <v>8555</v>
      </c>
      <c r="R116" s="6"/>
      <c r="S116" s="6"/>
      <c r="U116" s="46"/>
    </row>
    <row r="117" spans="1:21" s="1" customFormat="1" hidden="1" outlineLevel="1" x14ac:dyDescent="0.25">
      <c r="A117" s="7" t="s">
        <v>1492</v>
      </c>
      <c r="B117" s="7" t="s">
        <v>1493</v>
      </c>
      <c r="C117" s="13">
        <v>765.99</v>
      </c>
      <c r="D117" s="6"/>
      <c r="E117" s="6">
        <v>100</v>
      </c>
      <c r="F117" s="6"/>
      <c r="G117" s="6"/>
      <c r="H117" s="6"/>
      <c r="I117" s="6"/>
      <c r="J117" s="6">
        <v>49</v>
      </c>
      <c r="K117" s="6">
        <v>37533.51</v>
      </c>
      <c r="L117" s="6"/>
      <c r="M117" s="6"/>
      <c r="N117" s="6">
        <f t="shared" si="22"/>
        <v>49</v>
      </c>
      <c r="O117" s="6">
        <f t="shared" si="23"/>
        <v>37533.51</v>
      </c>
      <c r="P117" s="6">
        <v>7</v>
      </c>
      <c r="Q117" s="6">
        <v>6383</v>
      </c>
      <c r="R117" s="6"/>
      <c r="S117" s="6"/>
      <c r="U117" s="46"/>
    </row>
    <row r="118" spans="1:21" s="1" customFormat="1" hidden="1" outlineLevel="1" x14ac:dyDescent="0.25">
      <c r="A118" s="7" t="s">
        <v>1494</v>
      </c>
      <c r="B118" s="7" t="s">
        <v>1495</v>
      </c>
      <c r="C118" s="13">
        <v>713.73</v>
      </c>
      <c r="D118" s="6"/>
      <c r="E118" s="6">
        <v>100</v>
      </c>
      <c r="F118" s="6"/>
      <c r="G118" s="6"/>
      <c r="H118" s="6">
        <v>11</v>
      </c>
      <c r="I118" s="6">
        <v>7851.03</v>
      </c>
      <c r="J118" s="6">
        <v>0</v>
      </c>
      <c r="K118" s="6">
        <v>0</v>
      </c>
      <c r="L118" s="6"/>
      <c r="M118" s="6"/>
      <c r="N118" s="6">
        <f t="shared" si="22"/>
        <v>11</v>
      </c>
      <c r="O118" s="6">
        <f t="shared" si="23"/>
        <v>7851.0300000000007</v>
      </c>
      <c r="P118" s="6">
        <v>15</v>
      </c>
      <c r="Q118" s="6">
        <v>13085</v>
      </c>
      <c r="R118" s="6"/>
      <c r="S118" s="6"/>
      <c r="U118" s="46"/>
    </row>
    <row r="119" spans="1:21" s="1" customFormat="1" hidden="1" outlineLevel="1" x14ac:dyDescent="0.25">
      <c r="A119" s="7" t="s">
        <v>1496</v>
      </c>
      <c r="B119" s="7" t="s">
        <v>1497</v>
      </c>
      <c r="C119" s="13">
        <v>684.89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 t="str">
        <f t="shared" si="22"/>
        <v/>
      </c>
      <c r="O119" s="6" t="str">
        <f t="shared" si="23"/>
        <v/>
      </c>
      <c r="P119" s="6"/>
      <c r="Q119" s="6"/>
      <c r="R119" s="6"/>
      <c r="S119" s="6"/>
      <c r="U119" s="46"/>
    </row>
    <row r="120" spans="1:21" s="1" customFormat="1" hidden="1" outlineLevel="1" x14ac:dyDescent="0.25">
      <c r="A120" s="7" t="s">
        <v>1482</v>
      </c>
      <c r="B120" s="7" t="s">
        <v>1483</v>
      </c>
      <c r="C120" s="13">
        <v>542.15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 t="str">
        <f t="shared" si="22"/>
        <v/>
      </c>
      <c r="O120" s="6" t="str">
        <f t="shared" si="23"/>
        <v/>
      </c>
      <c r="P120" s="6"/>
      <c r="Q120" s="6"/>
      <c r="R120" s="6"/>
      <c r="S120" s="6"/>
      <c r="U120" s="46"/>
    </row>
    <row r="121" spans="1:21" s="1" customFormat="1" ht="17.25" hidden="1" customHeight="1" outlineLevel="1" x14ac:dyDescent="0.25">
      <c r="A121" s="7" t="s">
        <v>1484</v>
      </c>
      <c r="B121" s="7" t="s">
        <v>1485</v>
      </c>
      <c r="C121" s="13">
        <v>681.74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 t="str">
        <f t="shared" si="22"/>
        <v/>
      </c>
      <c r="O121" s="6" t="str">
        <f t="shared" si="23"/>
        <v/>
      </c>
      <c r="P121" s="6"/>
      <c r="Q121" s="6"/>
      <c r="R121" s="6"/>
      <c r="S121" s="6"/>
      <c r="U121" s="46"/>
    </row>
    <row r="122" spans="1:21" s="1" customFormat="1" hidden="1" outlineLevel="1" x14ac:dyDescent="0.25">
      <c r="A122" s="7" t="s">
        <v>1486</v>
      </c>
      <c r="B122" s="7" t="s">
        <v>1487</v>
      </c>
      <c r="C122" s="13">
        <v>796.63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 t="str">
        <f t="shared" si="22"/>
        <v/>
      </c>
      <c r="O122" s="6" t="str">
        <f t="shared" si="23"/>
        <v/>
      </c>
      <c r="P122" s="6"/>
      <c r="Q122" s="6"/>
      <c r="R122" s="6"/>
      <c r="S122" s="6"/>
      <c r="U122" s="46"/>
    </row>
    <row r="123" spans="1:21" s="1" customFormat="1" hidden="1" outlineLevel="1" x14ac:dyDescent="0.25">
      <c r="A123" s="7" t="s">
        <v>1488</v>
      </c>
      <c r="B123" s="7" t="s">
        <v>1489</v>
      </c>
      <c r="C123" s="13">
        <v>785.15</v>
      </c>
      <c r="D123" s="6"/>
      <c r="E123" s="6">
        <v>100</v>
      </c>
      <c r="F123" s="6"/>
      <c r="G123" s="6"/>
      <c r="H123" s="6">
        <v>4</v>
      </c>
      <c r="I123" s="6">
        <v>3140.6</v>
      </c>
      <c r="J123" s="6">
        <v>0</v>
      </c>
      <c r="K123" s="6">
        <v>0</v>
      </c>
      <c r="L123" s="6"/>
      <c r="M123" s="6"/>
      <c r="N123" s="6">
        <f t="shared" si="22"/>
        <v>4</v>
      </c>
      <c r="O123" s="6">
        <f t="shared" si="23"/>
        <v>3140.6</v>
      </c>
      <c r="P123" s="6">
        <v>17</v>
      </c>
      <c r="Q123" s="6">
        <v>16357</v>
      </c>
      <c r="R123" s="6"/>
      <c r="S123" s="6"/>
      <c r="U123" s="46"/>
    </row>
    <row r="124" spans="1:21" s="1" customFormat="1" hidden="1" outlineLevel="1" x14ac:dyDescent="0.25">
      <c r="A124" s="7" t="s">
        <v>1490</v>
      </c>
      <c r="B124" s="7" t="s">
        <v>1491</v>
      </c>
      <c r="C124" s="13">
        <v>842.59</v>
      </c>
      <c r="D124" s="6"/>
      <c r="E124" s="6">
        <v>10.75</v>
      </c>
      <c r="F124" s="6"/>
      <c r="G124" s="6"/>
      <c r="H124" s="6"/>
      <c r="I124" s="6"/>
      <c r="J124" s="6"/>
      <c r="K124" s="6"/>
      <c r="L124" s="6"/>
      <c r="M124" s="6"/>
      <c r="N124" s="6" t="str">
        <f t="shared" si="22"/>
        <v/>
      </c>
      <c r="O124" s="6" t="str">
        <f t="shared" si="23"/>
        <v/>
      </c>
      <c r="P124" s="6">
        <v>20</v>
      </c>
      <c r="Q124" s="6">
        <v>21416</v>
      </c>
      <c r="R124" s="6"/>
      <c r="S124" s="6"/>
      <c r="U124" s="46"/>
    </row>
    <row r="125" spans="1:21" s="1" customFormat="1" hidden="1" outlineLevel="1" x14ac:dyDescent="0.25">
      <c r="A125" s="7" t="s">
        <v>1350</v>
      </c>
      <c r="B125" s="7" t="s">
        <v>1351</v>
      </c>
      <c r="C125" s="13">
        <v>133.06</v>
      </c>
      <c r="D125" s="6"/>
      <c r="E125" s="6">
        <v>100</v>
      </c>
      <c r="F125" s="6"/>
      <c r="G125" s="6"/>
      <c r="H125" s="6"/>
      <c r="I125" s="6"/>
      <c r="J125" s="6">
        <v>161</v>
      </c>
      <c r="K125" s="6">
        <v>21422.66</v>
      </c>
      <c r="L125" s="6"/>
      <c r="M125" s="6"/>
      <c r="N125" s="6">
        <f t="shared" si="22"/>
        <v>161</v>
      </c>
      <c r="O125" s="6">
        <f t="shared" si="23"/>
        <v>21422.66</v>
      </c>
      <c r="P125" s="6"/>
      <c r="Q125" s="6"/>
      <c r="R125" s="6"/>
      <c r="S125" s="6"/>
      <c r="U125" s="46"/>
    </row>
    <row r="126" spans="1:21" s="1" customFormat="1" hidden="1" outlineLevel="1" x14ac:dyDescent="0.25">
      <c r="A126" s="7" t="s">
        <v>1426</v>
      </c>
      <c r="B126" s="7" t="s">
        <v>1427</v>
      </c>
      <c r="C126" s="13">
        <v>117.18</v>
      </c>
      <c r="D126" s="6"/>
      <c r="E126" s="6">
        <v>100</v>
      </c>
      <c r="F126" s="6"/>
      <c r="G126" s="6"/>
      <c r="H126" s="6"/>
      <c r="I126" s="6"/>
      <c r="J126" s="6">
        <v>9</v>
      </c>
      <c r="K126" s="6">
        <v>1054.6199999999999</v>
      </c>
      <c r="L126" s="6"/>
      <c r="M126" s="6"/>
      <c r="N126" s="6">
        <f t="shared" si="22"/>
        <v>9</v>
      </c>
      <c r="O126" s="6">
        <f t="shared" si="23"/>
        <v>1054.6200000000001</v>
      </c>
      <c r="P126" s="6"/>
      <c r="Q126" s="6"/>
      <c r="R126" s="6"/>
      <c r="S126" s="6"/>
      <c r="U126" s="46"/>
    </row>
    <row r="127" spans="1:21" s="1" customFormat="1" hidden="1" outlineLevel="1" x14ac:dyDescent="0.25">
      <c r="A127" s="7" t="s">
        <v>1432</v>
      </c>
      <c r="B127" s="7" t="s">
        <v>1433</v>
      </c>
      <c r="C127" s="13">
        <v>133.06</v>
      </c>
      <c r="D127" s="6"/>
      <c r="E127" s="6">
        <v>100</v>
      </c>
      <c r="F127" s="6"/>
      <c r="G127" s="6"/>
      <c r="H127" s="6"/>
      <c r="I127" s="6"/>
      <c r="J127" s="6">
        <v>102</v>
      </c>
      <c r="K127" s="6">
        <v>13572.12</v>
      </c>
      <c r="L127" s="6"/>
      <c r="M127" s="6"/>
      <c r="N127" s="6">
        <f t="shared" si="22"/>
        <v>102</v>
      </c>
      <c r="O127" s="6">
        <f t="shared" si="23"/>
        <v>13572.12</v>
      </c>
      <c r="P127" s="6"/>
      <c r="Q127" s="6"/>
      <c r="R127" s="6"/>
      <c r="S127" s="6"/>
      <c r="U127" s="46"/>
    </row>
    <row r="128" spans="1:21" s="1" customFormat="1" hidden="1" outlineLevel="1" x14ac:dyDescent="0.25">
      <c r="A128" s="7" t="s">
        <v>1428</v>
      </c>
      <c r="B128" s="7" t="s">
        <v>1429</v>
      </c>
      <c r="C128" s="13">
        <v>130</v>
      </c>
      <c r="D128" s="6"/>
      <c r="E128" s="6">
        <v>100</v>
      </c>
      <c r="F128" s="6"/>
      <c r="G128" s="6"/>
      <c r="H128" s="6"/>
      <c r="I128" s="6"/>
      <c r="J128" s="6">
        <v>215</v>
      </c>
      <c r="K128" s="6">
        <v>27950</v>
      </c>
      <c r="L128" s="6"/>
      <c r="M128" s="6"/>
      <c r="N128" s="6">
        <f t="shared" si="22"/>
        <v>215</v>
      </c>
      <c r="O128" s="6">
        <f t="shared" si="23"/>
        <v>27950</v>
      </c>
      <c r="P128" s="6"/>
      <c r="Q128" s="6"/>
      <c r="R128" s="6"/>
      <c r="S128" s="6"/>
      <c r="U128" s="46"/>
    </row>
    <row r="129" spans="1:21" s="1" customFormat="1" hidden="1" outlineLevel="1" x14ac:dyDescent="0.25">
      <c r="A129" s="7" t="s">
        <v>1430</v>
      </c>
      <c r="B129" s="7" t="s">
        <v>1431</v>
      </c>
      <c r="C129" s="13">
        <v>117.18</v>
      </c>
      <c r="D129" s="6"/>
      <c r="E129" s="6">
        <v>100</v>
      </c>
      <c r="F129" s="6"/>
      <c r="G129" s="6"/>
      <c r="H129" s="6"/>
      <c r="I129" s="6"/>
      <c r="J129" s="6">
        <v>39</v>
      </c>
      <c r="K129" s="6">
        <v>4570.0200000000004</v>
      </c>
      <c r="L129" s="6"/>
      <c r="M129" s="6"/>
      <c r="N129" s="6">
        <f t="shared" si="22"/>
        <v>39</v>
      </c>
      <c r="O129" s="6">
        <f t="shared" si="23"/>
        <v>4570.0200000000004</v>
      </c>
      <c r="P129" s="6"/>
      <c r="Q129" s="6"/>
      <c r="R129" s="6"/>
      <c r="S129" s="6"/>
      <c r="U129" s="46"/>
    </row>
    <row r="130" spans="1:21" s="1" customFormat="1" hidden="1" outlineLevel="1" x14ac:dyDescent="0.25">
      <c r="A130" s="7" t="s">
        <v>1348</v>
      </c>
      <c r="B130" s="7" t="s">
        <v>1349</v>
      </c>
      <c r="C130" s="13">
        <v>120.85</v>
      </c>
      <c r="D130" s="6"/>
      <c r="E130" s="6">
        <v>100</v>
      </c>
      <c r="F130" s="6"/>
      <c r="G130" s="6"/>
      <c r="H130" s="6"/>
      <c r="I130" s="6"/>
      <c r="J130" s="6">
        <v>1</v>
      </c>
      <c r="K130" s="6">
        <v>120.85</v>
      </c>
      <c r="L130" s="6"/>
      <c r="M130" s="6"/>
      <c r="N130" s="6">
        <f t="shared" si="22"/>
        <v>1</v>
      </c>
      <c r="O130" s="6">
        <f t="shared" si="23"/>
        <v>120.85</v>
      </c>
      <c r="P130" s="6"/>
      <c r="Q130" s="6"/>
      <c r="R130" s="6"/>
      <c r="S130" s="6"/>
      <c r="U130" s="46"/>
    </row>
    <row r="131" spans="1:21" s="17" customFormat="1" ht="12" collapsed="1" x14ac:dyDescent="0.2">
      <c r="A131" s="18" t="s">
        <v>1343</v>
      </c>
      <c r="B131" s="19"/>
      <c r="C131" s="19"/>
      <c r="D131" s="18">
        <v>53.15</v>
      </c>
      <c r="E131" s="18">
        <v>81.31</v>
      </c>
      <c r="F131" s="18">
        <f t="shared" ref="F131:R131" si="24">F4+F22+F49</f>
        <v>69943</v>
      </c>
      <c r="G131" s="18">
        <f t="shared" si="24"/>
        <v>13099368.179999998</v>
      </c>
      <c r="H131" s="18">
        <f t="shared" si="24"/>
        <v>81154</v>
      </c>
      <c r="I131" s="18">
        <f t="shared" si="24"/>
        <v>16411456.539999999</v>
      </c>
      <c r="J131" s="18">
        <f t="shared" si="24"/>
        <v>1036225</v>
      </c>
      <c r="K131" s="18">
        <f t="shared" si="24"/>
        <v>200854249.84999999</v>
      </c>
      <c r="L131" s="18">
        <f t="shared" si="24"/>
        <v>239460</v>
      </c>
      <c r="M131" s="18">
        <f t="shared" si="24"/>
        <v>49119594.719999999</v>
      </c>
      <c r="N131" s="18">
        <f t="shared" si="24"/>
        <v>1426782</v>
      </c>
      <c r="O131" s="18">
        <f t="shared" si="24"/>
        <v>279484669.28999996</v>
      </c>
      <c r="P131" s="18">
        <f t="shared" si="24"/>
        <v>319566</v>
      </c>
      <c r="Q131" s="18">
        <f t="shared" si="24"/>
        <v>73062211</v>
      </c>
      <c r="R131" s="18">
        <f t="shared" si="24"/>
        <v>38316.226066130068</v>
      </c>
      <c r="S131" s="18">
        <f>S4+S22+S49</f>
        <v>6284315.57161876</v>
      </c>
      <c r="U131" s="47"/>
    </row>
    <row r="133" spans="1:21" x14ac:dyDescent="0.25">
      <c r="K133" s="20" t="s">
        <v>1608</v>
      </c>
      <c r="L133" s="80" t="s">
        <v>1609</v>
      </c>
      <c r="M133" s="80"/>
      <c r="N133" s="81" t="s">
        <v>1610</v>
      </c>
      <c r="O133" s="81"/>
      <c r="P133" s="82" t="s">
        <v>1611</v>
      </c>
      <c r="Q133" s="82"/>
      <c r="R133" s="83" t="s">
        <v>1343</v>
      </c>
      <c r="S133" s="83"/>
    </row>
    <row r="134" spans="1:21" x14ac:dyDescent="0.25">
      <c r="K134" s="21">
        <v>46259</v>
      </c>
      <c r="L134" s="22">
        <v>36907.303357718156</v>
      </c>
      <c r="M134" s="23">
        <f t="shared" ref="M134:M135" si="25">L134/L135</f>
        <v>0.10188207853372043</v>
      </c>
      <c r="N134" s="24">
        <v>3473450.3775064633</v>
      </c>
      <c r="O134" s="25">
        <f t="shared" ref="O134:O135" si="26">N134/N135-1</f>
        <v>44.959999264043383</v>
      </c>
      <c r="P134" s="26">
        <v>2773957.8907545782</v>
      </c>
      <c r="Q134" s="27">
        <f t="shared" ref="Q134:Q145" si="27">P134/P135-1</f>
        <v>0.63430396542468981</v>
      </c>
      <c r="R134" s="28">
        <v>6284315.57161876</v>
      </c>
      <c r="S134" s="29">
        <f t="shared" ref="S134:S145" si="28">R134/R135-1</f>
        <v>1.9432479134462439</v>
      </c>
      <c r="T134" s="57">
        <f t="shared" ref="T134:T135" si="29">N134+P134</f>
        <v>6247408.2682610415</v>
      </c>
    </row>
    <row r="135" spans="1:21" x14ac:dyDescent="0.25">
      <c r="K135" s="21">
        <v>46224</v>
      </c>
      <c r="L135" s="22">
        <v>362255.10795309069</v>
      </c>
      <c r="M135" s="23">
        <f t="shared" si="25"/>
        <v>1.0270351761345555</v>
      </c>
      <c r="N135" s="24">
        <v>75575.509859154918</v>
      </c>
      <c r="O135" s="25">
        <f t="shared" si="26"/>
        <v>-0.33729139922978213</v>
      </c>
      <c r="P135" s="26">
        <v>1697332.9010027447</v>
      </c>
      <c r="Q135" s="27">
        <f t="shared" si="27"/>
        <v>1.3973851240474806</v>
      </c>
      <c r="R135" s="28">
        <v>2135163.5188149903</v>
      </c>
      <c r="S135" s="29">
        <f t="shared" si="28"/>
        <v>0.81754245503727563</v>
      </c>
      <c r="T135" s="57">
        <f t="shared" si="29"/>
        <v>1772908.4108618996</v>
      </c>
    </row>
    <row r="136" spans="1:21" x14ac:dyDescent="0.25">
      <c r="K136" s="21">
        <v>46202</v>
      </c>
      <c r="L136" s="22">
        <v>352719.28008980909</v>
      </c>
      <c r="M136" s="23">
        <f>L136/L137</f>
        <v>0.76006864161083054</v>
      </c>
      <c r="N136" s="24">
        <v>114040.33352112681</v>
      </c>
      <c r="O136" s="25">
        <f>N136/N137-1</f>
        <v>-0.96501660875010264</v>
      </c>
      <c r="P136" s="26">
        <v>707993.4233249746</v>
      </c>
      <c r="Q136" s="27">
        <f t="shared" si="27"/>
        <v>-0.42766763598218183</v>
      </c>
      <c r="R136" s="28">
        <v>1174753.0369359106</v>
      </c>
      <c r="S136" s="29">
        <f t="shared" si="28"/>
        <v>-0.76319934071901818</v>
      </c>
      <c r="T136" s="57">
        <f>N136+P136</f>
        <v>822033.75684610137</v>
      </c>
    </row>
    <row r="137" spans="1:21" hidden="1" outlineLevel="1" x14ac:dyDescent="0.25">
      <c r="K137" s="21">
        <v>46170</v>
      </c>
      <c r="L137" s="22">
        <v>464062.40276178636</v>
      </c>
      <c r="M137" s="23">
        <f>L137/L138</f>
        <v>0.49176244057103558</v>
      </c>
      <c r="N137" s="24">
        <v>3259842.1549958098</v>
      </c>
      <c r="O137" s="25">
        <f>N137/N138-1</f>
        <v>0.79795817538486769</v>
      </c>
      <c r="P137" s="26">
        <v>1237031.9552694962</v>
      </c>
      <c r="Q137" s="27">
        <f t="shared" si="27"/>
        <v>-2.9832494117238872E-2</v>
      </c>
      <c r="R137" s="28">
        <v>4960936.5130270924</v>
      </c>
      <c r="S137" s="29">
        <f t="shared" si="28"/>
        <v>0.23044517342406112</v>
      </c>
      <c r="T137" s="57">
        <f>N137+P137</f>
        <v>4496874.1102653062</v>
      </c>
      <c r="U137" s="57"/>
    </row>
    <row r="138" spans="1:21" hidden="1" outlineLevel="1" x14ac:dyDescent="0.25">
      <c r="K138" s="21">
        <v>46135</v>
      </c>
      <c r="L138" s="22">
        <v>943671.91244397627</v>
      </c>
      <c r="M138" s="23">
        <f>L138/L139</f>
        <v>6.4180711934191309E-2</v>
      </c>
      <c r="N138" s="24">
        <v>1813080.0814084643</v>
      </c>
      <c r="O138" s="25">
        <f>N138/N139-1</f>
        <v>-0.54953271420064209</v>
      </c>
      <c r="P138" s="26">
        <v>1275070.488104952</v>
      </c>
      <c r="Q138" s="27">
        <f t="shared" si="27"/>
        <v>-0.5213730804056248</v>
      </c>
      <c r="R138" s="28">
        <v>4031822.4819573928</v>
      </c>
      <c r="S138" s="29">
        <f t="shared" si="28"/>
        <v>-0.81152892888042016</v>
      </c>
      <c r="U138" s="59"/>
    </row>
    <row r="139" spans="1:21" hidden="1" outlineLevel="1" x14ac:dyDescent="0.25">
      <c r="K139" s="21">
        <v>46104</v>
      </c>
      <c r="L139" s="22">
        <v>14703356.88098295</v>
      </c>
      <c r="M139" s="23">
        <f>L139/L140</f>
        <v>29.921387739678778</v>
      </c>
      <c r="N139" s="24">
        <v>4024887.3526767623</v>
      </c>
      <c r="O139" s="25">
        <f>N139/N140-1</f>
        <v>-0.16025049243263356</v>
      </c>
      <c r="P139" s="26">
        <v>2664017.4965201365</v>
      </c>
      <c r="Q139" s="27">
        <f t="shared" si="27"/>
        <v>1.1283031686828813</v>
      </c>
      <c r="R139" s="28">
        <v>21392261.73017985</v>
      </c>
      <c r="S139" s="29">
        <f t="shared" si="28"/>
        <v>2.2729543031902963</v>
      </c>
      <c r="U139" s="59"/>
    </row>
    <row r="140" spans="1:21" hidden="1" outlineLevel="1" x14ac:dyDescent="0.25">
      <c r="K140" s="21">
        <v>46079</v>
      </c>
      <c r="L140" s="22">
        <v>491399.56371357793</v>
      </c>
      <c r="M140" s="30"/>
      <c r="N140" s="24">
        <v>4792961.849226065</v>
      </c>
      <c r="O140" s="25">
        <f>N140/N141-1</f>
        <v>3.9418620264726645E-2</v>
      </c>
      <c r="P140" s="26">
        <v>1251709.5946292214</v>
      </c>
      <c r="Q140" s="27">
        <f t="shared" si="27"/>
        <v>-0.33991396733903323</v>
      </c>
      <c r="R140" s="28">
        <v>6536071.0075688642</v>
      </c>
      <c r="S140" s="29">
        <f t="shared" si="28"/>
        <v>4.3939600477560514E-3</v>
      </c>
    </row>
    <row r="141" spans="1:21" hidden="1" outlineLevel="1" x14ac:dyDescent="0.25">
      <c r="K141" s="21">
        <v>46048</v>
      </c>
      <c r="L141" s="30"/>
      <c r="M141" s="30"/>
      <c r="N141" s="24">
        <v>4611194.9081741087</v>
      </c>
      <c r="O141" s="25">
        <f>N141/N143-1</f>
        <v>12.563924682478753</v>
      </c>
      <c r="P141" s="26">
        <v>1896282.503635589</v>
      </c>
      <c r="Q141" s="27">
        <f t="shared" si="27"/>
        <v>2.9374208741946473</v>
      </c>
      <c r="R141" s="28">
        <v>6507477.4118096977</v>
      </c>
      <c r="S141" s="29">
        <f t="shared" si="28"/>
        <v>12.512057064538313</v>
      </c>
    </row>
    <row r="142" spans="1:21" hidden="1" outlineLevel="1" x14ac:dyDescent="0.25">
      <c r="K142" s="21">
        <v>46013</v>
      </c>
      <c r="L142" s="30"/>
      <c r="M142" s="30"/>
      <c r="N142" s="31"/>
      <c r="O142" s="31"/>
      <c r="P142" s="26">
        <v>481605.23454924062</v>
      </c>
      <c r="Q142" s="27">
        <f t="shared" si="27"/>
        <v>-0.74642455613981751</v>
      </c>
      <c r="R142" s="28">
        <v>481605.23454924062</v>
      </c>
      <c r="S142" s="29">
        <f t="shared" si="28"/>
        <v>-0.78492261658513018</v>
      </c>
    </row>
    <row r="143" spans="1:21" hidden="1" outlineLevel="1" x14ac:dyDescent="0.25">
      <c r="K143" s="21">
        <v>45987</v>
      </c>
      <c r="L143" s="30"/>
      <c r="M143" s="30"/>
      <c r="N143" s="24">
        <v>339960.22656559246</v>
      </c>
      <c r="O143" s="45">
        <f t="shared" ref="O143:O145" si="30">N143/N144-1</f>
        <v>-0.54649789342153099</v>
      </c>
      <c r="P143" s="26">
        <v>1899258.1742843769</v>
      </c>
      <c r="Q143" s="27">
        <f t="shared" si="27"/>
        <v>-0.22030793593620757</v>
      </c>
      <c r="R143" s="28">
        <v>2239218.4008499691</v>
      </c>
      <c r="S143" s="29">
        <f t="shared" si="28"/>
        <v>-0.29706814643646073</v>
      </c>
    </row>
    <row r="144" spans="1:21" hidden="1" outlineLevel="1" x14ac:dyDescent="0.25">
      <c r="K144" s="21">
        <v>45957</v>
      </c>
      <c r="L144" s="30"/>
      <c r="M144" s="30"/>
      <c r="N144" s="24">
        <v>749633.18060523609</v>
      </c>
      <c r="O144" s="45">
        <f t="shared" si="30"/>
        <v>-0.46771248923145425</v>
      </c>
      <c r="P144" s="26">
        <v>2435908.0486023575</v>
      </c>
      <c r="Q144" s="27">
        <f t="shared" si="27"/>
        <v>-0.61098909633161946</v>
      </c>
      <c r="R144" s="28">
        <v>3185541.2292075935</v>
      </c>
      <c r="S144" s="29">
        <f t="shared" si="28"/>
        <v>-0.5846818433682166</v>
      </c>
    </row>
    <row r="145" spans="1:21" hidden="1" outlineLevel="1" x14ac:dyDescent="0.25">
      <c r="K145" s="21">
        <v>45924</v>
      </c>
      <c r="L145" s="30"/>
      <c r="M145" s="30"/>
      <c r="N145" s="24">
        <v>1408323.8201904735</v>
      </c>
      <c r="O145" s="45">
        <f t="shared" si="30"/>
        <v>-0.31359961071457887</v>
      </c>
      <c r="P145" s="26">
        <v>6261798.8998038266</v>
      </c>
      <c r="Q145" s="27">
        <f t="shared" si="27"/>
        <v>-4.1612964409389663E-2</v>
      </c>
      <c r="R145" s="28">
        <v>7670122.7199943</v>
      </c>
      <c r="S145" s="29">
        <f t="shared" si="28"/>
        <v>-0.10661248482194263</v>
      </c>
    </row>
    <row r="146" spans="1:21" hidden="1" outlineLevel="1" x14ac:dyDescent="0.25">
      <c r="K146" s="21">
        <v>45894</v>
      </c>
      <c r="L146" s="30"/>
      <c r="M146" s="30"/>
      <c r="N146" s="24">
        <v>2051752.6536612436</v>
      </c>
      <c r="O146" s="45">
        <v>1</v>
      </c>
      <c r="P146" s="26">
        <v>6533684.8968798546</v>
      </c>
      <c r="Q146" s="27">
        <f t="shared" ref="Q146:Q151" si="31">P146/P147-1</f>
        <v>1.0147866011360529</v>
      </c>
      <c r="R146" s="28">
        <v>8585437.5505410992</v>
      </c>
      <c r="S146" s="29">
        <f t="shared" ref="S146:S151" si="32">R146/R147-1</f>
        <v>1.6474837422877671</v>
      </c>
    </row>
    <row r="147" spans="1:21" hidden="1" outlineLevel="1" x14ac:dyDescent="0.25">
      <c r="K147" s="21">
        <v>45866</v>
      </c>
      <c r="L147" s="30"/>
      <c r="M147" s="30"/>
      <c r="N147" s="31"/>
      <c r="O147" s="31"/>
      <c r="P147" s="26">
        <v>3242866.9583149827</v>
      </c>
      <c r="Q147" s="27">
        <f t="shared" si="31"/>
        <v>0.93202140519398724</v>
      </c>
      <c r="R147" s="28">
        <v>3242866.9583149827</v>
      </c>
      <c r="S147" s="29">
        <f t="shared" si="32"/>
        <v>-0.3092437090038237</v>
      </c>
    </row>
    <row r="148" spans="1:21" hidden="1" outlineLevel="1" x14ac:dyDescent="0.25">
      <c r="K148" s="21">
        <v>45833</v>
      </c>
      <c r="L148" s="22"/>
      <c r="M148" s="23"/>
      <c r="N148" s="24">
        <v>3016177.52</v>
      </c>
      <c r="O148" s="25">
        <f t="shared" ref="O148:O151" si="33">N148/N149-1</f>
        <v>-0.72233460380582148</v>
      </c>
      <c r="P148" s="26">
        <v>1678483.9700000002</v>
      </c>
      <c r="Q148" s="27">
        <f t="shared" si="31"/>
        <v>-0.34552398755820501</v>
      </c>
      <c r="R148" s="28">
        <v>4694661.49</v>
      </c>
      <c r="S148" s="29">
        <f t="shared" si="32"/>
        <v>-0.65036330961546618</v>
      </c>
    </row>
    <row r="149" spans="1:21" hidden="1" outlineLevel="1" x14ac:dyDescent="0.25">
      <c r="K149" s="21">
        <v>45798</v>
      </c>
      <c r="L149" s="22"/>
      <c r="M149" s="23"/>
      <c r="N149" s="24">
        <v>10862633.807961831</v>
      </c>
      <c r="O149" s="25">
        <f t="shared" si="33"/>
        <v>0.63142722445996435</v>
      </c>
      <c r="P149" s="26">
        <v>2564622.5959263467</v>
      </c>
      <c r="Q149" s="27">
        <f t="shared" si="31"/>
        <v>-0.56318054740871859</v>
      </c>
      <c r="R149" s="28">
        <v>13427256.403888177</v>
      </c>
      <c r="S149" s="29">
        <f t="shared" si="32"/>
        <v>7.1652293130879841E-2</v>
      </c>
    </row>
    <row r="150" spans="1:21" hidden="1" outlineLevel="1" x14ac:dyDescent="0.25">
      <c r="K150" s="21">
        <v>45768</v>
      </c>
      <c r="L150" s="22"/>
      <c r="M150" s="23"/>
      <c r="N150" s="24">
        <v>6658362.472501698</v>
      </c>
      <c r="O150" s="25">
        <f t="shared" si="33"/>
        <v>2.3630585467347314</v>
      </c>
      <c r="P150" s="26">
        <v>5871127.2602733327</v>
      </c>
      <c r="Q150" s="27">
        <f t="shared" si="31"/>
        <v>-7.8273830558950208E-2</v>
      </c>
      <c r="R150" s="28">
        <v>12529489.732775031</v>
      </c>
      <c r="S150" s="29">
        <f t="shared" si="32"/>
        <v>0.19806961075908402</v>
      </c>
    </row>
    <row r="151" spans="1:21" hidden="1" outlineLevel="1" x14ac:dyDescent="0.25">
      <c r="K151" s="21">
        <v>45733</v>
      </c>
      <c r="L151" s="22">
        <v>2108502.8523244397</v>
      </c>
      <c r="M151" s="23"/>
      <c r="N151" s="24">
        <v>1979853.273433628</v>
      </c>
      <c r="O151" s="25">
        <f t="shared" si="33"/>
        <v>0.22232931140451084</v>
      </c>
      <c r="P151" s="26">
        <v>6369708.764842472</v>
      </c>
      <c r="Q151" s="27">
        <f t="shared" si="31"/>
        <v>0.13718580106305689</v>
      </c>
      <c r="R151" s="28">
        <v>10458064.89060054</v>
      </c>
      <c r="S151" s="29">
        <f t="shared" si="32"/>
        <v>0.44827899528318071</v>
      </c>
    </row>
    <row r="152" spans="1:21" hidden="1" outlineLevel="1" x14ac:dyDescent="0.25">
      <c r="K152" s="21">
        <v>45712</v>
      </c>
      <c r="L152" s="22"/>
      <c r="M152" s="34"/>
      <c r="N152" s="24">
        <v>1619738.0321009306</v>
      </c>
      <c r="O152" s="35"/>
      <c r="P152" s="26">
        <v>5601291.1512683164</v>
      </c>
      <c r="Q152" s="32"/>
      <c r="R152" s="28">
        <v>7221029.1833692472</v>
      </c>
      <c r="S152" s="33"/>
    </row>
    <row r="153" spans="1:21" hidden="1" outlineLevel="1" x14ac:dyDescent="0.25"/>
    <row r="154" spans="1:21" collapsed="1" x14ac:dyDescent="0.25">
      <c r="A154" s="38"/>
      <c r="B154" s="38"/>
      <c r="C154" s="38"/>
      <c r="D154" s="39"/>
      <c r="E154" s="39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</row>
    <row r="155" spans="1:21" x14ac:dyDescent="0.25">
      <c r="A155" s="40"/>
      <c r="B155" s="41" t="s">
        <v>1612</v>
      </c>
      <c r="C155" s="40"/>
      <c r="D155" s="42"/>
      <c r="E155" s="42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</row>
    <row r="156" spans="1:21" ht="51" x14ac:dyDescent="0.25">
      <c r="A156" s="62" t="s">
        <v>0</v>
      </c>
      <c r="B156" s="62" t="s">
        <v>1</v>
      </c>
      <c r="C156" s="63" t="s">
        <v>1606</v>
      </c>
      <c r="D156" s="84" t="s">
        <v>1598</v>
      </c>
      <c r="E156" s="85"/>
      <c r="F156" s="61" t="s">
        <v>1604</v>
      </c>
      <c r="G156" s="61" t="s">
        <v>1605</v>
      </c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U156"/>
    </row>
    <row r="157" spans="1:21" x14ac:dyDescent="0.25">
      <c r="A157" s="7" t="s">
        <v>1418</v>
      </c>
      <c r="B157" s="7" t="s">
        <v>1419</v>
      </c>
      <c r="C157" s="13">
        <v>227</v>
      </c>
      <c r="D157" s="6">
        <v>37380</v>
      </c>
      <c r="E157" s="6">
        <v>8485260</v>
      </c>
      <c r="F157" s="6">
        <v>13252.62882346613</v>
      </c>
      <c r="G157" s="6">
        <v>3008346.7429268113</v>
      </c>
    </row>
    <row r="158" spans="1:21" x14ac:dyDescent="0.25">
      <c r="A158" s="7" t="s">
        <v>1576</v>
      </c>
      <c r="B158" s="7" t="s">
        <v>1577</v>
      </c>
      <c r="C158" s="13">
        <v>109.42</v>
      </c>
      <c r="D158" s="6">
        <v>4956</v>
      </c>
      <c r="E158" s="6">
        <v>542285.52</v>
      </c>
      <c r="F158" s="6">
        <v>3365.669483367205</v>
      </c>
      <c r="G158" s="6">
        <v>368271.55487003957</v>
      </c>
    </row>
    <row r="159" spans="1:21" x14ac:dyDescent="0.25">
      <c r="A159" s="7" t="s">
        <v>1540</v>
      </c>
      <c r="B159" s="7" t="s">
        <v>1541</v>
      </c>
      <c r="C159" s="13">
        <v>148.06</v>
      </c>
      <c r="D159" s="6">
        <v>2508</v>
      </c>
      <c r="E159" s="6">
        <v>371334.48</v>
      </c>
      <c r="F159" s="6">
        <v>2392.2609921804897</v>
      </c>
      <c r="G159" s="6">
        <v>354198.1625022433</v>
      </c>
    </row>
    <row r="160" spans="1:21" x14ac:dyDescent="0.25">
      <c r="A160" s="7" t="s">
        <v>1498</v>
      </c>
      <c r="B160" s="7" t="s">
        <v>1499</v>
      </c>
      <c r="C160" s="13">
        <v>133.25</v>
      </c>
      <c r="D160" s="6">
        <v>4224</v>
      </c>
      <c r="E160" s="6">
        <v>562848</v>
      </c>
      <c r="F160" s="6">
        <v>2451.6923076923076</v>
      </c>
      <c r="G160" s="6">
        <v>326688</v>
      </c>
    </row>
    <row r="161" spans="1:7" x14ac:dyDescent="0.25">
      <c r="A161" s="7" t="s">
        <v>1438</v>
      </c>
      <c r="B161" s="7" t="s">
        <v>1439</v>
      </c>
      <c r="C161" s="13">
        <v>153.35</v>
      </c>
      <c r="D161" s="6">
        <v>7032</v>
      </c>
      <c r="E161" s="6">
        <v>1078357.2</v>
      </c>
      <c r="F161" s="6">
        <v>1972.4005276412038</v>
      </c>
      <c r="G161" s="6">
        <v>302467.62091377861</v>
      </c>
    </row>
    <row r="162" spans="1:7" x14ac:dyDescent="0.25">
      <c r="A162" s="7" t="s">
        <v>1544</v>
      </c>
      <c r="B162" s="7" t="s">
        <v>1545</v>
      </c>
      <c r="C162" s="13">
        <v>148.06</v>
      </c>
      <c r="D162" s="6">
        <v>2124</v>
      </c>
      <c r="E162" s="6">
        <v>314479.44</v>
      </c>
      <c r="F162" s="6">
        <v>1746.1499659033634</v>
      </c>
      <c r="G162" s="6">
        <v>258534.963951652</v>
      </c>
    </row>
    <row r="163" spans="1:7" x14ac:dyDescent="0.25">
      <c r="A163" s="7" t="s">
        <v>1534</v>
      </c>
      <c r="B163" s="7" t="s">
        <v>1535</v>
      </c>
      <c r="C163" s="13">
        <v>148.06</v>
      </c>
      <c r="D163" s="6">
        <v>1656</v>
      </c>
      <c r="E163" s="6">
        <v>245187.36</v>
      </c>
      <c r="F163" s="6">
        <v>1395.9860432658759</v>
      </c>
      <c r="G163" s="6">
        <v>206689.69356594558</v>
      </c>
    </row>
    <row r="164" spans="1:7" x14ac:dyDescent="0.25">
      <c r="A164" s="7" t="s">
        <v>1566</v>
      </c>
      <c r="B164" s="7" t="s">
        <v>1567</v>
      </c>
      <c r="C164" s="13">
        <v>941.24</v>
      </c>
      <c r="D164" s="6">
        <v>207</v>
      </c>
      <c r="E164" s="6">
        <v>194836.68</v>
      </c>
      <c r="F164" s="6">
        <v>199.69196822594881</v>
      </c>
      <c r="G164" s="6">
        <v>187958.06817299206</v>
      </c>
    </row>
    <row r="165" spans="1:7" x14ac:dyDescent="0.25">
      <c r="A165" s="7" t="s">
        <v>1381</v>
      </c>
      <c r="B165" s="7" t="s">
        <v>1382</v>
      </c>
      <c r="C165" s="13">
        <v>433.08</v>
      </c>
      <c r="D165" s="6">
        <v>696</v>
      </c>
      <c r="E165" s="6">
        <v>301423.68</v>
      </c>
      <c r="F165" s="6">
        <v>375.53342030542552</v>
      </c>
      <c r="G165" s="6">
        <v>162636.01366587367</v>
      </c>
    </row>
    <row r="166" spans="1:7" x14ac:dyDescent="0.25">
      <c r="A166" s="7" t="s">
        <v>1538</v>
      </c>
      <c r="B166" s="7" t="s">
        <v>1539</v>
      </c>
      <c r="C166" s="13">
        <v>148.06</v>
      </c>
      <c r="D166" s="6">
        <v>1692</v>
      </c>
      <c r="E166" s="6">
        <v>250517.52</v>
      </c>
      <c r="F166" s="6">
        <v>1029.855465692669</v>
      </c>
      <c r="G166" s="6">
        <v>152480.40025045659</v>
      </c>
    </row>
    <row r="167" spans="1:7" x14ac:dyDescent="0.25">
      <c r="A167" s="54"/>
      <c r="B167" s="54"/>
      <c r="C167" s="55"/>
      <c r="D167" s="56"/>
      <c r="E167" s="56"/>
      <c r="F167" s="56"/>
      <c r="G167" s="6">
        <f>SUM(G157:G166)</f>
        <v>5328271.2208197918</v>
      </c>
    </row>
    <row r="168" spans="1:7" x14ac:dyDescent="0.25">
      <c r="A168" s="40"/>
      <c r="B168" s="41" t="s">
        <v>1613</v>
      </c>
      <c r="C168" s="40"/>
      <c r="D168" s="42"/>
      <c r="E168" s="42"/>
      <c r="F168" s="40"/>
    </row>
    <row r="169" spans="1:7" x14ac:dyDescent="0.25">
      <c r="A169" s="7" t="s">
        <v>1369</v>
      </c>
      <c r="B169" s="7" t="s">
        <v>1370</v>
      </c>
      <c r="C169" s="13">
        <v>1036.05</v>
      </c>
      <c r="D169" s="6">
        <v>12</v>
      </c>
      <c r="E169" s="6">
        <v>12432.6</v>
      </c>
      <c r="F169" s="6"/>
      <c r="G169" s="6"/>
    </row>
    <row r="170" spans="1:7" x14ac:dyDescent="0.25">
      <c r="A170" s="7" t="s">
        <v>1350</v>
      </c>
      <c r="B170" s="7" t="s">
        <v>1351</v>
      </c>
      <c r="C170" s="13">
        <v>133.06</v>
      </c>
      <c r="D170" s="6">
        <v>161</v>
      </c>
      <c r="E170" s="6">
        <v>21422.66</v>
      </c>
      <c r="F170" s="6"/>
      <c r="G170" s="6"/>
    </row>
    <row r="171" spans="1:7" x14ac:dyDescent="0.25">
      <c r="A171" s="7" t="s">
        <v>1426</v>
      </c>
      <c r="B171" s="7" t="s">
        <v>1427</v>
      </c>
      <c r="C171" s="13">
        <v>117.18</v>
      </c>
      <c r="D171" s="6">
        <v>9</v>
      </c>
      <c r="E171" s="6">
        <v>1054.6199999999999</v>
      </c>
      <c r="F171" s="6"/>
      <c r="G171" s="6"/>
    </row>
    <row r="172" spans="1:7" x14ac:dyDescent="0.25">
      <c r="A172" s="7" t="s">
        <v>1432</v>
      </c>
      <c r="B172" s="7" t="s">
        <v>1433</v>
      </c>
      <c r="C172" s="13">
        <v>133.06</v>
      </c>
      <c r="D172" s="6">
        <v>102</v>
      </c>
      <c r="E172" s="6">
        <v>13572.12</v>
      </c>
      <c r="F172" s="6"/>
      <c r="G172" s="6"/>
    </row>
    <row r="173" spans="1:7" x14ac:dyDescent="0.25">
      <c r="A173" s="7" t="s">
        <v>1428</v>
      </c>
      <c r="B173" s="7" t="s">
        <v>1429</v>
      </c>
      <c r="C173" s="13">
        <v>130</v>
      </c>
      <c r="D173" s="6">
        <v>215</v>
      </c>
      <c r="E173" s="6">
        <v>27950</v>
      </c>
      <c r="F173" s="6"/>
      <c r="G173" s="6"/>
    </row>
    <row r="174" spans="1:7" x14ac:dyDescent="0.25">
      <c r="A174" s="7" t="s">
        <v>1430</v>
      </c>
      <c r="B174" s="7" t="s">
        <v>1431</v>
      </c>
      <c r="C174" s="13">
        <v>117.18</v>
      </c>
      <c r="D174" s="6">
        <v>39</v>
      </c>
      <c r="E174" s="6">
        <v>4570.0200000000004</v>
      </c>
      <c r="F174" s="6"/>
      <c r="G174" s="6"/>
    </row>
    <row r="175" spans="1:7" x14ac:dyDescent="0.25">
      <c r="A175" s="7" t="s">
        <v>1348</v>
      </c>
      <c r="B175" s="7" t="s">
        <v>1349</v>
      </c>
      <c r="C175" s="13">
        <v>120.85</v>
      </c>
      <c r="D175" s="6">
        <v>1</v>
      </c>
      <c r="E175" s="6">
        <v>120.85</v>
      </c>
      <c r="F175" s="6"/>
      <c r="G175" s="6"/>
    </row>
    <row r="176" spans="1:7" x14ac:dyDescent="0.25">
      <c r="E176" s="6">
        <f>SUBTOTAL(9,E169:E175)</f>
        <v>81122.87000000001</v>
      </c>
    </row>
  </sheetData>
  <autoFilter ref="A3:S131" xr:uid="{00000000-0009-0000-0000-000003000000}"/>
  <sortState xmlns:xlrd2="http://schemas.microsoft.com/office/spreadsheetml/2017/richdata2" ref="A5:U130">
    <sortCondition descending="1" ref="U5:U130"/>
  </sortState>
  <mergeCells count="18">
    <mergeCell ref="D156:E156"/>
    <mergeCell ref="R1:R2"/>
    <mergeCell ref="S1:S2"/>
    <mergeCell ref="L133:M133"/>
    <mergeCell ref="N133:O133"/>
    <mergeCell ref="P133:Q133"/>
    <mergeCell ref="R133:S133"/>
    <mergeCell ref="P1:Q2"/>
    <mergeCell ref="F1:G2"/>
    <mergeCell ref="H1:I2"/>
    <mergeCell ref="J1:K2"/>
    <mergeCell ref="L1:M2"/>
    <mergeCell ref="N1:O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  <ignoredErrors>
    <ignoredError sqref="N23:O48 S22 N22:O22 N49:O4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8"/>
  <sheetViews>
    <sheetView zoomScaleNormal="100" workbookViewId="0">
      <pane xSplit="5" ySplit="3" topLeftCell="F4" activePane="bottomRight" state="frozen"/>
      <selection pane="topRight" activeCell="F1" sqref="F1"/>
      <selection pane="bottomLeft" activeCell="A10" sqref="A10"/>
      <selection pane="bottomRight" activeCell="I163" sqref="I163"/>
    </sheetView>
  </sheetViews>
  <sheetFormatPr defaultColWidth="9" defaultRowHeight="15" outlineLevelRow="1" x14ac:dyDescent="0.25"/>
  <cols>
    <col min="1" max="1" width="11.140625" style="1" bestFit="1" customWidth="1"/>
    <col min="2" max="2" width="76" style="1" customWidth="1"/>
    <col min="3" max="3" width="9" style="12" customWidth="1"/>
    <col min="4" max="4" width="10.42578125" style="4" bestFit="1" customWidth="1"/>
    <col min="5" max="5" width="14.42578125" style="4" bestFit="1" customWidth="1"/>
    <col min="6" max="6" width="10.7109375" style="4" customWidth="1"/>
    <col min="7" max="7" width="13.85546875" style="4" customWidth="1"/>
    <col min="8" max="8" width="9.42578125" style="4" bestFit="1" customWidth="1"/>
    <col min="9" max="9" width="14.5703125" style="4" customWidth="1"/>
    <col min="10" max="10" width="11.42578125" style="4" bestFit="1" customWidth="1"/>
    <col min="11" max="11" width="15.28515625" style="4" customWidth="1"/>
    <col min="12" max="12" width="11" style="4" customWidth="1"/>
    <col min="13" max="13" width="15.28515625" style="4" customWidth="1"/>
    <col min="14" max="15" width="13.42578125" style="4" customWidth="1"/>
    <col min="16" max="16" width="10.42578125" style="4" bestFit="1" customWidth="1"/>
    <col min="17" max="17" width="12.85546875" style="4" bestFit="1" customWidth="1"/>
    <col min="18" max="19" width="16" style="4" customWidth="1"/>
    <col min="20" max="20" width="12.85546875" style="37" bestFit="1" customWidth="1"/>
    <col min="21" max="21" width="14.5703125" style="48" bestFit="1" customWidth="1"/>
  </cols>
  <sheetData>
    <row r="1" spans="1:21" ht="30" customHeight="1" x14ac:dyDescent="0.25">
      <c r="A1" s="86" t="s">
        <v>0</v>
      </c>
      <c r="B1" s="86" t="s">
        <v>1</v>
      </c>
      <c r="C1" s="70" t="s">
        <v>1606</v>
      </c>
      <c r="D1" s="72" t="s">
        <v>1594</v>
      </c>
      <c r="E1" s="72" t="s">
        <v>1595</v>
      </c>
      <c r="F1" s="76" t="s">
        <v>1596</v>
      </c>
      <c r="G1" s="77"/>
      <c r="H1" s="76" t="s">
        <v>1597</v>
      </c>
      <c r="I1" s="77"/>
      <c r="J1" s="76" t="s">
        <v>1598</v>
      </c>
      <c r="K1" s="77"/>
      <c r="L1" s="76" t="s">
        <v>1599</v>
      </c>
      <c r="M1" s="77"/>
      <c r="N1" s="76" t="s">
        <v>1600</v>
      </c>
      <c r="O1" s="77"/>
      <c r="P1" s="76" t="s">
        <v>1601</v>
      </c>
      <c r="Q1" s="77"/>
      <c r="R1" s="74" t="s">
        <v>1604</v>
      </c>
      <c r="S1" s="74" t="s">
        <v>1605</v>
      </c>
    </row>
    <row r="2" spans="1:21" x14ac:dyDescent="0.25">
      <c r="A2" s="87"/>
      <c r="B2" s="87"/>
      <c r="C2" s="71"/>
      <c r="D2" s="73"/>
      <c r="E2" s="73"/>
      <c r="F2" s="78"/>
      <c r="G2" s="79"/>
      <c r="H2" s="78"/>
      <c r="I2" s="79"/>
      <c r="J2" s="78"/>
      <c r="K2" s="79"/>
      <c r="L2" s="78"/>
      <c r="M2" s="79"/>
      <c r="N2" s="78"/>
      <c r="O2" s="79"/>
      <c r="P2" s="78"/>
      <c r="Q2" s="79"/>
      <c r="R2" s="75"/>
      <c r="S2" s="75"/>
    </row>
    <row r="3" spans="1:21" x14ac:dyDescent="0.25">
      <c r="A3" s="3"/>
      <c r="B3" s="3"/>
      <c r="C3" s="8"/>
      <c r="D3" s="9"/>
      <c r="E3" s="9"/>
      <c r="F3" s="10"/>
      <c r="G3" s="11"/>
      <c r="H3" s="10"/>
      <c r="I3" s="11"/>
      <c r="J3" s="10"/>
      <c r="K3" s="11"/>
      <c r="L3" s="10"/>
      <c r="M3" s="11"/>
      <c r="N3" s="10"/>
      <c r="O3" s="11"/>
      <c r="P3" s="10"/>
      <c r="Q3" s="11"/>
      <c r="R3" s="5"/>
      <c r="S3" s="5"/>
    </row>
    <row r="4" spans="1:21" s="17" customFormat="1" ht="14.1" customHeight="1" collapsed="1" x14ac:dyDescent="0.2">
      <c r="A4" s="15" t="s">
        <v>2</v>
      </c>
      <c r="B4" s="16"/>
      <c r="C4" s="16"/>
      <c r="D4" s="15">
        <v>165.73</v>
      </c>
      <c r="E4" s="15">
        <v>98.6</v>
      </c>
      <c r="F4" s="15">
        <f t="shared" ref="F4:R4" si="0">SUM(F5:F21)</f>
        <v>27568</v>
      </c>
      <c r="G4" s="15">
        <f t="shared" si="0"/>
        <v>6389900.0800000001</v>
      </c>
      <c r="H4" s="15">
        <f t="shared" si="0"/>
        <v>13681</v>
      </c>
      <c r="I4" s="15">
        <f t="shared" si="0"/>
        <v>2964120.56</v>
      </c>
      <c r="J4" s="15">
        <f t="shared" si="0"/>
        <v>526349</v>
      </c>
      <c r="K4" s="15">
        <f t="shared" si="0"/>
        <v>112100693.56999999</v>
      </c>
      <c r="L4" s="15">
        <f t="shared" si="0"/>
        <v>50820</v>
      </c>
      <c r="M4" s="15">
        <f t="shared" si="0"/>
        <v>13867735.440000001</v>
      </c>
      <c r="N4" s="15">
        <f t="shared" si="0"/>
        <v>618418</v>
      </c>
      <c r="O4" s="15">
        <f t="shared" si="0"/>
        <v>135322449.65000001</v>
      </c>
      <c r="P4" s="15">
        <f t="shared" si="0"/>
        <v>106775</v>
      </c>
      <c r="Q4" s="15">
        <f t="shared" si="0"/>
        <v>21629442</v>
      </c>
      <c r="R4" s="15">
        <f t="shared" si="0"/>
        <v>168438.9222111475</v>
      </c>
      <c r="S4" s="15">
        <f>SUM(S5:S21)</f>
        <v>25351203.305138562</v>
      </c>
      <c r="T4" s="50"/>
      <c r="U4" s="51"/>
    </row>
    <row r="5" spans="1:21" s="1" customFormat="1" hidden="1" outlineLevel="1" x14ac:dyDescent="0.25">
      <c r="A5" s="7" t="s">
        <v>1422</v>
      </c>
      <c r="B5" s="7" t="s">
        <v>1423</v>
      </c>
      <c r="C5" s="14">
        <v>370.14</v>
      </c>
      <c r="D5" s="6">
        <v>63.04</v>
      </c>
      <c r="E5" s="6">
        <v>100</v>
      </c>
      <c r="F5" s="6">
        <v>1560</v>
      </c>
      <c r="G5" s="6">
        <v>577418.4</v>
      </c>
      <c r="H5" s="6">
        <v>84</v>
      </c>
      <c r="I5" s="6">
        <v>31091.759999999998</v>
      </c>
      <c r="J5" s="6">
        <v>52848</v>
      </c>
      <c r="K5" s="6">
        <v>19561158.719999999</v>
      </c>
      <c r="L5" s="6"/>
      <c r="M5" s="6"/>
      <c r="N5" s="6">
        <f t="shared" ref="N5:N21" si="1">IF(J5+L5+H5+F5&lt;=0,"",J5+L5+H5+F5)</f>
        <v>54492</v>
      </c>
      <c r="O5" s="6">
        <f t="shared" ref="O5:O21" si="2">IFERROR(C5*N5,"")</f>
        <v>20169668.879999999</v>
      </c>
      <c r="P5" s="6">
        <v>6156</v>
      </c>
      <c r="Q5" s="6">
        <v>2309789</v>
      </c>
      <c r="R5" s="6"/>
      <c r="S5" s="6"/>
      <c r="T5" s="37"/>
      <c r="U5" s="48"/>
    </row>
    <row r="6" spans="1:21" s="1" customFormat="1" hidden="1" outlineLevel="1" x14ac:dyDescent="0.25">
      <c r="A6" s="7" t="s">
        <v>1410</v>
      </c>
      <c r="B6" s="7" t="s">
        <v>1411</v>
      </c>
      <c r="C6" s="14">
        <v>310</v>
      </c>
      <c r="D6" s="6"/>
      <c r="E6" s="6">
        <v>100</v>
      </c>
      <c r="F6" s="6"/>
      <c r="G6" s="6"/>
      <c r="H6" s="6">
        <v>1188</v>
      </c>
      <c r="I6" s="6">
        <v>368280</v>
      </c>
      <c r="J6" s="6">
        <v>0</v>
      </c>
      <c r="K6" s="6">
        <v>0</v>
      </c>
      <c r="L6" s="6">
        <v>9468</v>
      </c>
      <c r="M6" s="6">
        <v>2935080</v>
      </c>
      <c r="N6" s="6">
        <f t="shared" si="1"/>
        <v>10656</v>
      </c>
      <c r="O6" s="6">
        <f t="shared" si="2"/>
        <v>3303360</v>
      </c>
      <c r="P6" s="6"/>
      <c r="Q6" s="6"/>
      <c r="R6" s="6"/>
      <c r="S6" s="6"/>
      <c r="T6" s="37"/>
      <c r="U6" s="48"/>
    </row>
    <row r="7" spans="1:21" s="1" customFormat="1" hidden="1" outlineLevel="1" x14ac:dyDescent="0.25">
      <c r="A7" s="7" t="s">
        <v>1403</v>
      </c>
      <c r="B7" s="7" t="s">
        <v>1404</v>
      </c>
      <c r="C7" s="14">
        <v>223.68</v>
      </c>
      <c r="D7" s="6">
        <v>222.8</v>
      </c>
      <c r="E7" s="6">
        <v>100</v>
      </c>
      <c r="F7" s="6">
        <v>1584</v>
      </c>
      <c r="G7" s="6">
        <v>354309.12</v>
      </c>
      <c r="H7" s="6">
        <v>792</v>
      </c>
      <c r="I7" s="6">
        <v>177154.56</v>
      </c>
      <c r="J7" s="6">
        <v>57864</v>
      </c>
      <c r="K7" s="6">
        <v>12943019.52</v>
      </c>
      <c r="L7" s="6">
        <v>12960</v>
      </c>
      <c r="M7" s="6">
        <v>2898892.7999999998</v>
      </c>
      <c r="N7" s="6">
        <f t="shared" si="1"/>
        <v>73200</v>
      </c>
      <c r="O7" s="6">
        <f t="shared" si="2"/>
        <v>16373376</v>
      </c>
      <c r="P7" s="6">
        <v>7616</v>
      </c>
      <c r="Q7" s="6">
        <v>1674932</v>
      </c>
      <c r="R7" s="6">
        <f t="shared" ref="R7:R16" si="3">J7/D7*(D7-180)</f>
        <v>11115.705565529626</v>
      </c>
      <c r="S7" s="6">
        <f t="shared" ref="S7:S16" si="4">R7*C7</f>
        <v>2486361.0208976669</v>
      </c>
      <c r="T7" s="37"/>
      <c r="U7" s="48"/>
    </row>
    <row r="8" spans="1:21" s="1" customFormat="1" hidden="1" outlineLevel="1" x14ac:dyDescent="0.25">
      <c r="A8" s="7" t="s">
        <v>1387</v>
      </c>
      <c r="B8" s="7" t="s">
        <v>1388</v>
      </c>
      <c r="C8" s="14">
        <v>240.97</v>
      </c>
      <c r="D8" s="6">
        <v>443.29</v>
      </c>
      <c r="E8" s="6">
        <v>100</v>
      </c>
      <c r="F8" s="6">
        <v>220</v>
      </c>
      <c r="G8" s="6">
        <v>53013.4</v>
      </c>
      <c r="H8" s="6">
        <v>2880</v>
      </c>
      <c r="I8" s="6">
        <v>693993.6</v>
      </c>
      <c r="J8" s="6">
        <v>79247</v>
      </c>
      <c r="K8" s="6">
        <v>19096149.59</v>
      </c>
      <c r="L8" s="6"/>
      <c r="M8" s="6"/>
      <c r="N8" s="6">
        <f t="shared" si="1"/>
        <v>82347</v>
      </c>
      <c r="O8" s="6">
        <f t="shared" si="2"/>
        <v>19843156.59</v>
      </c>
      <c r="P8" s="6">
        <v>5067</v>
      </c>
      <c r="Q8" s="6">
        <v>1229089</v>
      </c>
      <c r="R8" s="6">
        <f t="shared" si="3"/>
        <v>47068.381037244239</v>
      </c>
      <c r="S8" s="6">
        <f t="shared" si="4"/>
        <v>11342067.778544744</v>
      </c>
      <c r="T8" s="37"/>
      <c r="U8" s="48"/>
    </row>
    <row r="9" spans="1:21" s="1" customFormat="1" hidden="1" outlineLevel="1" x14ac:dyDescent="0.25">
      <c r="A9" s="7" t="s">
        <v>1379</v>
      </c>
      <c r="B9" s="7" t="s">
        <v>1380</v>
      </c>
      <c r="C9" s="14">
        <v>306.7</v>
      </c>
      <c r="D9" s="6">
        <v>101.15</v>
      </c>
      <c r="E9" s="6">
        <v>100</v>
      </c>
      <c r="F9" s="6">
        <v>1104</v>
      </c>
      <c r="G9" s="6">
        <v>338596.8</v>
      </c>
      <c r="H9" s="6">
        <v>1056</v>
      </c>
      <c r="I9" s="6">
        <v>323875.20000000001</v>
      </c>
      <c r="J9" s="6">
        <v>25656</v>
      </c>
      <c r="K9" s="6">
        <v>7868695.2000000002</v>
      </c>
      <c r="L9" s="6">
        <v>10800</v>
      </c>
      <c r="M9" s="6">
        <v>3312360</v>
      </c>
      <c r="N9" s="6">
        <f t="shared" si="1"/>
        <v>38616</v>
      </c>
      <c r="O9" s="6">
        <f t="shared" si="2"/>
        <v>11843527.199999999</v>
      </c>
      <c r="P9" s="6">
        <v>7076</v>
      </c>
      <c r="Q9" s="6">
        <v>2206183</v>
      </c>
      <c r="R9" s="6"/>
      <c r="S9" s="6"/>
      <c r="T9" s="37"/>
      <c r="U9" s="48"/>
    </row>
    <row r="10" spans="1:21" s="1" customFormat="1" hidden="1" outlineLevel="1" x14ac:dyDescent="0.25">
      <c r="A10" s="7" t="s">
        <v>1405</v>
      </c>
      <c r="B10" s="7" t="s">
        <v>1602</v>
      </c>
      <c r="C10" s="14">
        <v>301</v>
      </c>
      <c r="D10" s="6">
        <v>166.13</v>
      </c>
      <c r="E10" s="6">
        <v>100</v>
      </c>
      <c r="F10" s="6">
        <v>1848</v>
      </c>
      <c r="G10" s="6">
        <v>556248</v>
      </c>
      <c r="H10" s="6">
        <v>1056</v>
      </c>
      <c r="I10" s="6">
        <v>317856</v>
      </c>
      <c r="J10" s="6">
        <v>49169</v>
      </c>
      <c r="K10" s="6">
        <v>14799869</v>
      </c>
      <c r="L10" s="6"/>
      <c r="M10" s="6"/>
      <c r="N10" s="6">
        <f t="shared" si="1"/>
        <v>52073</v>
      </c>
      <c r="O10" s="6">
        <f t="shared" si="2"/>
        <v>15673973</v>
      </c>
      <c r="P10" s="6">
        <v>6324</v>
      </c>
      <c r="Q10" s="6">
        <v>1940970</v>
      </c>
      <c r="R10" s="6"/>
      <c r="S10" s="6"/>
      <c r="T10" s="37"/>
      <c r="U10" s="48"/>
    </row>
    <row r="11" spans="1:21" s="1" customFormat="1" hidden="1" outlineLevel="1" x14ac:dyDescent="0.25">
      <c r="A11" s="7" t="s">
        <v>1412</v>
      </c>
      <c r="B11" s="7" t="s">
        <v>1413</v>
      </c>
      <c r="C11" s="14">
        <v>275</v>
      </c>
      <c r="D11" s="6">
        <v>192.17</v>
      </c>
      <c r="E11" s="6">
        <v>100</v>
      </c>
      <c r="F11" s="6">
        <v>300</v>
      </c>
      <c r="G11" s="6">
        <v>82500</v>
      </c>
      <c r="H11" s="6">
        <v>337</v>
      </c>
      <c r="I11" s="6">
        <v>92675</v>
      </c>
      <c r="J11" s="6">
        <v>119</v>
      </c>
      <c r="K11" s="6">
        <v>32725</v>
      </c>
      <c r="L11" s="6">
        <v>6000</v>
      </c>
      <c r="M11" s="6">
        <v>1650000</v>
      </c>
      <c r="N11" s="6">
        <f t="shared" si="1"/>
        <v>6756</v>
      </c>
      <c r="O11" s="6">
        <f t="shared" si="2"/>
        <v>1857900</v>
      </c>
      <c r="P11" s="6">
        <v>244</v>
      </c>
      <c r="Q11" s="6">
        <v>52873</v>
      </c>
      <c r="R11" s="6">
        <f t="shared" si="3"/>
        <v>7.5361919134099944</v>
      </c>
      <c r="S11" s="6">
        <f t="shared" si="4"/>
        <v>2072.4527761877484</v>
      </c>
      <c r="T11" s="37"/>
      <c r="U11" s="48"/>
    </row>
    <row r="12" spans="1:21" s="1" customFormat="1" hidden="1" outlineLevel="1" x14ac:dyDescent="0.25">
      <c r="A12" s="7" t="s">
        <v>1393</v>
      </c>
      <c r="B12" s="7" t="s">
        <v>1394</v>
      </c>
      <c r="C12" s="14">
        <v>350</v>
      </c>
      <c r="D12" s="6">
        <v>76.040000000000006</v>
      </c>
      <c r="E12" s="6">
        <v>12.9</v>
      </c>
      <c r="F12" s="6">
        <v>504</v>
      </c>
      <c r="G12" s="6">
        <v>176400</v>
      </c>
      <c r="H12" s="6">
        <v>420</v>
      </c>
      <c r="I12" s="6">
        <v>147000</v>
      </c>
      <c r="J12" s="6">
        <v>7464</v>
      </c>
      <c r="K12" s="6">
        <v>2612400</v>
      </c>
      <c r="L12" s="6"/>
      <c r="M12" s="6"/>
      <c r="N12" s="6">
        <f t="shared" si="1"/>
        <v>8388</v>
      </c>
      <c r="O12" s="6">
        <f t="shared" si="2"/>
        <v>2935800</v>
      </c>
      <c r="P12" s="6">
        <v>352</v>
      </c>
      <c r="Q12" s="6">
        <v>115045</v>
      </c>
      <c r="R12" s="6"/>
      <c r="S12" s="6"/>
      <c r="T12" s="37"/>
      <c r="U12" s="48"/>
    </row>
    <row r="13" spans="1:21" s="1" customFormat="1" hidden="1" outlineLevel="1" x14ac:dyDescent="0.25">
      <c r="A13" s="7" t="s">
        <v>1414</v>
      </c>
      <c r="B13" s="7" t="s">
        <v>1415</v>
      </c>
      <c r="C13" s="14">
        <v>295</v>
      </c>
      <c r="D13" s="6"/>
      <c r="E13" s="6">
        <v>100</v>
      </c>
      <c r="F13" s="6">
        <v>72</v>
      </c>
      <c r="G13" s="6">
        <v>21240</v>
      </c>
      <c r="H13" s="6">
        <v>156</v>
      </c>
      <c r="I13" s="6">
        <v>46020</v>
      </c>
      <c r="J13" s="6">
        <v>5784</v>
      </c>
      <c r="K13" s="6">
        <v>1706280</v>
      </c>
      <c r="L13" s="6"/>
      <c r="M13" s="6"/>
      <c r="N13" s="6">
        <f t="shared" si="1"/>
        <v>6012</v>
      </c>
      <c r="O13" s="6">
        <f t="shared" si="2"/>
        <v>1773540</v>
      </c>
      <c r="P13" s="6">
        <v>24</v>
      </c>
      <c r="Q13" s="6">
        <v>5773</v>
      </c>
      <c r="R13" s="6"/>
      <c r="S13" s="6"/>
      <c r="T13" s="37"/>
      <c r="U13" s="48"/>
    </row>
    <row r="14" spans="1:21" s="1" customFormat="1" hidden="1" outlineLevel="1" x14ac:dyDescent="0.25">
      <c r="A14" s="7" t="s">
        <v>1359</v>
      </c>
      <c r="B14" s="7" t="s">
        <v>1360</v>
      </c>
      <c r="C14" s="14">
        <v>223.68</v>
      </c>
      <c r="D14" s="6">
        <v>195.71</v>
      </c>
      <c r="E14" s="6">
        <v>100</v>
      </c>
      <c r="F14" s="6">
        <v>516</v>
      </c>
      <c r="G14" s="6">
        <v>115418.88</v>
      </c>
      <c r="H14" s="6">
        <v>324</v>
      </c>
      <c r="I14" s="6">
        <v>72472.320000000007</v>
      </c>
      <c r="J14" s="6">
        <v>16272</v>
      </c>
      <c r="K14" s="6">
        <v>3639720.96</v>
      </c>
      <c r="L14" s="6"/>
      <c r="M14" s="6"/>
      <c r="N14" s="6">
        <f t="shared" si="1"/>
        <v>17112</v>
      </c>
      <c r="O14" s="6">
        <f t="shared" si="2"/>
        <v>3827612.16</v>
      </c>
      <c r="P14" s="6">
        <v>2284</v>
      </c>
      <c r="Q14" s="6">
        <v>523633</v>
      </c>
      <c r="R14" s="6">
        <f t="shared" si="3"/>
        <v>1306.1832302897149</v>
      </c>
      <c r="S14" s="6">
        <f t="shared" si="4"/>
        <v>292167.06495120341</v>
      </c>
      <c r="T14" s="37"/>
      <c r="U14" s="48"/>
    </row>
    <row r="15" spans="1:21" s="1" customFormat="1" hidden="1" outlineLevel="1" x14ac:dyDescent="0.25">
      <c r="A15" s="7" t="s">
        <v>1391</v>
      </c>
      <c r="B15" s="7" t="s">
        <v>1392</v>
      </c>
      <c r="C15" s="14">
        <v>209.67</v>
      </c>
      <c r="D15" s="6">
        <v>34.06</v>
      </c>
      <c r="E15" s="6">
        <v>100</v>
      </c>
      <c r="F15" s="6">
        <v>18012</v>
      </c>
      <c r="G15" s="6">
        <v>3776576.04</v>
      </c>
      <c r="H15" s="6">
        <v>156</v>
      </c>
      <c r="I15" s="6">
        <v>32708.52</v>
      </c>
      <c r="J15" s="6">
        <v>38930</v>
      </c>
      <c r="K15" s="6">
        <v>8162453.0999999996</v>
      </c>
      <c r="L15" s="6">
        <v>792</v>
      </c>
      <c r="M15" s="6">
        <v>166058.64000000001</v>
      </c>
      <c r="N15" s="6">
        <f t="shared" si="1"/>
        <v>57890</v>
      </c>
      <c r="O15" s="6">
        <f t="shared" si="2"/>
        <v>12137796.299999999</v>
      </c>
      <c r="P15" s="6">
        <v>53764</v>
      </c>
      <c r="Q15" s="6">
        <v>8984152</v>
      </c>
      <c r="R15" s="6"/>
      <c r="S15" s="6"/>
      <c r="T15" s="37"/>
      <c r="U15" s="48"/>
    </row>
    <row r="16" spans="1:21" s="1" customFormat="1" hidden="1" outlineLevel="1" x14ac:dyDescent="0.25">
      <c r="A16" s="7" t="s">
        <v>1468</v>
      </c>
      <c r="B16" s="7" t="s">
        <v>1469</v>
      </c>
      <c r="C16" s="14">
        <v>95.18</v>
      </c>
      <c r="D16" s="6">
        <v>390.96</v>
      </c>
      <c r="E16" s="6">
        <v>100</v>
      </c>
      <c r="F16" s="6">
        <v>744</v>
      </c>
      <c r="G16" s="6">
        <v>70813.919999999998</v>
      </c>
      <c r="H16" s="6">
        <v>3384</v>
      </c>
      <c r="I16" s="6">
        <v>322089.12</v>
      </c>
      <c r="J16" s="6">
        <v>64944</v>
      </c>
      <c r="K16" s="6">
        <v>6181369.9199999999</v>
      </c>
      <c r="L16" s="6"/>
      <c r="M16" s="6"/>
      <c r="N16" s="6">
        <f t="shared" si="1"/>
        <v>69072</v>
      </c>
      <c r="O16" s="6">
        <f t="shared" si="2"/>
        <v>6574272.9600000009</v>
      </c>
      <c r="P16" s="6">
        <v>5680</v>
      </c>
      <c r="Q16" s="6">
        <v>556212</v>
      </c>
      <c r="R16" s="6">
        <f t="shared" si="3"/>
        <v>35043.447513812149</v>
      </c>
      <c r="S16" s="6">
        <f t="shared" si="4"/>
        <v>3335435.3343646405</v>
      </c>
      <c r="T16" s="37"/>
      <c r="U16" s="48"/>
    </row>
    <row r="17" spans="1:21" s="1" customFormat="1" hidden="1" outlineLevel="1" x14ac:dyDescent="0.25">
      <c r="A17" s="7" t="s">
        <v>1446</v>
      </c>
      <c r="B17" s="7" t="s">
        <v>1447</v>
      </c>
      <c r="C17" s="14">
        <v>111.06</v>
      </c>
      <c r="D17" s="6">
        <v>1396.3</v>
      </c>
      <c r="E17" s="6">
        <v>100</v>
      </c>
      <c r="F17" s="6"/>
      <c r="G17" s="6"/>
      <c r="H17" s="6">
        <v>96</v>
      </c>
      <c r="I17" s="6">
        <v>10661.76</v>
      </c>
      <c r="J17" s="6">
        <v>62136</v>
      </c>
      <c r="K17" s="6">
        <v>6900824.1600000001</v>
      </c>
      <c r="L17" s="6"/>
      <c r="M17" s="6"/>
      <c r="N17" s="6">
        <f t="shared" si="1"/>
        <v>62232</v>
      </c>
      <c r="O17" s="6">
        <f t="shared" si="2"/>
        <v>6911485.9199999999</v>
      </c>
      <c r="P17" s="6">
        <v>1400</v>
      </c>
      <c r="Q17" s="6">
        <v>160818</v>
      </c>
      <c r="R17" s="6">
        <f t="shared" ref="R17" si="5">J17/D17*(D17-180)</f>
        <v>54125.916207118818</v>
      </c>
      <c r="S17" s="6">
        <f t="shared" ref="S17" si="6">R17*C17</f>
        <v>6011224.2539626164</v>
      </c>
      <c r="T17" s="37"/>
      <c r="U17" s="48"/>
    </row>
    <row r="18" spans="1:21" s="1" customFormat="1" hidden="1" outlineLevel="1" x14ac:dyDescent="0.25">
      <c r="A18" s="7" t="s">
        <v>1408</v>
      </c>
      <c r="B18" s="7" t="s">
        <v>1409</v>
      </c>
      <c r="C18" s="14">
        <v>270.06</v>
      </c>
      <c r="D18" s="6">
        <v>142.38999999999999</v>
      </c>
      <c r="E18" s="6">
        <v>100</v>
      </c>
      <c r="F18" s="6">
        <v>204</v>
      </c>
      <c r="G18" s="6">
        <v>55092.24</v>
      </c>
      <c r="H18" s="6">
        <v>504</v>
      </c>
      <c r="I18" s="6">
        <v>136110.24</v>
      </c>
      <c r="J18" s="6">
        <v>6540</v>
      </c>
      <c r="K18" s="6">
        <v>1766192.4</v>
      </c>
      <c r="L18" s="6">
        <v>9600</v>
      </c>
      <c r="M18" s="6">
        <v>2592576</v>
      </c>
      <c r="N18" s="6">
        <f t="shared" si="1"/>
        <v>16848</v>
      </c>
      <c r="O18" s="6">
        <f t="shared" si="2"/>
        <v>4549970.88</v>
      </c>
      <c r="P18" s="6">
        <v>2524</v>
      </c>
      <c r="Q18" s="6">
        <v>701037</v>
      </c>
      <c r="R18" s="6"/>
      <c r="S18" s="6"/>
      <c r="T18" s="37"/>
      <c r="U18" s="48"/>
    </row>
    <row r="19" spans="1:21" s="1" customFormat="1" hidden="1" outlineLevel="1" x14ac:dyDescent="0.25">
      <c r="A19" s="7" t="s">
        <v>1406</v>
      </c>
      <c r="B19" s="7" t="s">
        <v>1407</v>
      </c>
      <c r="C19" s="14">
        <v>260.64</v>
      </c>
      <c r="D19" s="6">
        <v>150.9</v>
      </c>
      <c r="E19" s="6">
        <v>100</v>
      </c>
      <c r="F19" s="6">
        <v>756</v>
      </c>
      <c r="G19" s="6">
        <v>197043.84</v>
      </c>
      <c r="H19" s="6">
        <v>408</v>
      </c>
      <c r="I19" s="6">
        <v>106341.12</v>
      </c>
      <c r="J19" s="6">
        <v>5820</v>
      </c>
      <c r="K19" s="6">
        <v>1516924.8</v>
      </c>
      <c r="L19" s="6">
        <v>1200</v>
      </c>
      <c r="M19" s="6">
        <v>312768</v>
      </c>
      <c r="N19" s="6">
        <f t="shared" si="1"/>
        <v>8184</v>
      </c>
      <c r="O19" s="6">
        <f t="shared" si="2"/>
        <v>2133077.7599999998</v>
      </c>
      <c r="P19" s="6">
        <v>2468</v>
      </c>
      <c r="Q19" s="6">
        <v>565280</v>
      </c>
      <c r="R19" s="6"/>
      <c r="S19" s="6"/>
      <c r="T19" s="37"/>
      <c r="U19" s="48"/>
    </row>
    <row r="20" spans="1:21" s="1" customFormat="1" hidden="1" outlineLevel="1" x14ac:dyDescent="0.25">
      <c r="A20" s="7" t="s">
        <v>1383</v>
      </c>
      <c r="B20" s="7" t="s">
        <v>1384</v>
      </c>
      <c r="C20" s="14">
        <v>105.76</v>
      </c>
      <c r="D20" s="6">
        <v>159.63999999999999</v>
      </c>
      <c r="E20" s="6">
        <v>100</v>
      </c>
      <c r="F20" s="6">
        <v>144</v>
      </c>
      <c r="G20" s="6">
        <v>15229.44</v>
      </c>
      <c r="H20" s="6">
        <v>552</v>
      </c>
      <c r="I20" s="6">
        <v>58379.519999999997</v>
      </c>
      <c r="J20" s="6">
        <v>20364</v>
      </c>
      <c r="K20" s="6">
        <v>2153696.64</v>
      </c>
      <c r="L20" s="6"/>
      <c r="M20" s="6"/>
      <c r="N20" s="6">
        <f t="shared" si="1"/>
        <v>21060</v>
      </c>
      <c r="O20" s="6">
        <f t="shared" si="2"/>
        <v>2227305.6</v>
      </c>
      <c r="P20" s="6">
        <v>3332</v>
      </c>
      <c r="Q20" s="6">
        <v>360512</v>
      </c>
      <c r="R20" s="6"/>
      <c r="S20" s="6"/>
      <c r="T20" s="37"/>
      <c r="U20" s="48"/>
    </row>
    <row r="21" spans="1:21" s="1" customFormat="1" hidden="1" outlineLevel="1" x14ac:dyDescent="0.25">
      <c r="A21" s="7" t="s">
        <v>1464</v>
      </c>
      <c r="B21" s="7" t="s">
        <v>1465</v>
      </c>
      <c r="C21" s="14">
        <v>95.18</v>
      </c>
      <c r="D21" s="6">
        <v>445.19</v>
      </c>
      <c r="E21" s="6">
        <v>100</v>
      </c>
      <c r="F21" s="6"/>
      <c r="G21" s="6"/>
      <c r="H21" s="6">
        <v>288</v>
      </c>
      <c r="I21" s="6">
        <v>27411.84</v>
      </c>
      <c r="J21" s="6">
        <v>33192</v>
      </c>
      <c r="K21" s="6">
        <v>3159214.56</v>
      </c>
      <c r="L21" s="6"/>
      <c r="M21" s="6"/>
      <c r="N21" s="6">
        <f t="shared" si="1"/>
        <v>33480</v>
      </c>
      <c r="O21" s="6">
        <f t="shared" si="2"/>
        <v>3186626.4000000004</v>
      </c>
      <c r="P21" s="6">
        <v>2464</v>
      </c>
      <c r="Q21" s="6">
        <v>243144</v>
      </c>
      <c r="R21" s="6">
        <f t="shared" ref="R21" si="7">J21/D21*(D21-180)</f>
        <v>19771.752465239559</v>
      </c>
      <c r="S21" s="6">
        <f t="shared" ref="S21" si="8">R21*C21</f>
        <v>1881875.3996415013</v>
      </c>
      <c r="T21" s="37"/>
      <c r="U21" s="48"/>
    </row>
    <row r="22" spans="1:21" s="1" customFormat="1" collapsed="1" x14ac:dyDescent="0.25">
      <c r="A22" s="15" t="s">
        <v>407</v>
      </c>
      <c r="B22" s="16"/>
      <c r="C22" s="16"/>
      <c r="D22" s="15">
        <v>260.95</v>
      </c>
      <c r="E22" s="15">
        <v>89.6</v>
      </c>
      <c r="F22" s="15">
        <f t="shared" ref="F22:R22" si="9">SUM(F23:F45)</f>
        <v>13492</v>
      </c>
      <c r="G22" s="15">
        <f t="shared" si="9"/>
        <v>1930891.1999999995</v>
      </c>
      <c r="H22" s="15">
        <f t="shared" si="9"/>
        <v>4492</v>
      </c>
      <c r="I22" s="15">
        <f t="shared" si="9"/>
        <v>1018940.3599999999</v>
      </c>
      <c r="J22" s="15">
        <f t="shared" si="9"/>
        <v>241169</v>
      </c>
      <c r="K22" s="15">
        <f t="shared" si="9"/>
        <v>43602311.43999999</v>
      </c>
      <c r="L22" s="15">
        <f t="shared" si="9"/>
        <v>18624</v>
      </c>
      <c r="M22" s="15">
        <f t="shared" si="9"/>
        <v>3575812.8</v>
      </c>
      <c r="N22" s="15">
        <f t="shared" si="9"/>
        <v>277777</v>
      </c>
      <c r="O22" s="15">
        <f t="shared" si="9"/>
        <v>50127955.799999997</v>
      </c>
      <c r="P22" s="15">
        <f t="shared" si="9"/>
        <v>33193</v>
      </c>
      <c r="Q22" s="15">
        <f t="shared" si="9"/>
        <v>6545730</v>
      </c>
      <c r="R22" s="15">
        <f t="shared" si="9"/>
        <v>75154.620921898852</v>
      </c>
      <c r="S22" s="15">
        <f t="shared" ref="S22" si="10">SUM(S23:S45)</f>
        <v>10864726.079643771</v>
      </c>
      <c r="T22" s="50"/>
      <c r="U22" s="51"/>
    </row>
    <row r="23" spans="1:21" s="1" customFormat="1" hidden="1" outlineLevel="1" x14ac:dyDescent="0.25">
      <c r="A23" s="7" t="s">
        <v>1381</v>
      </c>
      <c r="B23" s="7" t="s">
        <v>1382</v>
      </c>
      <c r="C23" s="14">
        <v>433.08</v>
      </c>
      <c r="D23" s="6">
        <v>59.99</v>
      </c>
      <c r="E23" s="6">
        <v>100</v>
      </c>
      <c r="F23" s="6">
        <v>120</v>
      </c>
      <c r="G23" s="6">
        <v>51969.599999999999</v>
      </c>
      <c r="H23" s="6">
        <v>12</v>
      </c>
      <c r="I23" s="6">
        <v>5196.96</v>
      </c>
      <c r="J23" s="6">
        <v>0</v>
      </c>
      <c r="K23" s="6">
        <v>0</v>
      </c>
      <c r="L23" s="6"/>
      <c r="M23" s="6"/>
      <c r="N23" s="6">
        <f t="shared" ref="N23:N45" si="11">IF(J23+L23+H23+F23&lt;=0,"",J23+L23+H23+F23)</f>
        <v>132</v>
      </c>
      <c r="O23" s="6">
        <f t="shared" ref="O23:O45" si="12">IFERROR(C23*N23,"")</f>
        <v>57166.559999999998</v>
      </c>
      <c r="P23" s="6">
        <v>820</v>
      </c>
      <c r="Q23" s="6">
        <v>361496</v>
      </c>
      <c r="R23" s="6"/>
      <c r="S23" s="6"/>
      <c r="T23" s="37"/>
      <c r="U23" s="48"/>
    </row>
    <row r="24" spans="1:21" s="1" customFormat="1" hidden="1" outlineLevel="1" x14ac:dyDescent="0.25">
      <c r="A24" s="7" t="s">
        <v>1399</v>
      </c>
      <c r="B24" s="7" t="s">
        <v>1400</v>
      </c>
      <c r="C24" s="14">
        <v>205</v>
      </c>
      <c r="D24" s="6">
        <v>210.34</v>
      </c>
      <c r="E24" s="6">
        <v>100</v>
      </c>
      <c r="F24" s="6">
        <v>744</v>
      </c>
      <c r="G24" s="6">
        <v>152520</v>
      </c>
      <c r="H24" s="6">
        <v>96</v>
      </c>
      <c r="I24" s="6">
        <v>19680</v>
      </c>
      <c r="J24" s="6">
        <v>7548</v>
      </c>
      <c r="K24" s="6">
        <v>1547340</v>
      </c>
      <c r="L24" s="6"/>
      <c r="M24" s="6"/>
      <c r="N24" s="6">
        <f t="shared" si="11"/>
        <v>8388</v>
      </c>
      <c r="O24" s="6">
        <f t="shared" si="12"/>
        <v>1719540</v>
      </c>
      <c r="P24" s="6">
        <v>1832</v>
      </c>
      <c r="Q24" s="6">
        <v>386827</v>
      </c>
      <c r="R24" s="6">
        <f t="shared" ref="R24:R41" si="13">J24/D24*(D24-180)</f>
        <v>1088.7435580488732</v>
      </c>
      <c r="S24" s="6">
        <f t="shared" ref="S24:S41" si="14">R24*C24</f>
        <v>223192.429400019</v>
      </c>
      <c r="T24" s="37"/>
      <c r="U24" s="48"/>
    </row>
    <row r="25" spans="1:21" s="17" customFormat="1" ht="14.1" hidden="1" customHeight="1" outlineLevel="1" x14ac:dyDescent="0.2">
      <c r="A25" s="7" t="s">
        <v>1456</v>
      </c>
      <c r="B25" s="7" t="s">
        <v>1457</v>
      </c>
      <c r="C25" s="14">
        <v>97.3</v>
      </c>
      <c r="D25" s="6">
        <v>370.66</v>
      </c>
      <c r="E25" s="6">
        <v>100</v>
      </c>
      <c r="F25" s="6">
        <v>456</v>
      </c>
      <c r="G25" s="6">
        <v>44368.800000000003</v>
      </c>
      <c r="H25" s="6">
        <v>360</v>
      </c>
      <c r="I25" s="6">
        <v>35028</v>
      </c>
      <c r="J25" s="6">
        <v>40056</v>
      </c>
      <c r="K25" s="6">
        <v>3897448.8</v>
      </c>
      <c r="L25" s="6"/>
      <c r="M25" s="6"/>
      <c r="N25" s="6">
        <f t="shared" si="11"/>
        <v>40872</v>
      </c>
      <c r="O25" s="6">
        <f t="shared" si="12"/>
        <v>3976845.6</v>
      </c>
      <c r="P25" s="6">
        <v>2752</v>
      </c>
      <c r="Q25" s="6">
        <v>273165</v>
      </c>
      <c r="R25" s="6">
        <f t="shared" si="13"/>
        <v>20603.995467544381</v>
      </c>
      <c r="S25" s="6">
        <f t="shared" si="14"/>
        <v>2004768.7589920682</v>
      </c>
      <c r="T25" s="37"/>
      <c r="U25" s="48"/>
    </row>
    <row r="26" spans="1:21" s="1" customFormat="1" hidden="1" outlineLevel="1" x14ac:dyDescent="0.25">
      <c r="A26" s="7" t="s">
        <v>1385</v>
      </c>
      <c r="B26" s="7" t="s">
        <v>1386</v>
      </c>
      <c r="C26" s="14">
        <v>240.97</v>
      </c>
      <c r="D26" s="6">
        <v>189.55</v>
      </c>
      <c r="E26" s="6">
        <v>100</v>
      </c>
      <c r="F26" s="6">
        <v>40</v>
      </c>
      <c r="G26" s="6">
        <v>9638.7999999999993</v>
      </c>
      <c r="H26" s="6">
        <v>20</v>
      </c>
      <c r="I26" s="6">
        <v>4819.3999999999996</v>
      </c>
      <c r="J26" s="6">
        <v>5340</v>
      </c>
      <c r="K26" s="6">
        <v>1286779.8</v>
      </c>
      <c r="L26" s="6"/>
      <c r="M26" s="6"/>
      <c r="N26" s="6">
        <f t="shared" si="11"/>
        <v>5400</v>
      </c>
      <c r="O26" s="6">
        <f t="shared" si="12"/>
        <v>1301238</v>
      </c>
      <c r="P26" s="6">
        <v>993</v>
      </c>
      <c r="Q26" s="6">
        <v>246840</v>
      </c>
      <c r="R26" s="6">
        <f t="shared" si="13"/>
        <v>269.04246900553977</v>
      </c>
      <c r="S26" s="6">
        <f t="shared" si="14"/>
        <v>64831.163756264919</v>
      </c>
      <c r="T26" s="37"/>
      <c r="U26" s="48"/>
    </row>
    <row r="27" spans="1:21" s="1" customFormat="1" hidden="1" outlineLevel="1" x14ac:dyDescent="0.25">
      <c r="A27" s="7" t="s">
        <v>1355</v>
      </c>
      <c r="B27" s="7" t="s">
        <v>1356</v>
      </c>
      <c r="C27" s="14">
        <v>133.6</v>
      </c>
      <c r="D27" s="6">
        <v>267.3</v>
      </c>
      <c r="E27" s="6">
        <v>100</v>
      </c>
      <c r="F27" s="6">
        <v>7332</v>
      </c>
      <c r="G27" s="6">
        <v>979555.2</v>
      </c>
      <c r="H27" s="6">
        <v>144</v>
      </c>
      <c r="I27" s="6">
        <v>19238.400000000001</v>
      </c>
      <c r="J27" s="6">
        <v>5664</v>
      </c>
      <c r="K27" s="6">
        <v>756710.40000000002</v>
      </c>
      <c r="L27" s="6">
        <v>7200</v>
      </c>
      <c r="M27" s="6">
        <v>961920</v>
      </c>
      <c r="N27" s="6">
        <f t="shared" si="11"/>
        <v>20340</v>
      </c>
      <c r="O27" s="6">
        <f t="shared" si="12"/>
        <v>2717424</v>
      </c>
      <c r="P27" s="6">
        <v>728</v>
      </c>
      <c r="Q27" s="6">
        <v>101327</v>
      </c>
      <c r="R27" s="6">
        <f t="shared" si="13"/>
        <v>1849.8585858585861</v>
      </c>
      <c r="S27" s="6">
        <f t="shared" si="14"/>
        <v>247141.1070707071</v>
      </c>
      <c r="T27" s="37"/>
      <c r="U27" s="48"/>
    </row>
    <row r="28" spans="1:21" s="1" customFormat="1" hidden="1" outlineLevel="1" x14ac:dyDescent="0.25">
      <c r="A28" s="7" t="s">
        <v>1357</v>
      </c>
      <c r="B28" s="7" t="s">
        <v>1358</v>
      </c>
      <c r="C28" s="14">
        <v>167.1</v>
      </c>
      <c r="D28" s="6">
        <v>311.81</v>
      </c>
      <c r="E28" s="6">
        <v>100</v>
      </c>
      <c r="F28" s="6">
        <v>144</v>
      </c>
      <c r="G28" s="6">
        <v>24062.400000000001</v>
      </c>
      <c r="H28" s="6">
        <v>252</v>
      </c>
      <c r="I28" s="6">
        <v>42109.2</v>
      </c>
      <c r="J28" s="6">
        <v>10380</v>
      </c>
      <c r="K28" s="6">
        <v>1734498</v>
      </c>
      <c r="L28" s="6"/>
      <c r="M28" s="6"/>
      <c r="N28" s="6">
        <f t="shared" si="11"/>
        <v>10776</v>
      </c>
      <c r="O28" s="6">
        <f t="shared" si="12"/>
        <v>1800669.5999999999</v>
      </c>
      <c r="P28" s="6">
        <v>1088</v>
      </c>
      <c r="Q28" s="6">
        <v>188723</v>
      </c>
      <c r="R28" s="6">
        <f t="shared" si="13"/>
        <v>4387.8894198390044</v>
      </c>
      <c r="S28" s="6">
        <f t="shared" si="14"/>
        <v>733216.32205509755</v>
      </c>
      <c r="T28" s="37"/>
      <c r="U28" s="48"/>
    </row>
    <row r="29" spans="1:21" s="1" customFormat="1" hidden="1" outlineLevel="1" x14ac:dyDescent="0.25">
      <c r="A29" s="7" t="s">
        <v>1454</v>
      </c>
      <c r="B29" s="7" t="s">
        <v>1455</v>
      </c>
      <c r="C29" s="14">
        <v>97.3</v>
      </c>
      <c r="D29" s="6">
        <v>288.58999999999997</v>
      </c>
      <c r="E29" s="6">
        <v>100</v>
      </c>
      <c r="F29" s="6">
        <v>264</v>
      </c>
      <c r="G29" s="6">
        <v>25687.200000000001</v>
      </c>
      <c r="H29" s="6">
        <v>336</v>
      </c>
      <c r="I29" s="6">
        <v>32692.799999999999</v>
      </c>
      <c r="J29" s="6">
        <v>15312</v>
      </c>
      <c r="K29" s="6">
        <v>1489857.6</v>
      </c>
      <c r="L29" s="6"/>
      <c r="M29" s="6"/>
      <c r="N29" s="6">
        <f t="shared" si="11"/>
        <v>15912</v>
      </c>
      <c r="O29" s="6">
        <f t="shared" si="12"/>
        <v>1548237.5999999999</v>
      </c>
      <c r="P29" s="6">
        <v>1968</v>
      </c>
      <c r="Q29" s="6">
        <v>198464</v>
      </c>
      <c r="R29" s="6">
        <f t="shared" si="13"/>
        <v>5761.5651269967766</v>
      </c>
      <c r="S29" s="6">
        <f t="shared" si="14"/>
        <v>560600.28685678635</v>
      </c>
      <c r="T29" s="37"/>
      <c r="U29" s="48"/>
    </row>
    <row r="30" spans="1:21" s="1" customFormat="1" hidden="1" outlineLevel="1" x14ac:dyDescent="0.25">
      <c r="A30" s="7" t="s">
        <v>1389</v>
      </c>
      <c r="B30" s="7" t="s">
        <v>1390</v>
      </c>
      <c r="C30" s="14">
        <v>240.97</v>
      </c>
      <c r="D30" s="6">
        <v>180.39</v>
      </c>
      <c r="E30" s="6">
        <v>100</v>
      </c>
      <c r="F30" s="6">
        <v>60</v>
      </c>
      <c r="G30" s="6">
        <v>14458.2</v>
      </c>
      <c r="H30" s="6">
        <v>340</v>
      </c>
      <c r="I30" s="6">
        <v>81929.8</v>
      </c>
      <c r="J30" s="6">
        <v>5500</v>
      </c>
      <c r="K30" s="6">
        <v>1325335</v>
      </c>
      <c r="L30" s="6"/>
      <c r="M30" s="6"/>
      <c r="N30" s="6">
        <f t="shared" si="11"/>
        <v>5900</v>
      </c>
      <c r="O30" s="6">
        <f t="shared" si="12"/>
        <v>1421723</v>
      </c>
      <c r="P30" s="6">
        <v>1280</v>
      </c>
      <c r="Q30" s="6">
        <v>318290</v>
      </c>
      <c r="R30" s="6">
        <f t="shared" si="13"/>
        <v>11.890903043405538</v>
      </c>
      <c r="S30" s="6">
        <f t="shared" si="14"/>
        <v>2865.3509063694328</v>
      </c>
      <c r="T30" s="37"/>
      <c r="U30" s="48"/>
    </row>
    <row r="31" spans="1:21" s="1" customFormat="1" hidden="1" outlineLevel="1" x14ac:dyDescent="0.25">
      <c r="A31" s="7" t="s">
        <v>1401</v>
      </c>
      <c r="B31" s="7" t="s">
        <v>1402</v>
      </c>
      <c r="C31" s="14">
        <v>274.97000000000003</v>
      </c>
      <c r="D31" s="6">
        <v>308.29000000000002</v>
      </c>
      <c r="E31" s="6">
        <v>100</v>
      </c>
      <c r="F31" s="6">
        <v>120</v>
      </c>
      <c r="G31" s="6">
        <v>32996.400000000001</v>
      </c>
      <c r="H31" s="6">
        <v>216</v>
      </c>
      <c r="I31" s="6">
        <v>59393.52</v>
      </c>
      <c r="J31" s="6">
        <v>7128</v>
      </c>
      <c r="K31" s="6">
        <v>1959986.16</v>
      </c>
      <c r="L31" s="6"/>
      <c r="M31" s="6"/>
      <c r="N31" s="6">
        <f t="shared" si="11"/>
        <v>7464</v>
      </c>
      <c r="O31" s="6">
        <f t="shared" si="12"/>
        <v>2052376.0800000003</v>
      </c>
      <c r="P31" s="6">
        <v>384</v>
      </c>
      <c r="Q31" s="6">
        <v>112238</v>
      </c>
      <c r="R31" s="6">
        <f t="shared" si="13"/>
        <v>2966.2042881702296</v>
      </c>
      <c r="S31" s="6">
        <f t="shared" si="14"/>
        <v>815617.19311816816</v>
      </c>
      <c r="T31" s="37"/>
      <c r="U31" s="48"/>
    </row>
    <row r="32" spans="1:21" s="1" customFormat="1" hidden="1" outlineLevel="1" x14ac:dyDescent="0.25">
      <c r="A32" s="7" t="s">
        <v>1373</v>
      </c>
      <c r="B32" s="7" t="s">
        <v>1374</v>
      </c>
      <c r="C32" s="14">
        <v>137.49</v>
      </c>
      <c r="D32" s="6">
        <v>342.75</v>
      </c>
      <c r="E32" s="6">
        <v>100</v>
      </c>
      <c r="F32" s="6">
        <v>168</v>
      </c>
      <c r="G32" s="6">
        <v>23098.32</v>
      </c>
      <c r="H32" s="6"/>
      <c r="I32" s="6"/>
      <c r="J32" s="6">
        <v>20352</v>
      </c>
      <c r="K32" s="6">
        <v>2798196.48</v>
      </c>
      <c r="L32" s="6"/>
      <c r="M32" s="6"/>
      <c r="N32" s="6">
        <f t="shared" si="11"/>
        <v>20520</v>
      </c>
      <c r="O32" s="6">
        <f t="shared" si="12"/>
        <v>2821294.8000000003</v>
      </c>
      <c r="P32" s="6">
        <v>1384</v>
      </c>
      <c r="Q32" s="6">
        <v>194474</v>
      </c>
      <c r="R32" s="6">
        <f t="shared" si="13"/>
        <v>9663.8599562363233</v>
      </c>
      <c r="S32" s="6">
        <f t="shared" si="14"/>
        <v>1328684.1053829321</v>
      </c>
      <c r="T32" s="37"/>
      <c r="U32" s="48"/>
    </row>
    <row r="33" spans="1:21" s="1" customFormat="1" hidden="1" outlineLevel="1" x14ac:dyDescent="0.25">
      <c r="A33" s="7" t="s">
        <v>1395</v>
      </c>
      <c r="B33" s="7" t="s">
        <v>1396</v>
      </c>
      <c r="C33" s="14">
        <v>285</v>
      </c>
      <c r="D33" s="6">
        <v>79.02</v>
      </c>
      <c r="E33" s="6">
        <v>100</v>
      </c>
      <c r="F33" s="6">
        <v>456</v>
      </c>
      <c r="G33" s="6">
        <v>129960</v>
      </c>
      <c r="H33" s="6"/>
      <c r="I33" s="6"/>
      <c r="J33" s="6">
        <v>31321</v>
      </c>
      <c r="K33" s="6">
        <v>8926485</v>
      </c>
      <c r="L33" s="6"/>
      <c r="M33" s="6"/>
      <c r="N33" s="6">
        <f t="shared" si="11"/>
        <v>31777</v>
      </c>
      <c r="O33" s="6">
        <f t="shared" si="12"/>
        <v>9056445</v>
      </c>
      <c r="P33" s="6">
        <v>3124</v>
      </c>
      <c r="Q33" s="6">
        <v>934512</v>
      </c>
      <c r="R33" s="6"/>
      <c r="S33" s="6"/>
      <c r="T33" s="37"/>
      <c r="U33" s="48"/>
    </row>
    <row r="34" spans="1:21" s="1" customFormat="1" hidden="1" outlineLevel="1" x14ac:dyDescent="0.25">
      <c r="A34" s="7" t="s">
        <v>1346</v>
      </c>
      <c r="B34" s="7" t="s">
        <v>1347</v>
      </c>
      <c r="C34" s="14">
        <v>253.82</v>
      </c>
      <c r="D34" s="6">
        <v>308.3</v>
      </c>
      <c r="E34" s="6">
        <v>100</v>
      </c>
      <c r="F34" s="6">
        <v>20</v>
      </c>
      <c r="G34" s="6">
        <v>5076.3999999999996</v>
      </c>
      <c r="H34" s="6">
        <v>100</v>
      </c>
      <c r="I34" s="6">
        <v>25382</v>
      </c>
      <c r="J34" s="6">
        <v>4800</v>
      </c>
      <c r="K34" s="6">
        <v>1218336</v>
      </c>
      <c r="L34" s="6"/>
      <c r="M34" s="6"/>
      <c r="N34" s="6">
        <f t="shared" si="11"/>
        <v>4920</v>
      </c>
      <c r="O34" s="6">
        <f t="shared" si="12"/>
        <v>1248794.3999999999</v>
      </c>
      <c r="P34" s="6">
        <v>360</v>
      </c>
      <c r="Q34" s="6">
        <v>95772</v>
      </c>
      <c r="R34" s="6">
        <f t="shared" si="13"/>
        <v>1997.5348686344471</v>
      </c>
      <c r="S34" s="6">
        <f t="shared" si="14"/>
        <v>507014.30035679537</v>
      </c>
      <c r="T34" s="37"/>
      <c r="U34" s="48"/>
    </row>
    <row r="35" spans="1:21" s="1" customFormat="1" hidden="1" outlineLevel="1" x14ac:dyDescent="0.25">
      <c r="A35" s="7" t="s">
        <v>1424</v>
      </c>
      <c r="B35" s="7" t="s">
        <v>1425</v>
      </c>
      <c r="C35" s="14">
        <v>401.87</v>
      </c>
      <c r="D35" s="6">
        <v>46.19</v>
      </c>
      <c r="E35" s="6">
        <v>75.27</v>
      </c>
      <c r="F35" s="6">
        <v>132</v>
      </c>
      <c r="G35" s="6">
        <v>53046.84</v>
      </c>
      <c r="H35" s="6">
        <v>720</v>
      </c>
      <c r="I35" s="6">
        <v>289346.40000000002</v>
      </c>
      <c r="J35" s="6">
        <v>3324</v>
      </c>
      <c r="K35" s="6">
        <v>1335815.8800000001</v>
      </c>
      <c r="L35" s="6"/>
      <c r="M35" s="6"/>
      <c r="N35" s="6">
        <f t="shared" si="11"/>
        <v>4176</v>
      </c>
      <c r="O35" s="6">
        <f t="shared" si="12"/>
        <v>1678209.12</v>
      </c>
      <c r="P35" s="6">
        <v>436</v>
      </c>
      <c r="Q35" s="6">
        <v>180097</v>
      </c>
      <c r="R35" s="6"/>
      <c r="S35" s="6"/>
      <c r="T35" s="37"/>
      <c r="U35" s="48"/>
    </row>
    <row r="36" spans="1:21" s="1" customFormat="1" hidden="1" outlineLevel="1" x14ac:dyDescent="0.25">
      <c r="A36" s="7" t="s">
        <v>1377</v>
      </c>
      <c r="B36" s="7" t="s">
        <v>1378</v>
      </c>
      <c r="C36" s="14">
        <v>264.39999999999998</v>
      </c>
      <c r="D36" s="6">
        <v>522.26</v>
      </c>
      <c r="E36" s="6">
        <v>100</v>
      </c>
      <c r="F36" s="6">
        <v>48</v>
      </c>
      <c r="G36" s="6">
        <v>12691.2</v>
      </c>
      <c r="H36" s="6">
        <v>72</v>
      </c>
      <c r="I36" s="6">
        <v>19036.8</v>
      </c>
      <c r="J36" s="6">
        <v>10560</v>
      </c>
      <c r="K36" s="6">
        <v>2792064</v>
      </c>
      <c r="L36" s="6"/>
      <c r="M36" s="6"/>
      <c r="N36" s="6">
        <f t="shared" si="11"/>
        <v>10680</v>
      </c>
      <c r="O36" s="6">
        <f t="shared" si="12"/>
        <v>2823791.9999999995</v>
      </c>
      <c r="P36" s="6">
        <v>768</v>
      </c>
      <c r="Q36" s="6">
        <v>202402</v>
      </c>
      <c r="R36" s="6">
        <f t="shared" si="13"/>
        <v>6920.4335005552784</v>
      </c>
      <c r="S36" s="6">
        <f t="shared" si="14"/>
        <v>1829762.6175468154</v>
      </c>
      <c r="T36" s="37"/>
      <c r="U36" s="48"/>
    </row>
    <row r="37" spans="1:21" s="1" customFormat="1" hidden="1" outlineLevel="1" x14ac:dyDescent="0.25">
      <c r="A37" s="7" t="s">
        <v>1434</v>
      </c>
      <c r="B37" s="7" t="s">
        <v>1435</v>
      </c>
      <c r="C37" s="14">
        <v>222.09</v>
      </c>
      <c r="D37" s="6">
        <v>213.81</v>
      </c>
      <c r="E37" s="6">
        <v>100</v>
      </c>
      <c r="F37" s="6">
        <v>312</v>
      </c>
      <c r="G37" s="6">
        <v>69292.08</v>
      </c>
      <c r="H37" s="6">
        <v>1536</v>
      </c>
      <c r="I37" s="6">
        <v>341130.23999999999</v>
      </c>
      <c r="J37" s="6">
        <v>7464</v>
      </c>
      <c r="K37" s="6">
        <v>1657679.76</v>
      </c>
      <c r="L37" s="6"/>
      <c r="M37" s="6"/>
      <c r="N37" s="6">
        <f t="shared" si="11"/>
        <v>9312</v>
      </c>
      <c r="O37" s="6">
        <f t="shared" si="12"/>
        <v>2068102.08</v>
      </c>
      <c r="P37" s="6">
        <v>1600</v>
      </c>
      <c r="Q37" s="6">
        <v>373330</v>
      </c>
      <c r="R37" s="6">
        <f t="shared" si="13"/>
        <v>1180.2901641644451</v>
      </c>
      <c r="S37" s="6">
        <f t="shared" si="14"/>
        <v>262130.64255928161</v>
      </c>
      <c r="T37" s="37"/>
      <c r="U37" s="48"/>
    </row>
    <row r="38" spans="1:21" s="1" customFormat="1" hidden="1" outlineLevel="1" x14ac:dyDescent="0.25">
      <c r="A38" s="7" t="s">
        <v>1580</v>
      </c>
      <c r="B38" s="7" t="s">
        <v>1581</v>
      </c>
      <c r="C38" s="14">
        <v>153.35</v>
      </c>
      <c r="D38" s="6">
        <v>482.63</v>
      </c>
      <c r="E38" s="6">
        <v>100</v>
      </c>
      <c r="F38" s="6">
        <v>72</v>
      </c>
      <c r="G38" s="6">
        <v>11041.2</v>
      </c>
      <c r="H38" s="6">
        <v>120</v>
      </c>
      <c r="I38" s="6">
        <v>18402</v>
      </c>
      <c r="J38" s="6">
        <v>8880</v>
      </c>
      <c r="K38" s="6">
        <v>1361748</v>
      </c>
      <c r="L38" s="6"/>
      <c r="M38" s="6"/>
      <c r="N38" s="6">
        <f t="shared" si="11"/>
        <v>9072</v>
      </c>
      <c r="O38" s="6">
        <f t="shared" si="12"/>
        <v>1391191.2</v>
      </c>
      <c r="P38" s="6">
        <v>568</v>
      </c>
      <c r="Q38" s="6">
        <v>89902</v>
      </c>
      <c r="R38" s="6">
        <f t="shared" si="13"/>
        <v>5568.1461989515783</v>
      </c>
      <c r="S38" s="6">
        <f t="shared" si="14"/>
        <v>853875.21960922447</v>
      </c>
      <c r="T38" s="37"/>
      <c r="U38" s="48"/>
    </row>
    <row r="39" spans="1:21" s="1" customFormat="1" hidden="1" outlineLevel="1" x14ac:dyDescent="0.25">
      <c r="A39" s="7" t="s">
        <v>1416</v>
      </c>
      <c r="B39" s="7" t="s">
        <v>1417</v>
      </c>
      <c r="C39" s="14">
        <v>255</v>
      </c>
      <c r="D39" s="6">
        <v>149.85</v>
      </c>
      <c r="E39" s="6">
        <v>100</v>
      </c>
      <c r="F39" s="6">
        <v>12</v>
      </c>
      <c r="G39" s="6">
        <v>3060</v>
      </c>
      <c r="H39" s="6">
        <v>60</v>
      </c>
      <c r="I39" s="6">
        <v>15300</v>
      </c>
      <c r="J39" s="6">
        <v>19908</v>
      </c>
      <c r="K39" s="6">
        <v>5076540</v>
      </c>
      <c r="L39" s="6">
        <v>9600</v>
      </c>
      <c r="M39" s="6">
        <v>2448000</v>
      </c>
      <c r="N39" s="6">
        <f t="shared" si="11"/>
        <v>29580</v>
      </c>
      <c r="O39" s="6">
        <f t="shared" si="12"/>
        <v>7542900</v>
      </c>
      <c r="P39" s="6">
        <v>4708</v>
      </c>
      <c r="Q39" s="6">
        <v>1300384</v>
      </c>
      <c r="R39" s="6"/>
      <c r="S39" s="6"/>
      <c r="T39" s="37"/>
      <c r="U39" s="48"/>
    </row>
    <row r="40" spans="1:21" s="1" customFormat="1" hidden="1" outlineLevel="1" x14ac:dyDescent="0.25">
      <c r="A40" s="7" t="s">
        <v>1476</v>
      </c>
      <c r="B40" s="7" t="s">
        <v>1477</v>
      </c>
      <c r="C40" s="14">
        <v>84.61</v>
      </c>
      <c r="D40" s="6">
        <v>14.33</v>
      </c>
      <c r="E40" s="6">
        <v>15.05</v>
      </c>
      <c r="F40" s="6">
        <v>40</v>
      </c>
      <c r="G40" s="6">
        <v>3384.4</v>
      </c>
      <c r="H40" s="6"/>
      <c r="I40" s="6"/>
      <c r="J40" s="6">
        <v>0</v>
      </c>
      <c r="K40" s="6">
        <v>0</v>
      </c>
      <c r="L40" s="6"/>
      <c r="M40" s="6"/>
      <c r="N40" s="6">
        <f t="shared" si="11"/>
        <v>40</v>
      </c>
      <c r="O40" s="6">
        <f t="shared" si="12"/>
        <v>3384.4</v>
      </c>
      <c r="P40" s="6">
        <v>20</v>
      </c>
      <c r="Q40" s="6">
        <v>1840</v>
      </c>
      <c r="R40" s="6"/>
      <c r="S40" s="6"/>
      <c r="T40" s="37"/>
      <c r="U40" s="48"/>
    </row>
    <row r="41" spans="1:21" s="1" customFormat="1" hidden="1" outlineLevel="1" x14ac:dyDescent="0.25">
      <c r="A41" s="7" t="s">
        <v>1444</v>
      </c>
      <c r="B41" s="7" t="s">
        <v>1445</v>
      </c>
      <c r="C41" s="14">
        <v>111.06</v>
      </c>
      <c r="D41" s="6">
        <v>463.3</v>
      </c>
      <c r="E41" s="6">
        <v>100</v>
      </c>
      <c r="F41" s="6">
        <v>48</v>
      </c>
      <c r="G41" s="6">
        <v>5330.88</v>
      </c>
      <c r="H41" s="6">
        <v>24</v>
      </c>
      <c r="I41" s="6">
        <v>2665.44</v>
      </c>
      <c r="J41" s="6">
        <v>21072</v>
      </c>
      <c r="K41" s="6">
        <v>2340256.3199999998</v>
      </c>
      <c r="L41" s="6"/>
      <c r="M41" s="6"/>
      <c r="N41" s="6">
        <f t="shared" si="11"/>
        <v>21144</v>
      </c>
      <c r="O41" s="6">
        <f t="shared" si="12"/>
        <v>2348252.64</v>
      </c>
      <c r="P41" s="6">
        <v>1488</v>
      </c>
      <c r="Q41" s="6">
        <v>164087</v>
      </c>
      <c r="R41" s="6">
        <f t="shared" si="13"/>
        <v>12885.166414849989</v>
      </c>
      <c r="S41" s="6">
        <f t="shared" si="14"/>
        <v>1431026.5820332398</v>
      </c>
      <c r="T41" s="37"/>
      <c r="U41" s="48"/>
    </row>
    <row r="42" spans="1:21" s="1" customFormat="1" hidden="1" outlineLevel="1" x14ac:dyDescent="0.25">
      <c r="A42" s="7" t="s">
        <v>1375</v>
      </c>
      <c r="B42" s="7" t="s">
        <v>1376</v>
      </c>
      <c r="C42" s="14">
        <v>137.49</v>
      </c>
      <c r="D42" s="6">
        <v>107.9</v>
      </c>
      <c r="E42" s="6">
        <v>100</v>
      </c>
      <c r="F42" s="6">
        <v>192</v>
      </c>
      <c r="G42" s="6">
        <v>26398.080000000002</v>
      </c>
      <c r="H42" s="6"/>
      <c r="I42" s="6"/>
      <c r="J42" s="6">
        <v>3696</v>
      </c>
      <c r="K42" s="6">
        <v>508163.04</v>
      </c>
      <c r="L42" s="6"/>
      <c r="M42" s="6"/>
      <c r="N42" s="6">
        <f t="shared" si="11"/>
        <v>3888</v>
      </c>
      <c r="O42" s="6">
        <f t="shared" si="12"/>
        <v>534561.12</v>
      </c>
      <c r="P42" s="6">
        <v>2576</v>
      </c>
      <c r="Q42" s="6">
        <v>381977</v>
      </c>
      <c r="R42" s="6"/>
      <c r="S42" s="6"/>
      <c r="T42" s="37"/>
      <c r="U42" s="48"/>
    </row>
    <row r="43" spans="1:21" s="1" customFormat="1" hidden="1" outlineLevel="1" x14ac:dyDescent="0.25">
      <c r="A43" s="7" t="s">
        <v>1462</v>
      </c>
      <c r="B43" s="7" t="s">
        <v>1463</v>
      </c>
      <c r="C43" s="14">
        <v>89.9</v>
      </c>
      <c r="D43" s="6">
        <v>80.41</v>
      </c>
      <c r="E43" s="6">
        <v>100</v>
      </c>
      <c r="F43" s="6"/>
      <c r="G43" s="6"/>
      <c r="H43" s="6">
        <v>48</v>
      </c>
      <c r="I43" s="6">
        <v>4315.2</v>
      </c>
      <c r="J43" s="6">
        <v>2112</v>
      </c>
      <c r="K43" s="6">
        <v>189868.79999999999</v>
      </c>
      <c r="L43" s="6"/>
      <c r="M43" s="6"/>
      <c r="N43" s="6">
        <f t="shared" si="11"/>
        <v>2160</v>
      </c>
      <c r="O43" s="6">
        <f t="shared" si="12"/>
        <v>194184</v>
      </c>
      <c r="P43" s="6">
        <v>1568</v>
      </c>
      <c r="Q43" s="6">
        <v>134541</v>
      </c>
      <c r="R43" s="6"/>
      <c r="S43" s="6"/>
      <c r="T43" s="37"/>
      <c r="U43" s="48"/>
    </row>
    <row r="44" spans="1:21" s="1" customFormat="1" hidden="1" outlineLevel="1" x14ac:dyDescent="0.25">
      <c r="A44" s="7" t="s">
        <v>1522</v>
      </c>
      <c r="B44" s="7" t="s">
        <v>1523</v>
      </c>
      <c r="C44" s="14">
        <v>133.25</v>
      </c>
      <c r="D44" s="6">
        <v>144.22999999999999</v>
      </c>
      <c r="E44" s="6">
        <v>100</v>
      </c>
      <c r="F44" s="6">
        <v>156</v>
      </c>
      <c r="G44" s="6">
        <v>20787</v>
      </c>
      <c r="H44" s="6"/>
      <c r="I44" s="6"/>
      <c r="J44" s="6">
        <v>9960</v>
      </c>
      <c r="K44" s="6">
        <v>1327170</v>
      </c>
      <c r="L44" s="6"/>
      <c r="M44" s="6"/>
      <c r="N44" s="6">
        <f t="shared" si="11"/>
        <v>10116</v>
      </c>
      <c r="O44" s="6">
        <f t="shared" si="12"/>
        <v>1347957</v>
      </c>
      <c r="P44" s="6">
        <v>1200</v>
      </c>
      <c r="Q44" s="6">
        <v>164305</v>
      </c>
      <c r="R44" s="6"/>
      <c r="S44" s="6"/>
      <c r="T44" s="37"/>
      <c r="U44" s="48"/>
    </row>
    <row r="45" spans="1:21" s="1" customFormat="1" hidden="1" outlineLevel="1" x14ac:dyDescent="0.25">
      <c r="A45" s="7" t="s">
        <v>1582</v>
      </c>
      <c r="B45" s="7" t="s">
        <v>1583</v>
      </c>
      <c r="C45" s="14">
        <v>90.95</v>
      </c>
      <c r="D45" s="6">
        <v>129.05000000000001</v>
      </c>
      <c r="E45" s="6">
        <v>100</v>
      </c>
      <c r="F45" s="6">
        <v>2556</v>
      </c>
      <c r="G45" s="6">
        <v>232468.2</v>
      </c>
      <c r="H45" s="6">
        <v>36</v>
      </c>
      <c r="I45" s="6">
        <v>3274.2</v>
      </c>
      <c r="J45" s="6">
        <v>792</v>
      </c>
      <c r="K45" s="6">
        <v>72032.399999999994</v>
      </c>
      <c r="L45" s="6">
        <v>1824</v>
      </c>
      <c r="M45" s="6">
        <v>165892.79999999999</v>
      </c>
      <c r="N45" s="6">
        <f t="shared" si="11"/>
        <v>5208</v>
      </c>
      <c r="O45" s="6">
        <f t="shared" si="12"/>
        <v>473667.60000000003</v>
      </c>
      <c r="P45" s="6">
        <v>1548</v>
      </c>
      <c r="Q45" s="6">
        <v>140737</v>
      </c>
      <c r="R45" s="6"/>
      <c r="S45" s="6"/>
      <c r="T45" s="37"/>
      <c r="U45" s="48"/>
    </row>
    <row r="46" spans="1:21" s="1" customFormat="1" collapsed="1" x14ac:dyDescent="0.25">
      <c r="A46" s="15" t="s">
        <v>818</v>
      </c>
      <c r="B46" s="16"/>
      <c r="C46" s="16"/>
      <c r="D46" s="15">
        <v>609</v>
      </c>
      <c r="E46" s="15">
        <v>82.8</v>
      </c>
      <c r="F46" s="15">
        <f t="shared" ref="F46:R46" si="15">SUM(F47:F125)</f>
        <v>8576</v>
      </c>
      <c r="G46" s="15">
        <f t="shared" si="15"/>
        <v>896421.05999999994</v>
      </c>
      <c r="H46" s="15">
        <f t="shared" si="15"/>
        <v>1583</v>
      </c>
      <c r="I46" s="15">
        <f t="shared" si="15"/>
        <v>213112.42</v>
      </c>
      <c r="J46" s="15">
        <f t="shared" si="15"/>
        <v>273288</v>
      </c>
      <c r="K46" s="15">
        <f t="shared" si="15"/>
        <v>39570036.919999987</v>
      </c>
      <c r="L46" s="15">
        <f t="shared" si="15"/>
        <v>8268</v>
      </c>
      <c r="M46" s="15">
        <f t="shared" si="15"/>
        <v>1007229.12</v>
      </c>
      <c r="N46" s="15">
        <f t="shared" si="15"/>
        <v>291715</v>
      </c>
      <c r="O46" s="15">
        <f t="shared" si="15"/>
        <v>41686799.519999996</v>
      </c>
      <c r="P46" s="15">
        <f t="shared" si="15"/>
        <v>16320</v>
      </c>
      <c r="Q46" s="15">
        <f t="shared" si="15"/>
        <v>2562959</v>
      </c>
      <c r="R46" s="15">
        <f t="shared" si="15"/>
        <v>158277.0247004813</v>
      </c>
      <c r="S46" s="15">
        <f>SUM(S47:S125)</f>
        <v>21806215.996680774</v>
      </c>
      <c r="T46" s="50"/>
      <c r="U46" s="51"/>
    </row>
    <row r="47" spans="1:21" s="1" customFormat="1" hidden="1" outlineLevel="1" x14ac:dyDescent="0.25">
      <c r="A47" s="7" t="s">
        <v>1578</v>
      </c>
      <c r="B47" s="7" t="s">
        <v>1579</v>
      </c>
      <c r="C47" s="14">
        <v>133.25</v>
      </c>
      <c r="D47" s="6">
        <v>605.42999999999995</v>
      </c>
      <c r="E47" s="6">
        <v>100</v>
      </c>
      <c r="F47" s="6">
        <v>12</v>
      </c>
      <c r="G47" s="6">
        <v>1599</v>
      </c>
      <c r="H47" s="6"/>
      <c r="I47" s="6"/>
      <c r="J47" s="6">
        <v>14856</v>
      </c>
      <c r="K47" s="6">
        <v>1979562</v>
      </c>
      <c r="L47" s="6"/>
      <c r="M47" s="6"/>
      <c r="N47" s="6">
        <f t="shared" ref="N47:N78" si="16">IF(J47+L47+H47+F47&lt;=0,"",J47+L47+H47+F47)</f>
        <v>14868</v>
      </c>
      <c r="O47" s="6">
        <f t="shared" ref="O47:O78" si="17">IFERROR(C47*N47,"")</f>
        <v>1981161</v>
      </c>
      <c r="P47" s="6">
        <v>308</v>
      </c>
      <c r="Q47" s="6">
        <v>42340</v>
      </c>
      <c r="R47" s="6">
        <f t="shared" ref="R47:R106" si="18">J47/D47*(D47-180)</f>
        <v>10439.172290768543</v>
      </c>
      <c r="S47" s="6">
        <f t="shared" ref="S47:S106" si="19">R47*C47</f>
        <v>1391019.7077449085</v>
      </c>
      <c r="T47" s="37"/>
      <c r="U47" s="48"/>
    </row>
    <row r="48" spans="1:21" s="1" customFormat="1" hidden="1" outlineLevel="1" x14ac:dyDescent="0.25">
      <c r="A48" s="7" t="s">
        <v>1458</v>
      </c>
      <c r="B48" s="7" t="s">
        <v>1459</v>
      </c>
      <c r="C48" s="14">
        <v>90.95</v>
      </c>
      <c r="D48" s="6">
        <v>77.75</v>
      </c>
      <c r="E48" s="6">
        <v>100</v>
      </c>
      <c r="F48" s="6">
        <v>1740</v>
      </c>
      <c r="G48" s="6">
        <v>158253</v>
      </c>
      <c r="H48" s="6">
        <v>24</v>
      </c>
      <c r="I48" s="6">
        <v>2182.8000000000002</v>
      </c>
      <c r="J48" s="6">
        <v>0</v>
      </c>
      <c r="K48" s="6">
        <v>0</v>
      </c>
      <c r="L48" s="6">
        <v>1392</v>
      </c>
      <c r="M48" s="6">
        <v>126602.4</v>
      </c>
      <c r="N48" s="6">
        <f t="shared" si="16"/>
        <v>3156</v>
      </c>
      <c r="O48" s="6">
        <f t="shared" si="17"/>
        <v>287038.2</v>
      </c>
      <c r="P48" s="6">
        <v>1336</v>
      </c>
      <c r="Q48" s="6">
        <v>121933</v>
      </c>
      <c r="R48" s="6"/>
      <c r="S48" s="6"/>
      <c r="T48" s="37"/>
      <c r="U48" s="48"/>
    </row>
    <row r="49" spans="1:21" s="17" customFormat="1" ht="14.1" hidden="1" customHeight="1" outlineLevel="1" x14ac:dyDescent="0.2">
      <c r="A49" s="7" t="s">
        <v>1466</v>
      </c>
      <c r="B49" s="7" t="s">
        <v>1467</v>
      </c>
      <c r="C49" s="14">
        <v>88.84</v>
      </c>
      <c r="D49" s="6">
        <v>289.52999999999997</v>
      </c>
      <c r="E49" s="6">
        <v>100</v>
      </c>
      <c r="F49" s="6">
        <v>36</v>
      </c>
      <c r="G49" s="6">
        <v>3198.24</v>
      </c>
      <c r="H49" s="6">
        <v>36</v>
      </c>
      <c r="I49" s="6">
        <v>3198.24</v>
      </c>
      <c r="J49" s="6">
        <v>5040</v>
      </c>
      <c r="K49" s="6">
        <v>447753.6</v>
      </c>
      <c r="L49" s="6"/>
      <c r="M49" s="6"/>
      <c r="N49" s="6">
        <f t="shared" si="16"/>
        <v>5112</v>
      </c>
      <c r="O49" s="6">
        <f t="shared" si="17"/>
        <v>454150.08</v>
      </c>
      <c r="P49" s="6">
        <v>588</v>
      </c>
      <c r="Q49" s="6">
        <v>52948</v>
      </c>
      <c r="R49" s="6">
        <f t="shared" si="18"/>
        <v>1906.6459434255514</v>
      </c>
      <c r="S49" s="6">
        <f t="shared" si="19"/>
        <v>169386.425613926</v>
      </c>
      <c r="T49" s="37"/>
      <c r="U49" s="48"/>
    </row>
    <row r="50" spans="1:21" s="1" customFormat="1" hidden="1" outlineLevel="1" x14ac:dyDescent="0.25">
      <c r="A50" s="7" t="s">
        <v>1344</v>
      </c>
      <c r="B50" s="7" t="s">
        <v>1345</v>
      </c>
      <c r="C50" s="14">
        <v>100.47</v>
      </c>
      <c r="D50" s="6">
        <v>333.89</v>
      </c>
      <c r="E50" s="6">
        <v>100</v>
      </c>
      <c r="F50" s="6">
        <v>5568</v>
      </c>
      <c r="G50" s="6">
        <v>559416.96</v>
      </c>
      <c r="H50" s="6">
        <v>216</v>
      </c>
      <c r="I50" s="6">
        <v>21701.52</v>
      </c>
      <c r="J50" s="6">
        <v>888</v>
      </c>
      <c r="K50" s="6">
        <v>89217.36</v>
      </c>
      <c r="L50" s="6">
        <v>5376</v>
      </c>
      <c r="M50" s="6">
        <v>540126.71999999997</v>
      </c>
      <c r="N50" s="6">
        <f t="shared" si="16"/>
        <v>12048</v>
      </c>
      <c r="O50" s="6">
        <f t="shared" si="17"/>
        <v>1210462.56</v>
      </c>
      <c r="P50" s="6">
        <v>632</v>
      </c>
      <c r="Q50" s="6">
        <v>64125</v>
      </c>
      <c r="R50" s="6">
        <f t="shared" si="18"/>
        <v>409.27946329629515</v>
      </c>
      <c r="S50" s="6">
        <f t="shared" si="19"/>
        <v>41120.307677378776</v>
      </c>
      <c r="T50" s="37"/>
      <c r="U50" s="48"/>
    </row>
    <row r="51" spans="1:21" s="1" customFormat="1" hidden="1" outlineLevel="1" x14ac:dyDescent="0.25">
      <c r="A51" s="7" t="s">
        <v>1470</v>
      </c>
      <c r="B51" s="7" t="s">
        <v>1471</v>
      </c>
      <c r="C51" s="14">
        <v>88.84</v>
      </c>
      <c r="D51" s="6">
        <v>447.3</v>
      </c>
      <c r="E51" s="6">
        <v>100</v>
      </c>
      <c r="F51" s="6">
        <v>36</v>
      </c>
      <c r="G51" s="6">
        <v>3198.24</v>
      </c>
      <c r="H51" s="6">
        <v>36</v>
      </c>
      <c r="I51" s="6">
        <v>3198.24</v>
      </c>
      <c r="J51" s="6">
        <v>8460</v>
      </c>
      <c r="K51" s="6">
        <v>751586.4</v>
      </c>
      <c r="L51" s="6"/>
      <c r="M51" s="6"/>
      <c r="N51" s="6">
        <f t="shared" si="16"/>
        <v>8532</v>
      </c>
      <c r="O51" s="6">
        <f t="shared" si="17"/>
        <v>757982.88</v>
      </c>
      <c r="P51" s="6">
        <v>580</v>
      </c>
      <c r="Q51" s="6">
        <v>52647</v>
      </c>
      <c r="R51" s="6">
        <f t="shared" si="18"/>
        <v>5055.5734406438633</v>
      </c>
      <c r="S51" s="6">
        <f t="shared" si="19"/>
        <v>449137.14446680085</v>
      </c>
      <c r="T51" s="37"/>
      <c r="U51" s="48"/>
    </row>
    <row r="52" spans="1:21" s="1" customFormat="1" hidden="1" outlineLevel="1" x14ac:dyDescent="0.25">
      <c r="A52" s="7" t="s">
        <v>1442</v>
      </c>
      <c r="B52" s="7" t="s">
        <v>1443</v>
      </c>
      <c r="C52" s="14">
        <v>105.76</v>
      </c>
      <c r="D52" s="6">
        <v>4051.73</v>
      </c>
      <c r="E52" s="6">
        <v>100</v>
      </c>
      <c r="F52" s="6"/>
      <c r="G52" s="6"/>
      <c r="H52" s="6">
        <v>24</v>
      </c>
      <c r="I52" s="6">
        <v>2538.2399999999998</v>
      </c>
      <c r="J52" s="6">
        <v>11304</v>
      </c>
      <c r="K52" s="6">
        <v>1195511.04</v>
      </c>
      <c r="L52" s="6"/>
      <c r="M52" s="6"/>
      <c r="N52" s="6">
        <f t="shared" si="16"/>
        <v>11328</v>
      </c>
      <c r="O52" s="6">
        <f t="shared" si="17"/>
        <v>1198049.28</v>
      </c>
      <c r="P52" s="6">
        <v>88</v>
      </c>
      <c r="Q52" s="6">
        <v>9805</v>
      </c>
      <c r="R52" s="6">
        <f t="shared" si="18"/>
        <v>10801.814513800278</v>
      </c>
      <c r="S52" s="6">
        <f t="shared" si="19"/>
        <v>1142399.9029795176</v>
      </c>
      <c r="T52" s="37"/>
      <c r="U52" s="48"/>
    </row>
    <row r="53" spans="1:21" s="1" customFormat="1" hidden="1" outlineLevel="1" x14ac:dyDescent="0.25">
      <c r="A53" s="7" t="s">
        <v>1450</v>
      </c>
      <c r="B53" s="7" t="s">
        <v>1451</v>
      </c>
      <c r="C53" s="14">
        <v>92.01</v>
      </c>
      <c r="D53" s="6">
        <v>274.93</v>
      </c>
      <c r="E53" s="6">
        <v>100</v>
      </c>
      <c r="F53" s="6"/>
      <c r="G53" s="6"/>
      <c r="H53" s="6">
        <v>48</v>
      </c>
      <c r="I53" s="6">
        <v>4416.4799999999996</v>
      </c>
      <c r="J53" s="6">
        <v>2208</v>
      </c>
      <c r="K53" s="6">
        <v>203158.08</v>
      </c>
      <c r="L53" s="6"/>
      <c r="M53" s="6"/>
      <c r="N53" s="6">
        <f t="shared" si="16"/>
        <v>2256</v>
      </c>
      <c r="O53" s="6">
        <f t="shared" si="17"/>
        <v>207574.56</v>
      </c>
      <c r="P53" s="6">
        <v>312</v>
      </c>
      <c r="Q53" s="6">
        <v>27500</v>
      </c>
      <c r="R53" s="6">
        <f t="shared" si="18"/>
        <v>762.3956643509257</v>
      </c>
      <c r="S53" s="6">
        <f t="shared" si="19"/>
        <v>70148.025076928679</v>
      </c>
      <c r="T53" s="37"/>
      <c r="U53" s="48"/>
    </row>
    <row r="54" spans="1:21" s="1" customFormat="1" hidden="1" outlineLevel="1" x14ac:dyDescent="0.25">
      <c r="A54" s="7" t="s">
        <v>1518</v>
      </c>
      <c r="B54" s="7" t="s">
        <v>1519</v>
      </c>
      <c r="C54" s="14">
        <v>133.25</v>
      </c>
      <c r="D54" s="6">
        <v>229.78</v>
      </c>
      <c r="E54" s="6">
        <v>100</v>
      </c>
      <c r="F54" s="6">
        <v>180</v>
      </c>
      <c r="G54" s="6">
        <v>23985</v>
      </c>
      <c r="H54" s="6">
        <v>144</v>
      </c>
      <c r="I54" s="6">
        <v>19188</v>
      </c>
      <c r="J54" s="6">
        <v>8700</v>
      </c>
      <c r="K54" s="6">
        <v>1159275</v>
      </c>
      <c r="L54" s="6"/>
      <c r="M54" s="6"/>
      <c r="N54" s="6">
        <f t="shared" si="16"/>
        <v>9024</v>
      </c>
      <c r="O54" s="6">
        <f t="shared" si="17"/>
        <v>1202448</v>
      </c>
      <c r="P54" s="6">
        <v>700</v>
      </c>
      <c r="Q54" s="6">
        <v>96294</v>
      </c>
      <c r="R54" s="6">
        <f t="shared" si="18"/>
        <v>1884.7854469492559</v>
      </c>
      <c r="S54" s="6">
        <f t="shared" si="19"/>
        <v>251147.66080598833</v>
      </c>
      <c r="T54" s="37"/>
      <c r="U54" s="48"/>
    </row>
    <row r="55" spans="1:21" s="1" customFormat="1" hidden="1" outlineLevel="1" x14ac:dyDescent="0.25">
      <c r="A55" s="7" t="s">
        <v>1418</v>
      </c>
      <c r="B55" s="7" t="s">
        <v>1419</v>
      </c>
      <c r="C55" s="14">
        <v>227</v>
      </c>
      <c r="D55" s="6">
        <v>322.81</v>
      </c>
      <c r="E55" s="6">
        <v>100</v>
      </c>
      <c r="F55" s="6">
        <v>12</v>
      </c>
      <c r="G55" s="6">
        <v>2724</v>
      </c>
      <c r="H55" s="6">
        <v>36</v>
      </c>
      <c r="I55" s="6">
        <v>8172</v>
      </c>
      <c r="J55" s="6">
        <v>17772</v>
      </c>
      <c r="K55" s="6">
        <v>4034244</v>
      </c>
      <c r="L55" s="6">
        <v>1500</v>
      </c>
      <c r="M55" s="6">
        <v>340500</v>
      </c>
      <c r="N55" s="6">
        <f t="shared" si="16"/>
        <v>19320</v>
      </c>
      <c r="O55" s="6">
        <f t="shared" si="17"/>
        <v>4385640</v>
      </c>
      <c r="P55" s="6">
        <v>1712</v>
      </c>
      <c r="Q55" s="6">
        <v>429007</v>
      </c>
      <c r="R55" s="6">
        <f t="shared" si="18"/>
        <v>7862.2698181592887</v>
      </c>
      <c r="S55" s="6">
        <f t="shared" si="19"/>
        <v>1784735.2487221586</v>
      </c>
      <c r="T55" s="37"/>
      <c r="U55" s="48"/>
    </row>
    <row r="56" spans="1:21" s="1" customFormat="1" hidden="1" outlineLevel="1" x14ac:dyDescent="0.25">
      <c r="A56" s="7" t="s">
        <v>1570</v>
      </c>
      <c r="B56" s="7" t="s">
        <v>1571</v>
      </c>
      <c r="C56" s="14">
        <v>951.81</v>
      </c>
      <c r="D56" s="6">
        <v>152.72</v>
      </c>
      <c r="E56" s="6">
        <v>100</v>
      </c>
      <c r="F56" s="6">
        <v>1</v>
      </c>
      <c r="G56" s="6">
        <v>951.81</v>
      </c>
      <c r="H56" s="6">
        <v>30</v>
      </c>
      <c r="I56" s="6">
        <v>28554.3</v>
      </c>
      <c r="J56" s="6">
        <v>718</v>
      </c>
      <c r="K56" s="6">
        <v>683399.58</v>
      </c>
      <c r="L56" s="6"/>
      <c r="M56" s="6"/>
      <c r="N56" s="6">
        <f t="shared" si="16"/>
        <v>749</v>
      </c>
      <c r="O56" s="6">
        <f t="shared" si="17"/>
        <v>712905.69</v>
      </c>
      <c r="P56" s="6">
        <v>117</v>
      </c>
      <c r="Q56" s="6">
        <v>110061</v>
      </c>
      <c r="R56" s="6"/>
      <c r="S56" s="6"/>
      <c r="T56" s="37"/>
      <c r="U56" s="48"/>
    </row>
    <row r="57" spans="1:21" s="1" customFormat="1" hidden="1" outlineLevel="1" x14ac:dyDescent="0.25">
      <c r="A57" s="7" t="s">
        <v>1552</v>
      </c>
      <c r="B57" s="7" t="s">
        <v>1553</v>
      </c>
      <c r="C57" s="14">
        <v>148.06</v>
      </c>
      <c r="D57" s="6">
        <v>65.540000000000006</v>
      </c>
      <c r="E57" s="6">
        <v>100</v>
      </c>
      <c r="F57" s="6">
        <v>12</v>
      </c>
      <c r="G57" s="6">
        <v>1776.72</v>
      </c>
      <c r="H57" s="6">
        <v>48</v>
      </c>
      <c r="I57" s="6">
        <v>7106.88</v>
      </c>
      <c r="J57" s="6">
        <v>2196</v>
      </c>
      <c r="K57" s="6">
        <v>325139.76</v>
      </c>
      <c r="L57" s="6"/>
      <c r="M57" s="6"/>
      <c r="N57" s="6">
        <f t="shared" si="16"/>
        <v>2256</v>
      </c>
      <c r="O57" s="6">
        <f t="shared" si="17"/>
        <v>334023.36</v>
      </c>
      <c r="P57" s="6">
        <v>480</v>
      </c>
      <c r="Q57" s="6">
        <v>72318</v>
      </c>
      <c r="R57" s="6"/>
      <c r="S57" s="6"/>
      <c r="T57" s="37"/>
      <c r="U57" s="48"/>
    </row>
    <row r="58" spans="1:21" s="1" customFormat="1" hidden="1" outlineLevel="1" x14ac:dyDescent="0.25">
      <c r="A58" s="7" t="s">
        <v>1474</v>
      </c>
      <c r="B58" s="7" t="s">
        <v>1475</v>
      </c>
      <c r="C58" s="14">
        <v>158.63999999999999</v>
      </c>
      <c r="D58" s="6">
        <v>308.75</v>
      </c>
      <c r="E58" s="6">
        <v>56.99</v>
      </c>
      <c r="F58" s="6">
        <v>72</v>
      </c>
      <c r="G58" s="6">
        <v>11422.08</v>
      </c>
      <c r="H58" s="6">
        <v>36</v>
      </c>
      <c r="I58" s="6">
        <v>5711.04</v>
      </c>
      <c r="J58" s="6">
        <v>5208</v>
      </c>
      <c r="K58" s="6">
        <v>826197.12</v>
      </c>
      <c r="L58" s="6"/>
      <c r="M58" s="6"/>
      <c r="N58" s="6">
        <f t="shared" si="16"/>
        <v>5316</v>
      </c>
      <c r="O58" s="6">
        <f t="shared" si="17"/>
        <v>843330.23999999987</v>
      </c>
      <c r="P58" s="6">
        <v>252</v>
      </c>
      <c r="Q58" s="6">
        <v>39793</v>
      </c>
      <c r="R58" s="6">
        <f t="shared" si="18"/>
        <v>2171.7570850202428</v>
      </c>
      <c r="S58" s="6">
        <f t="shared" si="19"/>
        <v>344527.54396761127</v>
      </c>
      <c r="T58" s="37"/>
      <c r="U58" s="48"/>
    </row>
    <row r="59" spans="1:21" s="1" customFormat="1" hidden="1" outlineLevel="1" x14ac:dyDescent="0.25">
      <c r="A59" s="7" t="s">
        <v>1460</v>
      </c>
      <c r="B59" s="7" t="s">
        <v>1461</v>
      </c>
      <c r="C59" s="14">
        <v>89.9</v>
      </c>
      <c r="D59" s="6">
        <v>617.29</v>
      </c>
      <c r="E59" s="6">
        <v>100</v>
      </c>
      <c r="F59" s="6"/>
      <c r="G59" s="6"/>
      <c r="H59" s="6">
        <v>24</v>
      </c>
      <c r="I59" s="6">
        <v>2157.6</v>
      </c>
      <c r="J59" s="6">
        <v>4800</v>
      </c>
      <c r="K59" s="6">
        <v>431520</v>
      </c>
      <c r="L59" s="6"/>
      <c r="M59" s="6"/>
      <c r="N59" s="6">
        <f t="shared" si="16"/>
        <v>4824</v>
      </c>
      <c r="O59" s="6">
        <f t="shared" si="17"/>
        <v>433677.60000000003</v>
      </c>
      <c r="P59" s="6">
        <v>232</v>
      </c>
      <c r="Q59" s="6">
        <v>21546</v>
      </c>
      <c r="R59" s="6">
        <f t="shared" si="18"/>
        <v>3400.3337167295763</v>
      </c>
      <c r="S59" s="6">
        <f t="shared" si="19"/>
        <v>305690.0011339889</v>
      </c>
      <c r="T59" s="37"/>
      <c r="U59" s="48"/>
    </row>
    <row r="60" spans="1:21" s="1" customFormat="1" hidden="1" outlineLevel="1" x14ac:dyDescent="0.25">
      <c r="A60" s="7" t="s">
        <v>1452</v>
      </c>
      <c r="B60" s="7" t="s">
        <v>1453</v>
      </c>
      <c r="C60" s="14">
        <v>92.01</v>
      </c>
      <c r="D60" s="6">
        <v>556.58000000000004</v>
      </c>
      <c r="E60" s="6">
        <v>100</v>
      </c>
      <c r="F60" s="6"/>
      <c r="G60" s="6"/>
      <c r="H60" s="6">
        <v>24</v>
      </c>
      <c r="I60" s="6">
        <v>2208.2399999999998</v>
      </c>
      <c r="J60" s="6">
        <v>3936</v>
      </c>
      <c r="K60" s="6">
        <v>362151.36</v>
      </c>
      <c r="L60" s="6"/>
      <c r="M60" s="6"/>
      <c r="N60" s="6">
        <f t="shared" si="16"/>
        <v>3960</v>
      </c>
      <c r="O60" s="6">
        <f t="shared" si="17"/>
        <v>364359.60000000003</v>
      </c>
      <c r="P60" s="6">
        <v>176</v>
      </c>
      <c r="Q60" s="6">
        <v>16772</v>
      </c>
      <c r="R60" s="6">
        <f t="shared" si="18"/>
        <v>2663.0832584713789</v>
      </c>
      <c r="S60" s="6">
        <f t="shared" si="19"/>
        <v>245030.29061195158</v>
      </c>
      <c r="T60" s="37"/>
      <c r="U60" s="48"/>
    </row>
    <row r="61" spans="1:21" s="1" customFormat="1" hidden="1" outlineLevel="1" x14ac:dyDescent="0.25">
      <c r="A61" s="7" t="s">
        <v>1554</v>
      </c>
      <c r="B61" s="7" t="s">
        <v>1555</v>
      </c>
      <c r="C61" s="14">
        <v>148.06</v>
      </c>
      <c r="D61" s="6">
        <v>164.64</v>
      </c>
      <c r="E61" s="6">
        <v>100</v>
      </c>
      <c r="F61" s="6"/>
      <c r="G61" s="6"/>
      <c r="H61" s="6">
        <v>12</v>
      </c>
      <c r="I61" s="6">
        <v>1776.72</v>
      </c>
      <c r="J61" s="6">
        <v>3300</v>
      </c>
      <c r="K61" s="6">
        <v>488598</v>
      </c>
      <c r="L61" s="6"/>
      <c r="M61" s="6"/>
      <c r="N61" s="6">
        <f t="shared" si="16"/>
        <v>3312</v>
      </c>
      <c r="O61" s="6">
        <f t="shared" si="17"/>
        <v>490374.72000000003</v>
      </c>
      <c r="P61" s="6">
        <v>280</v>
      </c>
      <c r="Q61" s="6">
        <v>42448</v>
      </c>
      <c r="R61" s="6"/>
      <c r="S61" s="6"/>
      <c r="T61" s="37"/>
      <c r="U61" s="48"/>
    </row>
    <row r="62" spans="1:21" s="1" customFormat="1" hidden="1" outlineLevel="1" x14ac:dyDescent="0.25">
      <c r="A62" s="7" t="s">
        <v>1524</v>
      </c>
      <c r="B62" s="7" t="s">
        <v>1525</v>
      </c>
      <c r="C62" s="14">
        <v>133.25</v>
      </c>
      <c r="D62" s="6">
        <v>152.97</v>
      </c>
      <c r="E62" s="6">
        <v>74.19</v>
      </c>
      <c r="F62" s="6">
        <v>132</v>
      </c>
      <c r="G62" s="6">
        <v>17589</v>
      </c>
      <c r="H62" s="6">
        <v>24</v>
      </c>
      <c r="I62" s="6">
        <v>3198</v>
      </c>
      <c r="J62" s="6">
        <v>8160</v>
      </c>
      <c r="K62" s="6">
        <v>1087320</v>
      </c>
      <c r="L62" s="6"/>
      <c r="M62" s="6"/>
      <c r="N62" s="6">
        <f t="shared" si="16"/>
        <v>8316</v>
      </c>
      <c r="O62" s="6">
        <f t="shared" si="17"/>
        <v>1108107</v>
      </c>
      <c r="P62" s="6">
        <v>1068</v>
      </c>
      <c r="Q62" s="6">
        <v>147420</v>
      </c>
      <c r="R62" s="6"/>
      <c r="S62" s="6"/>
      <c r="T62" s="37"/>
      <c r="U62" s="48"/>
    </row>
    <row r="63" spans="1:21" s="1" customFormat="1" hidden="1" outlineLevel="1" x14ac:dyDescent="0.25">
      <c r="A63" s="7" t="s">
        <v>1472</v>
      </c>
      <c r="B63" s="7" t="s">
        <v>1473</v>
      </c>
      <c r="C63" s="14">
        <v>95.18</v>
      </c>
      <c r="D63" s="6">
        <v>667</v>
      </c>
      <c r="E63" s="6">
        <v>100</v>
      </c>
      <c r="F63" s="6">
        <v>24</v>
      </c>
      <c r="G63" s="6">
        <v>2284.3200000000002</v>
      </c>
      <c r="H63" s="6">
        <v>24</v>
      </c>
      <c r="I63" s="6">
        <v>2284.3200000000002</v>
      </c>
      <c r="J63" s="6">
        <v>7008</v>
      </c>
      <c r="K63" s="6">
        <v>667021.43999999994</v>
      </c>
      <c r="L63" s="6"/>
      <c r="M63" s="6"/>
      <c r="N63" s="6">
        <f t="shared" si="16"/>
        <v>7056</v>
      </c>
      <c r="O63" s="6">
        <f t="shared" si="17"/>
        <v>671590.08000000007</v>
      </c>
      <c r="P63" s="6">
        <v>288</v>
      </c>
      <c r="Q63" s="6">
        <v>28509</v>
      </c>
      <c r="R63" s="6">
        <f t="shared" si="18"/>
        <v>5116.7856071964015</v>
      </c>
      <c r="S63" s="6">
        <f t="shared" si="19"/>
        <v>487015.65409295354</v>
      </c>
      <c r="T63" s="37"/>
      <c r="U63" s="48"/>
    </row>
    <row r="64" spans="1:21" s="1" customFormat="1" hidden="1" outlineLevel="1" x14ac:dyDescent="0.25">
      <c r="A64" s="7" t="s">
        <v>1548</v>
      </c>
      <c r="B64" s="7" t="s">
        <v>1549</v>
      </c>
      <c r="C64" s="14">
        <v>148.06</v>
      </c>
      <c r="D64" s="6">
        <v>347.96</v>
      </c>
      <c r="E64" s="6">
        <v>100</v>
      </c>
      <c r="F64" s="6"/>
      <c r="G64" s="6"/>
      <c r="H64" s="6">
        <v>12</v>
      </c>
      <c r="I64" s="6">
        <v>1776.72</v>
      </c>
      <c r="J64" s="6">
        <v>3848</v>
      </c>
      <c r="K64" s="6">
        <v>569734.88</v>
      </c>
      <c r="L64" s="6"/>
      <c r="M64" s="6"/>
      <c r="N64" s="6">
        <f t="shared" si="16"/>
        <v>3860</v>
      </c>
      <c r="O64" s="6">
        <f t="shared" si="17"/>
        <v>571511.6</v>
      </c>
      <c r="P64" s="6">
        <v>164</v>
      </c>
      <c r="Q64" s="6">
        <v>24690</v>
      </c>
      <c r="R64" s="6">
        <f t="shared" si="18"/>
        <v>1857.4263708472238</v>
      </c>
      <c r="S64" s="6">
        <f t="shared" si="19"/>
        <v>275010.54846763995</v>
      </c>
      <c r="T64" s="37"/>
      <c r="U64" s="48"/>
    </row>
    <row r="65" spans="1:21" s="1" customFormat="1" hidden="1" outlineLevel="1" x14ac:dyDescent="0.25">
      <c r="A65" s="7" t="s">
        <v>1361</v>
      </c>
      <c r="B65" s="7" t="s">
        <v>1362</v>
      </c>
      <c r="C65" s="14">
        <v>150.18</v>
      </c>
      <c r="D65" s="6">
        <v>200.99</v>
      </c>
      <c r="E65" s="6">
        <v>100</v>
      </c>
      <c r="F65" s="6">
        <v>12</v>
      </c>
      <c r="G65" s="6">
        <v>1802.16</v>
      </c>
      <c r="H65" s="6">
        <v>12</v>
      </c>
      <c r="I65" s="6">
        <v>1802.16</v>
      </c>
      <c r="J65" s="6">
        <v>2832</v>
      </c>
      <c r="K65" s="6">
        <v>425309.76</v>
      </c>
      <c r="L65" s="6"/>
      <c r="M65" s="6"/>
      <c r="N65" s="6">
        <f t="shared" si="16"/>
        <v>2856</v>
      </c>
      <c r="O65" s="6">
        <f t="shared" si="17"/>
        <v>428914.08</v>
      </c>
      <c r="P65" s="6">
        <v>244</v>
      </c>
      <c r="Q65" s="6">
        <v>37832</v>
      </c>
      <c r="R65" s="6">
        <f t="shared" si="18"/>
        <v>295.75441564256937</v>
      </c>
      <c r="S65" s="6">
        <f t="shared" si="19"/>
        <v>44416.398141201069</v>
      </c>
      <c r="T65" s="37"/>
      <c r="U65" s="48"/>
    </row>
    <row r="66" spans="1:21" s="1" customFormat="1" hidden="1" outlineLevel="1" x14ac:dyDescent="0.25">
      <c r="A66" s="7" t="s">
        <v>1480</v>
      </c>
      <c r="B66" s="7" t="s">
        <v>1481</v>
      </c>
      <c r="C66" s="14">
        <v>148.06</v>
      </c>
      <c r="D66" s="6">
        <v>388.51</v>
      </c>
      <c r="E66" s="6">
        <v>100</v>
      </c>
      <c r="F66" s="6">
        <v>12</v>
      </c>
      <c r="G66" s="6">
        <v>1776.72</v>
      </c>
      <c r="H66" s="6">
        <v>48</v>
      </c>
      <c r="I66" s="6">
        <v>7106.88</v>
      </c>
      <c r="J66" s="6">
        <v>4080</v>
      </c>
      <c r="K66" s="6">
        <v>604084.80000000005</v>
      </c>
      <c r="L66" s="6"/>
      <c r="M66" s="6"/>
      <c r="N66" s="6">
        <f t="shared" si="16"/>
        <v>4140</v>
      </c>
      <c r="O66" s="6">
        <f t="shared" si="17"/>
        <v>612968.4</v>
      </c>
      <c r="P66" s="6">
        <v>172</v>
      </c>
      <c r="Q66" s="6">
        <v>26417</v>
      </c>
      <c r="R66" s="6">
        <f t="shared" si="18"/>
        <v>2189.7011659931536</v>
      </c>
      <c r="S66" s="6">
        <f t="shared" si="19"/>
        <v>324207.15463694633</v>
      </c>
      <c r="T66" s="37"/>
      <c r="U66" s="48"/>
    </row>
    <row r="67" spans="1:21" s="1" customFormat="1" hidden="1" outlineLevel="1" x14ac:dyDescent="0.25">
      <c r="A67" s="7" t="s">
        <v>1520</v>
      </c>
      <c r="B67" s="7" t="s">
        <v>1521</v>
      </c>
      <c r="C67" s="14">
        <v>133.25</v>
      </c>
      <c r="D67" s="6">
        <v>296.35000000000002</v>
      </c>
      <c r="E67" s="6">
        <v>74.19</v>
      </c>
      <c r="F67" s="6">
        <v>132</v>
      </c>
      <c r="G67" s="6">
        <v>17589</v>
      </c>
      <c r="H67" s="6">
        <v>60</v>
      </c>
      <c r="I67" s="6">
        <v>7995</v>
      </c>
      <c r="J67" s="6">
        <v>5748</v>
      </c>
      <c r="K67" s="6">
        <v>765921</v>
      </c>
      <c r="L67" s="6"/>
      <c r="M67" s="6"/>
      <c r="N67" s="6">
        <f t="shared" si="16"/>
        <v>5940</v>
      </c>
      <c r="O67" s="6">
        <f t="shared" si="17"/>
        <v>791505</v>
      </c>
      <c r="P67" s="6">
        <v>536</v>
      </c>
      <c r="Q67" s="6">
        <v>73930</v>
      </c>
      <c r="R67" s="6">
        <f t="shared" si="18"/>
        <v>2256.7227939935892</v>
      </c>
      <c r="S67" s="6">
        <f t="shared" si="19"/>
        <v>300708.31229964574</v>
      </c>
      <c r="T67" s="37"/>
      <c r="U67" s="48"/>
    </row>
    <row r="68" spans="1:21" s="1" customFormat="1" hidden="1" outlineLevel="1" x14ac:dyDescent="0.25">
      <c r="A68" s="7" t="s">
        <v>1550</v>
      </c>
      <c r="B68" s="7" t="s">
        <v>1551</v>
      </c>
      <c r="C68" s="14">
        <v>148.06</v>
      </c>
      <c r="D68" s="6">
        <v>811.68</v>
      </c>
      <c r="E68" s="6">
        <v>100</v>
      </c>
      <c r="F68" s="6"/>
      <c r="G68" s="6"/>
      <c r="H68" s="6"/>
      <c r="I68" s="6"/>
      <c r="J68" s="6">
        <v>4252</v>
      </c>
      <c r="K68" s="6">
        <v>629551.12</v>
      </c>
      <c r="L68" s="6"/>
      <c r="M68" s="6"/>
      <c r="N68" s="6">
        <f t="shared" si="16"/>
        <v>4252</v>
      </c>
      <c r="O68" s="6">
        <f t="shared" si="17"/>
        <v>629551.12</v>
      </c>
      <c r="P68" s="6">
        <v>88</v>
      </c>
      <c r="Q68" s="6">
        <v>13292</v>
      </c>
      <c r="R68" s="6">
        <f t="shared" si="18"/>
        <v>3309.0668243642813</v>
      </c>
      <c r="S68" s="6">
        <f t="shared" si="19"/>
        <v>489940.4340153755</v>
      </c>
      <c r="T68" s="37"/>
      <c r="U68" s="48"/>
    </row>
    <row r="69" spans="1:21" s="1" customFormat="1" hidden="1" outlineLevel="1" x14ac:dyDescent="0.25">
      <c r="A69" s="7" t="s">
        <v>1556</v>
      </c>
      <c r="B69" s="7" t="s">
        <v>1557</v>
      </c>
      <c r="C69" s="14">
        <v>93.07</v>
      </c>
      <c r="D69" s="6">
        <v>5.82</v>
      </c>
      <c r="E69" s="6">
        <v>11.83</v>
      </c>
      <c r="F69" s="6"/>
      <c r="G69" s="6"/>
      <c r="H69" s="6"/>
      <c r="I69" s="6"/>
      <c r="J69" s="6"/>
      <c r="K69" s="6"/>
      <c r="L69" s="6"/>
      <c r="M69" s="6"/>
      <c r="N69" s="6" t="str">
        <f t="shared" si="16"/>
        <v/>
      </c>
      <c r="O69" s="6" t="str">
        <f t="shared" si="17"/>
        <v/>
      </c>
      <c r="P69" s="6"/>
      <c r="Q69" s="6"/>
      <c r="R69" s="6"/>
      <c r="S69" s="6"/>
      <c r="T69" s="37"/>
      <c r="U69" s="48"/>
    </row>
    <row r="70" spans="1:21" s="1" customFormat="1" hidden="1" outlineLevel="1" x14ac:dyDescent="0.25">
      <c r="A70" s="7" t="s">
        <v>1532</v>
      </c>
      <c r="B70" s="7" t="s">
        <v>1533</v>
      </c>
      <c r="C70" s="14">
        <v>148.06</v>
      </c>
      <c r="D70" s="6">
        <v>314.75</v>
      </c>
      <c r="E70" s="6">
        <v>100</v>
      </c>
      <c r="F70" s="6">
        <v>60</v>
      </c>
      <c r="G70" s="6">
        <v>8883.6</v>
      </c>
      <c r="H70" s="6"/>
      <c r="I70" s="6"/>
      <c r="J70" s="6">
        <v>5040</v>
      </c>
      <c r="K70" s="6">
        <v>746222.4</v>
      </c>
      <c r="L70" s="6"/>
      <c r="M70" s="6"/>
      <c r="N70" s="6">
        <f t="shared" si="16"/>
        <v>5100</v>
      </c>
      <c r="O70" s="6">
        <f t="shared" si="17"/>
        <v>755106</v>
      </c>
      <c r="P70" s="6">
        <v>236</v>
      </c>
      <c r="Q70" s="6">
        <v>35692</v>
      </c>
      <c r="R70" s="6">
        <f t="shared" si="18"/>
        <v>2157.7124702144561</v>
      </c>
      <c r="S70" s="6">
        <f t="shared" si="19"/>
        <v>319470.90833995235</v>
      </c>
      <c r="T70" s="37"/>
      <c r="U70" s="48"/>
    </row>
    <row r="71" spans="1:21" s="1" customFormat="1" hidden="1" outlineLevel="1" x14ac:dyDescent="0.25">
      <c r="A71" s="7" t="s">
        <v>1528</v>
      </c>
      <c r="B71" s="7" t="s">
        <v>1529</v>
      </c>
      <c r="C71" s="14">
        <v>169.21</v>
      </c>
      <c r="D71" s="6">
        <v>190.09</v>
      </c>
      <c r="E71" s="6">
        <v>74.19</v>
      </c>
      <c r="F71" s="6">
        <v>60</v>
      </c>
      <c r="G71" s="6">
        <v>10152.6</v>
      </c>
      <c r="H71" s="6">
        <v>24</v>
      </c>
      <c r="I71" s="6">
        <v>4061.04</v>
      </c>
      <c r="J71" s="6">
        <v>3936</v>
      </c>
      <c r="K71" s="6">
        <v>666010.56000000006</v>
      </c>
      <c r="L71" s="6"/>
      <c r="M71" s="6"/>
      <c r="N71" s="6">
        <f t="shared" si="16"/>
        <v>4020</v>
      </c>
      <c r="O71" s="6">
        <f t="shared" si="17"/>
        <v>680224.20000000007</v>
      </c>
      <c r="P71" s="6">
        <v>380</v>
      </c>
      <c r="Q71" s="6">
        <v>66056</v>
      </c>
      <c r="R71" s="6">
        <f t="shared" si="18"/>
        <v>208.92335209637548</v>
      </c>
      <c r="S71" s="6">
        <f t="shared" si="19"/>
        <v>35351.920408227699</v>
      </c>
      <c r="T71" s="37"/>
      <c r="U71" s="48"/>
    </row>
    <row r="72" spans="1:21" s="1" customFormat="1" hidden="1" outlineLevel="1" x14ac:dyDescent="0.25">
      <c r="A72" s="7" t="s">
        <v>1508</v>
      </c>
      <c r="B72" s="7" t="s">
        <v>1509</v>
      </c>
      <c r="C72" s="14">
        <v>133.25</v>
      </c>
      <c r="D72" s="6">
        <v>294</v>
      </c>
      <c r="E72" s="6">
        <v>100</v>
      </c>
      <c r="F72" s="6">
        <v>12</v>
      </c>
      <c r="G72" s="6">
        <v>1599</v>
      </c>
      <c r="H72" s="6">
        <v>24</v>
      </c>
      <c r="I72" s="6">
        <v>3198</v>
      </c>
      <c r="J72" s="6">
        <v>2712</v>
      </c>
      <c r="K72" s="6">
        <v>361374</v>
      </c>
      <c r="L72" s="6"/>
      <c r="M72" s="6"/>
      <c r="N72" s="6">
        <f t="shared" si="16"/>
        <v>2748</v>
      </c>
      <c r="O72" s="6">
        <f t="shared" si="17"/>
        <v>366171</v>
      </c>
      <c r="P72" s="6">
        <v>176</v>
      </c>
      <c r="Q72" s="6">
        <v>24078</v>
      </c>
      <c r="R72" s="6">
        <f t="shared" si="18"/>
        <v>1051.591836734694</v>
      </c>
      <c r="S72" s="6">
        <f t="shared" si="19"/>
        <v>140124.61224489796</v>
      </c>
      <c r="T72" s="37"/>
      <c r="U72" s="48"/>
    </row>
    <row r="73" spans="1:21" s="1" customFormat="1" hidden="1" outlineLevel="1" x14ac:dyDescent="0.25">
      <c r="A73" s="7" t="s">
        <v>1438</v>
      </c>
      <c r="B73" s="7" t="s">
        <v>1439</v>
      </c>
      <c r="C73" s="14">
        <v>153.35</v>
      </c>
      <c r="D73" s="6">
        <v>2094.29</v>
      </c>
      <c r="E73" s="6">
        <v>100</v>
      </c>
      <c r="F73" s="6">
        <v>48</v>
      </c>
      <c r="G73" s="6">
        <v>7360.8</v>
      </c>
      <c r="H73" s="6"/>
      <c r="I73" s="6"/>
      <c r="J73" s="6">
        <v>10104</v>
      </c>
      <c r="K73" s="6">
        <v>1549448.4</v>
      </c>
      <c r="L73" s="6"/>
      <c r="M73" s="6"/>
      <c r="N73" s="6">
        <f t="shared" si="16"/>
        <v>10152</v>
      </c>
      <c r="O73" s="6">
        <f t="shared" si="17"/>
        <v>1556809.2</v>
      </c>
      <c r="P73" s="6">
        <v>128</v>
      </c>
      <c r="Q73" s="6">
        <v>20352</v>
      </c>
      <c r="R73" s="6">
        <f t="shared" si="18"/>
        <v>9235.5815861222673</v>
      </c>
      <c r="S73" s="6">
        <f t="shared" si="19"/>
        <v>1416276.4362318497</v>
      </c>
      <c r="T73" s="37"/>
      <c r="U73" s="48"/>
    </row>
    <row r="74" spans="1:21" s="1" customFormat="1" hidden="1" outlineLevel="1" x14ac:dyDescent="0.25">
      <c r="A74" s="7" t="s">
        <v>1354</v>
      </c>
      <c r="B74" s="7" t="s">
        <v>1603</v>
      </c>
      <c r="C74" s="14">
        <v>135.37</v>
      </c>
      <c r="D74" s="6">
        <v>3561.4</v>
      </c>
      <c r="E74" s="6">
        <v>100</v>
      </c>
      <c r="F74" s="6"/>
      <c r="G74" s="6"/>
      <c r="H74" s="6"/>
      <c r="I74" s="6"/>
      <c r="J74" s="6">
        <v>6828</v>
      </c>
      <c r="K74" s="6">
        <v>924306.36</v>
      </c>
      <c r="L74" s="6"/>
      <c r="M74" s="6"/>
      <c r="N74" s="6">
        <f t="shared" si="16"/>
        <v>6828</v>
      </c>
      <c r="O74" s="6">
        <f t="shared" si="17"/>
        <v>924306.36</v>
      </c>
      <c r="P74" s="6">
        <v>40</v>
      </c>
      <c r="Q74" s="6">
        <v>5922</v>
      </c>
      <c r="R74" s="6">
        <f t="shared" si="18"/>
        <v>6482.8997585219295</v>
      </c>
      <c r="S74" s="6">
        <f t="shared" si="19"/>
        <v>877590.14031111368</v>
      </c>
      <c r="T74" s="37"/>
      <c r="U74" s="48"/>
    </row>
    <row r="75" spans="1:21" s="1" customFormat="1" hidden="1" outlineLevel="1" x14ac:dyDescent="0.25">
      <c r="A75" s="7" t="s">
        <v>1420</v>
      </c>
      <c r="B75" s="7" t="s">
        <v>1421</v>
      </c>
      <c r="C75" s="14">
        <v>240</v>
      </c>
      <c r="D75" s="6">
        <v>257.89999999999998</v>
      </c>
      <c r="E75" s="6">
        <v>100</v>
      </c>
      <c r="F75" s="6"/>
      <c r="G75" s="6"/>
      <c r="H75" s="6"/>
      <c r="I75" s="6"/>
      <c r="J75" s="6">
        <v>11280</v>
      </c>
      <c r="K75" s="6">
        <v>2707200</v>
      </c>
      <c r="L75" s="6"/>
      <c r="M75" s="6"/>
      <c r="N75" s="6">
        <f t="shared" si="16"/>
        <v>11280</v>
      </c>
      <c r="O75" s="6">
        <f t="shared" si="17"/>
        <v>2707200</v>
      </c>
      <c r="P75" s="6">
        <v>1136</v>
      </c>
      <c r="Q75" s="6">
        <v>309761</v>
      </c>
      <c r="R75" s="6">
        <f t="shared" si="18"/>
        <v>3407.1810779371845</v>
      </c>
      <c r="S75" s="6">
        <f t="shared" si="19"/>
        <v>817723.45870492421</v>
      </c>
      <c r="T75" s="37"/>
      <c r="U75" s="48"/>
    </row>
    <row r="76" spans="1:21" s="1" customFormat="1" hidden="1" outlineLevel="1" x14ac:dyDescent="0.25">
      <c r="A76" s="7" t="s">
        <v>1544</v>
      </c>
      <c r="B76" s="7" t="s">
        <v>1545</v>
      </c>
      <c r="C76" s="14">
        <v>148.06</v>
      </c>
      <c r="D76" s="6">
        <v>997.63</v>
      </c>
      <c r="E76" s="6">
        <v>100</v>
      </c>
      <c r="F76" s="6"/>
      <c r="G76" s="6"/>
      <c r="H76" s="6"/>
      <c r="I76" s="6"/>
      <c r="J76" s="6">
        <v>3288</v>
      </c>
      <c r="K76" s="6">
        <v>486821.28</v>
      </c>
      <c r="L76" s="6"/>
      <c r="M76" s="6"/>
      <c r="N76" s="6">
        <f t="shared" si="16"/>
        <v>3288</v>
      </c>
      <c r="O76" s="6">
        <f t="shared" si="17"/>
        <v>486821.28</v>
      </c>
      <c r="P76" s="6">
        <v>64</v>
      </c>
      <c r="Q76" s="6">
        <v>9646</v>
      </c>
      <c r="R76" s="6">
        <f t="shared" si="18"/>
        <v>2694.7540069965821</v>
      </c>
      <c r="S76" s="6">
        <f t="shared" si="19"/>
        <v>398985.27827591397</v>
      </c>
      <c r="T76" s="37"/>
      <c r="U76" s="48"/>
    </row>
    <row r="77" spans="1:21" s="1" customFormat="1" hidden="1" outlineLevel="1" x14ac:dyDescent="0.25">
      <c r="A77" s="7" t="s">
        <v>1562</v>
      </c>
      <c r="B77" s="7" t="s">
        <v>1563</v>
      </c>
      <c r="C77" s="14">
        <v>941.24</v>
      </c>
      <c r="D77" s="6">
        <v>293.44</v>
      </c>
      <c r="E77" s="6">
        <v>100</v>
      </c>
      <c r="F77" s="6">
        <v>1</v>
      </c>
      <c r="G77" s="6">
        <v>941.24</v>
      </c>
      <c r="H77" s="6">
        <v>5</v>
      </c>
      <c r="I77" s="6">
        <v>4706.2</v>
      </c>
      <c r="J77" s="6">
        <v>963</v>
      </c>
      <c r="K77" s="6">
        <v>906414.12</v>
      </c>
      <c r="L77" s="6"/>
      <c r="M77" s="6"/>
      <c r="N77" s="6">
        <f t="shared" si="16"/>
        <v>969</v>
      </c>
      <c r="O77" s="6">
        <f t="shared" si="17"/>
        <v>912061.56</v>
      </c>
      <c r="P77" s="6">
        <v>67</v>
      </c>
      <c r="Q77" s="6">
        <v>63555</v>
      </c>
      <c r="R77" s="6">
        <f t="shared" si="18"/>
        <v>372.28298800436204</v>
      </c>
      <c r="S77" s="6">
        <f t="shared" si="19"/>
        <v>350407.63962922571</v>
      </c>
      <c r="T77" s="37"/>
      <c r="U77" s="48"/>
    </row>
    <row r="78" spans="1:21" s="1" customFormat="1" hidden="1" outlineLevel="1" x14ac:dyDescent="0.25">
      <c r="A78" s="7" t="s">
        <v>1542</v>
      </c>
      <c r="B78" s="7" t="s">
        <v>1543</v>
      </c>
      <c r="C78" s="14">
        <v>148.06</v>
      </c>
      <c r="D78" s="6">
        <v>900.35</v>
      </c>
      <c r="E78" s="6">
        <v>100</v>
      </c>
      <c r="F78" s="6"/>
      <c r="G78" s="6"/>
      <c r="H78" s="6"/>
      <c r="I78" s="6"/>
      <c r="J78" s="6">
        <v>2760</v>
      </c>
      <c r="K78" s="6">
        <v>408645.6</v>
      </c>
      <c r="L78" s="6"/>
      <c r="M78" s="6"/>
      <c r="N78" s="6">
        <f t="shared" si="16"/>
        <v>2760</v>
      </c>
      <c r="O78" s="6">
        <f t="shared" si="17"/>
        <v>408645.60000000003</v>
      </c>
      <c r="P78" s="6">
        <v>68</v>
      </c>
      <c r="Q78" s="6">
        <v>10349</v>
      </c>
      <c r="R78" s="6">
        <f t="shared" si="18"/>
        <v>2208.2145832176375</v>
      </c>
      <c r="S78" s="6">
        <f t="shared" si="19"/>
        <v>326948.25119120342</v>
      </c>
      <c r="T78" s="37"/>
      <c r="U78" s="48"/>
    </row>
    <row r="79" spans="1:21" s="1" customFormat="1" hidden="1" outlineLevel="1" x14ac:dyDescent="0.25">
      <c r="A79" s="7" t="s">
        <v>1574</v>
      </c>
      <c r="B79" s="7" t="s">
        <v>1575</v>
      </c>
      <c r="C79" s="14">
        <v>951.81</v>
      </c>
      <c r="D79" s="6">
        <v>39.78</v>
      </c>
      <c r="E79" s="6">
        <v>100</v>
      </c>
      <c r="F79" s="6">
        <v>1</v>
      </c>
      <c r="G79" s="6">
        <v>951.81</v>
      </c>
      <c r="H79" s="6"/>
      <c r="I79" s="6"/>
      <c r="J79" s="6">
        <v>0</v>
      </c>
      <c r="K79" s="6">
        <v>0</v>
      </c>
      <c r="L79" s="6"/>
      <c r="M79" s="6"/>
      <c r="N79" s="6">
        <f t="shared" ref="N79:N109" si="20">IF(J79+L79+H79+F79&lt;=0,"",J79+L79+H79+F79)</f>
        <v>1</v>
      </c>
      <c r="O79" s="6">
        <f t="shared" ref="O79:O109" si="21">IFERROR(C79*N79,"")</f>
        <v>951.81</v>
      </c>
      <c r="P79" s="6">
        <v>8</v>
      </c>
      <c r="Q79" s="6">
        <v>8259</v>
      </c>
      <c r="R79" s="6"/>
      <c r="S79" s="6"/>
      <c r="T79" s="37"/>
      <c r="U79" s="48"/>
    </row>
    <row r="80" spans="1:21" s="1" customFormat="1" hidden="1" outlineLevel="1" x14ac:dyDescent="0.25">
      <c r="A80" s="7" t="s">
        <v>1502</v>
      </c>
      <c r="B80" s="7" t="s">
        <v>1503</v>
      </c>
      <c r="C80" s="14">
        <v>133.25</v>
      </c>
      <c r="D80" s="6">
        <v>287.56</v>
      </c>
      <c r="E80" s="6">
        <v>100</v>
      </c>
      <c r="F80" s="6">
        <v>24</v>
      </c>
      <c r="G80" s="6">
        <v>3198</v>
      </c>
      <c r="H80" s="6">
        <v>24</v>
      </c>
      <c r="I80" s="6">
        <v>3198</v>
      </c>
      <c r="J80" s="6">
        <v>3252</v>
      </c>
      <c r="K80" s="6">
        <v>433329</v>
      </c>
      <c r="L80" s="6"/>
      <c r="M80" s="6"/>
      <c r="N80" s="6">
        <f t="shared" si="20"/>
        <v>3300</v>
      </c>
      <c r="O80" s="6">
        <f t="shared" si="21"/>
        <v>439725</v>
      </c>
      <c r="P80" s="6">
        <v>248</v>
      </c>
      <c r="Q80" s="6">
        <v>34068</v>
      </c>
      <c r="R80" s="6">
        <f t="shared" si="18"/>
        <v>1216.3900403394075</v>
      </c>
      <c r="S80" s="6">
        <f t="shared" si="19"/>
        <v>162083.97287522606</v>
      </c>
      <c r="T80" s="37"/>
      <c r="U80" s="48"/>
    </row>
    <row r="81" spans="1:21" s="1" customFormat="1" hidden="1" outlineLevel="1" x14ac:dyDescent="0.25">
      <c r="A81" s="7" t="s">
        <v>1536</v>
      </c>
      <c r="B81" s="7" t="s">
        <v>1537</v>
      </c>
      <c r="C81" s="14">
        <v>148.06</v>
      </c>
      <c r="D81" s="6">
        <v>307.02999999999997</v>
      </c>
      <c r="E81" s="6">
        <v>100</v>
      </c>
      <c r="F81" s="6"/>
      <c r="G81" s="6"/>
      <c r="H81" s="6"/>
      <c r="I81" s="6"/>
      <c r="J81" s="6">
        <v>1668</v>
      </c>
      <c r="K81" s="6">
        <v>246964.08</v>
      </c>
      <c r="L81" s="6"/>
      <c r="M81" s="6"/>
      <c r="N81" s="6">
        <f t="shared" si="20"/>
        <v>1668</v>
      </c>
      <c r="O81" s="6">
        <f t="shared" si="21"/>
        <v>246964.08000000002</v>
      </c>
      <c r="P81" s="6">
        <v>124</v>
      </c>
      <c r="Q81" s="6">
        <v>18667</v>
      </c>
      <c r="R81" s="6">
        <f t="shared" si="18"/>
        <v>690.11510275868807</v>
      </c>
      <c r="S81" s="6">
        <f t="shared" si="19"/>
        <v>102178.44211445136</v>
      </c>
      <c r="T81" s="37"/>
      <c r="U81" s="48"/>
    </row>
    <row r="82" spans="1:21" s="1" customFormat="1" hidden="1" outlineLevel="1" x14ac:dyDescent="0.25">
      <c r="A82" s="7" t="s">
        <v>1546</v>
      </c>
      <c r="B82" s="7" t="s">
        <v>1547</v>
      </c>
      <c r="C82" s="14">
        <v>148.06</v>
      </c>
      <c r="D82" s="6">
        <v>1176.18</v>
      </c>
      <c r="E82" s="6">
        <v>100</v>
      </c>
      <c r="F82" s="6"/>
      <c r="G82" s="6"/>
      <c r="H82" s="6">
        <v>12</v>
      </c>
      <c r="I82" s="6">
        <v>1776.72</v>
      </c>
      <c r="J82" s="6">
        <v>3108</v>
      </c>
      <c r="K82" s="6">
        <v>460170.48</v>
      </c>
      <c r="L82" s="6"/>
      <c r="M82" s="6"/>
      <c r="N82" s="6">
        <f t="shared" si="20"/>
        <v>3120</v>
      </c>
      <c r="O82" s="6">
        <f t="shared" si="21"/>
        <v>461947.2</v>
      </c>
      <c r="P82" s="6">
        <v>64</v>
      </c>
      <c r="Q82" s="6">
        <v>9550</v>
      </c>
      <c r="R82" s="6">
        <f t="shared" si="18"/>
        <v>2632.3585165535887</v>
      </c>
      <c r="S82" s="6">
        <f t="shared" si="19"/>
        <v>389747.00196092436</v>
      </c>
      <c r="T82" s="37"/>
      <c r="U82" s="48"/>
    </row>
    <row r="83" spans="1:21" s="1" customFormat="1" hidden="1" outlineLevel="1" x14ac:dyDescent="0.25">
      <c r="A83" s="7" t="s">
        <v>1440</v>
      </c>
      <c r="B83" s="7" t="s">
        <v>1441</v>
      </c>
      <c r="C83" s="14">
        <v>105.76</v>
      </c>
      <c r="D83" s="6">
        <v>1660.9</v>
      </c>
      <c r="E83" s="6">
        <v>100</v>
      </c>
      <c r="F83" s="6"/>
      <c r="G83" s="6"/>
      <c r="H83" s="6">
        <v>24</v>
      </c>
      <c r="I83" s="6">
        <v>2538.2399999999998</v>
      </c>
      <c r="J83" s="6">
        <v>4104</v>
      </c>
      <c r="K83" s="6">
        <v>434039.03999999998</v>
      </c>
      <c r="L83" s="6"/>
      <c r="M83" s="6"/>
      <c r="N83" s="6">
        <f t="shared" si="20"/>
        <v>4128</v>
      </c>
      <c r="O83" s="6">
        <f t="shared" si="21"/>
        <v>436577.28000000003</v>
      </c>
      <c r="P83" s="6">
        <v>80</v>
      </c>
      <c r="Q83" s="6">
        <v>8944</v>
      </c>
      <c r="R83" s="6">
        <f t="shared" si="18"/>
        <v>3659.2290926606056</v>
      </c>
      <c r="S83" s="6">
        <f t="shared" si="19"/>
        <v>387000.06883978564</v>
      </c>
      <c r="T83" s="37"/>
      <c r="U83" s="48"/>
    </row>
    <row r="84" spans="1:21" s="1" customFormat="1" hidden="1" outlineLevel="1" x14ac:dyDescent="0.25">
      <c r="A84" s="7" t="s">
        <v>1498</v>
      </c>
      <c r="B84" s="7" t="s">
        <v>1499</v>
      </c>
      <c r="C84" s="14">
        <v>133.25</v>
      </c>
      <c r="D84" s="6">
        <v>593.16</v>
      </c>
      <c r="E84" s="6">
        <v>100</v>
      </c>
      <c r="F84" s="6">
        <v>24</v>
      </c>
      <c r="G84" s="6">
        <v>3198</v>
      </c>
      <c r="H84" s="6">
        <v>24</v>
      </c>
      <c r="I84" s="6">
        <v>3198</v>
      </c>
      <c r="J84" s="6">
        <v>4580</v>
      </c>
      <c r="K84" s="6">
        <v>610285</v>
      </c>
      <c r="L84" s="6"/>
      <c r="M84" s="6"/>
      <c r="N84" s="6">
        <f t="shared" si="20"/>
        <v>4628</v>
      </c>
      <c r="O84" s="6">
        <f t="shared" si="21"/>
        <v>616681</v>
      </c>
      <c r="P84" s="6">
        <v>188</v>
      </c>
      <c r="Q84" s="6">
        <v>25913</v>
      </c>
      <c r="R84" s="6">
        <f t="shared" si="18"/>
        <v>3190.1557758446288</v>
      </c>
      <c r="S84" s="6">
        <f t="shared" si="19"/>
        <v>425088.25713129679</v>
      </c>
      <c r="T84" s="37"/>
      <c r="U84" s="48"/>
    </row>
    <row r="85" spans="1:21" s="1" customFormat="1" hidden="1" outlineLevel="1" x14ac:dyDescent="0.25">
      <c r="A85" s="7" t="s">
        <v>1512</v>
      </c>
      <c r="B85" s="7" t="s">
        <v>1513</v>
      </c>
      <c r="C85" s="14">
        <v>133.25</v>
      </c>
      <c r="D85" s="6">
        <v>332.57</v>
      </c>
      <c r="E85" s="6">
        <v>91.4</v>
      </c>
      <c r="F85" s="6">
        <v>48</v>
      </c>
      <c r="G85" s="6">
        <v>6396</v>
      </c>
      <c r="H85" s="6">
        <v>24</v>
      </c>
      <c r="I85" s="6">
        <v>3198</v>
      </c>
      <c r="J85" s="6">
        <v>3900</v>
      </c>
      <c r="K85" s="6">
        <v>519675</v>
      </c>
      <c r="L85" s="6"/>
      <c r="M85" s="6"/>
      <c r="N85" s="6">
        <f t="shared" si="20"/>
        <v>3972</v>
      </c>
      <c r="O85" s="6">
        <f t="shared" si="21"/>
        <v>529269</v>
      </c>
      <c r="P85" s="6">
        <v>224</v>
      </c>
      <c r="Q85" s="6">
        <v>30796</v>
      </c>
      <c r="R85" s="6">
        <f t="shared" si="18"/>
        <v>1789.1661905764199</v>
      </c>
      <c r="S85" s="6">
        <f t="shared" si="19"/>
        <v>238406.39489430794</v>
      </c>
      <c r="T85" s="37"/>
      <c r="U85" s="48"/>
    </row>
    <row r="86" spans="1:21" s="1" customFormat="1" hidden="1" outlineLevel="1" x14ac:dyDescent="0.25">
      <c r="A86" s="7" t="s">
        <v>1504</v>
      </c>
      <c r="B86" s="7" t="s">
        <v>1505</v>
      </c>
      <c r="C86" s="14">
        <v>133.25</v>
      </c>
      <c r="D86" s="6">
        <v>837.88</v>
      </c>
      <c r="E86" s="6">
        <v>100</v>
      </c>
      <c r="F86" s="6">
        <v>12</v>
      </c>
      <c r="G86" s="6">
        <v>1599</v>
      </c>
      <c r="H86" s="6">
        <v>24</v>
      </c>
      <c r="I86" s="6">
        <v>3198</v>
      </c>
      <c r="J86" s="6">
        <v>3864</v>
      </c>
      <c r="K86" s="6">
        <v>514878</v>
      </c>
      <c r="L86" s="6"/>
      <c r="M86" s="6"/>
      <c r="N86" s="6">
        <f t="shared" si="20"/>
        <v>3900</v>
      </c>
      <c r="O86" s="6">
        <f t="shared" si="21"/>
        <v>519675</v>
      </c>
      <c r="P86" s="6">
        <v>76</v>
      </c>
      <c r="Q86" s="6">
        <v>10469</v>
      </c>
      <c r="R86" s="6">
        <f t="shared" si="18"/>
        <v>3033.9049983291166</v>
      </c>
      <c r="S86" s="6">
        <f t="shared" si="19"/>
        <v>404267.84102735476</v>
      </c>
      <c r="T86" s="37"/>
      <c r="U86" s="48"/>
    </row>
    <row r="87" spans="1:21" s="1" customFormat="1" hidden="1" outlineLevel="1" x14ac:dyDescent="0.25">
      <c r="A87" s="7" t="s">
        <v>1530</v>
      </c>
      <c r="B87" s="7" t="s">
        <v>1531</v>
      </c>
      <c r="C87" s="14">
        <v>164.98</v>
      </c>
      <c r="D87" s="6">
        <v>230.4</v>
      </c>
      <c r="E87" s="6">
        <v>74.19</v>
      </c>
      <c r="F87" s="6">
        <v>60</v>
      </c>
      <c r="G87" s="6">
        <v>9898.7999999999993</v>
      </c>
      <c r="H87" s="6">
        <v>36</v>
      </c>
      <c r="I87" s="6">
        <v>5939.28</v>
      </c>
      <c r="J87" s="6">
        <v>2940</v>
      </c>
      <c r="K87" s="6">
        <v>485041.2</v>
      </c>
      <c r="L87" s="6"/>
      <c r="M87" s="6"/>
      <c r="N87" s="6">
        <f t="shared" si="20"/>
        <v>3036</v>
      </c>
      <c r="O87" s="6">
        <f t="shared" si="21"/>
        <v>500879.27999999997</v>
      </c>
      <c r="P87" s="6">
        <v>228</v>
      </c>
      <c r="Q87" s="6">
        <v>38580</v>
      </c>
      <c r="R87" s="6">
        <f t="shared" si="18"/>
        <v>643.125</v>
      </c>
      <c r="S87" s="6">
        <f t="shared" si="19"/>
        <v>106102.7625</v>
      </c>
      <c r="T87" s="37"/>
      <c r="U87" s="48"/>
    </row>
    <row r="88" spans="1:21" s="1" customFormat="1" hidden="1" outlineLevel="1" x14ac:dyDescent="0.25">
      <c r="A88" s="7" t="s">
        <v>1436</v>
      </c>
      <c r="B88" s="7" t="s">
        <v>1437</v>
      </c>
      <c r="C88" s="14">
        <v>100.47</v>
      </c>
      <c r="D88" s="6">
        <v>1096.55</v>
      </c>
      <c r="E88" s="6">
        <v>100</v>
      </c>
      <c r="F88" s="6">
        <v>36</v>
      </c>
      <c r="G88" s="6">
        <v>3616.92</v>
      </c>
      <c r="H88" s="6">
        <v>48</v>
      </c>
      <c r="I88" s="6">
        <v>4822.5600000000004</v>
      </c>
      <c r="J88" s="6">
        <v>4332</v>
      </c>
      <c r="K88" s="6">
        <v>435236.04</v>
      </c>
      <c r="L88" s="6"/>
      <c r="M88" s="6"/>
      <c r="N88" s="6">
        <f t="shared" si="20"/>
        <v>4416</v>
      </c>
      <c r="O88" s="6">
        <f t="shared" si="21"/>
        <v>443675.52</v>
      </c>
      <c r="P88" s="6">
        <v>112</v>
      </c>
      <c r="Q88" s="6">
        <v>11775</v>
      </c>
      <c r="R88" s="6">
        <f t="shared" si="18"/>
        <v>3620.8969951210615</v>
      </c>
      <c r="S88" s="6">
        <f t="shared" si="19"/>
        <v>363791.52109981305</v>
      </c>
      <c r="T88" s="37"/>
      <c r="U88" s="48"/>
    </row>
    <row r="89" spans="1:21" s="1" customFormat="1" hidden="1" outlineLevel="1" x14ac:dyDescent="0.25">
      <c r="A89" s="7" t="s">
        <v>1526</v>
      </c>
      <c r="B89" s="7" t="s">
        <v>1527</v>
      </c>
      <c r="C89" s="14">
        <v>149.11000000000001</v>
      </c>
      <c r="D89" s="6">
        <v>419.2</v>
      </c>
      <c r="E89" s="6">
        <v>100</v>
      </c>
      <c r="F89" s="6">
        <v>12</v>
      </c>
      <c r="G89" s="6">
        <v>1789.32</v>
      </c>
      <c r="H89" s="6"/>
      <c r="I89" s="6"/>
      <c r="J89" s="6">
        <v>3420</v>
      </c>
      <c r="K89" s="6">
        <v>509956.2</v>
      </c>
      <c r="L89" s="6"/>
      <c r="M89" s="6"/>
      <c r="N89" s="6">
        <f t="shared" si="20"/>
        <v>3432</v>
      </c>
      <c r="O89" s="6">
        <f t="shared" si="21"/>
        <v>511745.52</v>
      </c>
      <c r="P89" s="6">
        <v>136</v>
      </c>
      <c r="Q89" s="6">
        <v>20733</v>
      </c>
      <c r="R89" s="6">
        <f t="shared" si="18"/>
        <v>1951.4885496183203</v>
      </c>
      <c r="S89" s="6">
        <f t="shared" si="19"/>
        <v>290986.45763358776</v>
      </c>
      <c r="T89" s="37"/>
      <c r="U89" s="48"/>
    </row>
    <row r="90" spans="1:21" s="1" customFormat="1" hidden="1" outlineLevel="1" x14ac:dyDescent="0.25">
      <c r="A90" s="7" t="s">
        <v>1448</v>
      </c>
      <c r="B90" s="7" t="s">
        <v>1449</v>
      </c>
      <c r="C90" s="14">
        <v>222.09</v>
      </c>
      <c r="D90" s="6">
        <v>1714.56</v>
      </c>
      <c r="E90" s="6">
        <v>100</v>
      </c>
      <c r="F90" s="6"/>
      <c r="G90" s="6"/>
      <c r="H90" s="6"/>
      <c r="I90" s="6"/>
      <c r="J90" s="6">
        <v>2960</v>
      </c>
      <c r="K90" s="6">
        <v>657386.4</v>
      </c>
      <c r="L90" s="6"/>
      <c r="M90" s="6"/>
      <c r="N90" s="6">
        <f t="shared" si="20"/>
        <v>2960</v>
      </c>
      <c r="O90" s="6">
        <f t="shared" si="21"/>
        <v>657386.4</v>
      </c>
      <c r="P90" s="6">
        <v>53</v>
      </c>
      <c r="Q90" s="6">
        <v>12163</v>
      </c>
      <c r="R90" s="6">
        <f t="shared" si="18"/>
        <v>2649.2497200447929</v>
      </c>
      <c r="S90" s="6">
        <f t="shared" si="19"/>
        <v>588371.8703247481</v>
      </c>
      <c r="T90" s="37"/>
      <c r="U90" s="48"/>
    </row>
    <row r="91" spans="1:21" s="1" customFormat="1" hidden="1" outlineLevel="1" x14ac:dyDescent="0.25">
      <c r="A91" s="7" t="s">
        <v>1558</v>
      </c>
      <c r="B91" s="7" t="s">
        <v>1559</v>
      </c>
      <c r="C91" s="14">
        <v>52.88</v>
      </c>
      <c r="D91" s="6">
        <v>7.72</v>
      </c>
      <c r="E91" s="6">
        <v>18.28</v>
      </c>
      <c r="F91" s="6"/>
      <c r="G91" s="6"/>
      <c r="H91" s="6"/>
      <c r="I91" s="6"/>
      <c r="J91" s="6"/>
      <c r="K91" s="6"/>
      <c r="L91" s="6"/>
      <c r="M91" s="6"/>
      <c r="N91" s="6" t="str">
        <f t="shared" si="20"/>
        <v/>
      </c>
      <c r="O91" s="6" t="str">
        <f t="shared" si="21"/>
        <v/>
      </c>
      <c r="P91" s="6">
        <v>4</v>
      </c>
      <c r="Q91" s="6">
        <v>218</v>
      </c>
      <c r="R91" s="6"/>
      <c r="S91" s="6"/>
      <c r="T91" s="37"/>
      <c r="U91" s="48"/>
    </row>
    <row r="92" spans="1:21" s="1" customFormat="1" hidden="1" outlineLevel="1" x14ac:dyDescent="0.25">
      <c r="A92" s="7" t="s">
        <v>1516</v>
      </c>
      <c r="B92" s="7" t="s">
        <v>1517</v>
      </c>
      <c r="C92" s="14">
        <v>119.7</v>
      </c>
      <c r="D92" s="6">
        <v>202.34</v>
      </c>
      <c r="E92" s="6">
        <v>100</v>
      </c>
      <c r="F92" s="6">
        <v>12</v>
      </c>
      <c r="G92" s="6">
        <v>1436.4</v>
      </c>
      <c r="H92" s="6">
        <v>48</v>
      </c>
      <c r="I92" s="6">
        <v>5745.6</v>
      </c>
      <c r="J92" s="6">
        <v>1980</v>
      </c>
      <c r="K92" s="6">
        <v>237006</v>
      </c>
      <c r="L92" s="6"/>
      <c r="M92" s="6"/>
      <c r="N92" s="6">
        <f t="shared" si="20"/>
        <v>2040</v>
      </c>
      <c r="O92" s="6">
        <f t="shared" si="21"/>
        <v>244188</v>
      </c>
      <c r="P92" s="6">
        <v>216</v>
      </c>
      <c r="Q92" s="6">
        <v>26437</v>
      </c>
      <c r="R92" s="6">
        <f t="shared" si="18"/>
        <v>218.60828308787194</v>
      </c>
      <c r="S92" s="6">
        <f t="shared" si="19"/>
        <v>26167.411485618271</v>
      </c>
      <c r="T92" s="37"/>
      <c r="U92" s="48"/>
    </row>
    <row r="93" spans="1:21" s="1" customFormat="1" hidden="1" outlineLevel="1" x14ac:dyDescent="0.25">
      <c r="A93" s="7" t="s">
        <v>1506</v>
      </c>
      <c r="B93" s="7" t="s">
        <v>1507</v>
      </c>
      <c r="C93" s="14">
        <v>133.25</v>
      </c>
      <c r="D93" s="6">
        <v>504.38</v>
      </c>
      <c r="E93" s="6">
        <v>100</v>
      </c>
      <c r="F93" s="6">
        <v>24</v>
      </c>
      <c r="G93" s="6">
        <v>3198</v>
      </c>
      <c r="H93" s="6">
        <v>24</v>
      </c>
      <c r="I93" s="6">
        <v>3198</v>
      </c>
      <c r="J93" s="6">
        <v>4092</v>
      </c>
      <c r="K93" s="6">
        <v>545259</v>
      </c>
      <c r="L93" s="6"/>
      <c r="M93" s="6"/>
      <c r="N93" s="6">
        <f t="shared" si="20"/>
        <v>4140</v>
      </c>
      <c r="O93" s="6">
        <f t="shared" si="21"/>
        <v>551655</v>
      </c>
      <c r="P93" s="6">
        <v>168</v>
      </c>
      <c r="Q93" s="6">
        <v>23299</v>
      </c>
      <c r="R93" s="6">
        <f t="shared" si="18"/>
        <v>2631.6724691700697</v>
      </c>
      <c r="S93" s="6">
        <f t="shared" si="19"/>
        <v>350670.35651691176</v>
      </c>
      <c r="T93" s="37"/>
      <c r="U93" s="48"/>
    </row>
    <row r="94" spans="1:21" s="1" customFormat="1" hidden="1" outlineLevel="1" x14ac:dyDescent="0.25">
      <c r="A94" s="7" t="s">
        <v>1592</v>
      </c>
      <c r="B94" s="7" t="s">
        <v>1593</v>
      </c>
      <c r="C94" s="14">
        <v>133.25</v>
      </c>
      <c r="D94" s="6">
        <v>276.18</v>
      </c>
      <c r="E94" s="6">
        <v>100</v>
      </c>
      <c r="F94" s="6">
        <v>12</v>
      </c>
      <c r="G94" s="6">
        <v>1599</v>
      </c>
      <c r="H94" s="6">
        <v>24</v>
      </c>
      <c r="I94" s="6">
        <v>3198</v>
      </c>
      <c r="J94" s="6">
        <v>1956</v>
      </c>
      <c r="K94" s="6">
        <v>260637</v>
      </c>
      <c r="L94" s="6"/>
      <c r="M94" s="6"/>
      <c r="N94" s="6">
        <f t="shared" si="20"/>
        <v>1992</v>
      </c>
      <c r="O94" s="6">
        <f t="shared" si="21"/>
        <v>265434</v>
      </c>
      <c r="P94" s="6">
        <v>128</v>
      </c>
      <c r="Q94" s="6">
        <v>17607</v>
      </c>
      <c r="R94" s="6">
        <f t="shared" si="18"/>
        <v>681.1792309363459</v>
      </c>
      <c r="S94" s="6">
        <f t="shared" si="19"/>
        <v>90767.13252226809</v>
      </c>
      <c r="T94" s="37"/>
      <c r="U94" s="48"/>
    </row>
    <row r="95" spans="1:21" s="1" customFormat="1" hidden="1" outlineLevel="1" x14ac:dyDescent="0.25">
      <c r="A95" s="7" t="s">
        <v>1352</v>
      </c>
      <c r="B95" s="7" t="s">
        <v>1353</v>
      </c>
      <c r="C95" s="14">
        <v>109.14</v>
      </c>
      <c r="D95" s="6">
        <v>2794.94</v>
      </c>
      <c r="E95" s="6">
        <v>100</v>
      </c>
      <c r="F95" s="6"/>
      <c r="G95" s="6"/>
      <c r="H95" s="6">
        <v>24</v>
      </c>
      <c r="I95" s="6">
        <v>2619.36</v>
      </c>
      <c r="J95" s="6">
        <v>6036</v>
      </c>
      <c r="K95" s="6">
        <v>658769.04</v>
      </c>
      <c r="L95" s="6"/>
      <c r="M95" s="6"/>
      <c r="N95" s="6">
        <f t="shared" si="20"/>
        <v>6060</v>
      </c>
      <c r="O95" s="6">
        <f t="shared" si="21"/>
        <v>661388.4</v>
      </c>
      <c r="P95" s="6">
        <v>40</v>
      </c>
      <c r="Q95" s="6">
        <v>4753</v>
      </c>
      <c r="R95" s="6">
        <f t="shared" si="18"/>
        <v>5647.2689360057821</v>
      </c>
      <c r="S95" s="6">
        <f t="shared" si="19"/>
        <v>616342.93167567102</v>
      </c>
      <c r="T95" s="37"/>
      <c r="U95" s="48"/>
    </row>
    <row r="96" spans="1:21" s="1" customFormat="1" hidden="1" outlineLevel="1" x14ac:dyDescent="0.25">
      <c r="A96" s="7" t="s">
        <v>1478</v>
      </c>
      <c r="B96" s="7" t="s">
        <v>1479</v>
      </c>
      <c r="C96" s="14">
        <v>26.44</v>
      </c>
      <c r="D96" s="6">
        <v>189.08</v>
      </c>
      <c r="E96" s="6">
        <v>100</v>
      </c>
      <c r="F96" s="6"/>
      <c r="G96" s="6"/>
      <c r="H96" s="6">
        <v>120</v>
      </c>
      <c r="I96" s="6">
        <v>3172.8</v>
      </c>
      <c r="J96" s="6">
        <v>3192</v>
      </c>
      <c r="K96" s="6">
        <v>84396.479999999996</v>
      </c>
      <c r="L96" s="6"/>
      <c r="M96" s="6"/>
      <c r="N96" s="6">
        <f t="shared" si="20"/>
        <v>3312</v>
      </c>
      <c r="O96" s="6">
        <f t="shared" si="21"/>
        <v>87569.279999999999</v>
      </c>
      <c r="P96" s="6">
        <v>456</v>
      </c>
      <c r="Q96" s="6">
        <v>12537</v>
      </c>
      <c r="R96" s="6">
        <f t="shared" si="18"/>
        <v>153.28622805161856</v>
      </c>
      <c r="S96" s="6">
        <f t="shared" si="19"/>
        <v>4052.8878696847951</v>
      </c>
      <c r="T96" s="37"/>
      <c r="U96" s="48"/>
    </row>
    <row r="97" spans="1:21" s="1" customFormat="1" hidden="1" outlineLevel="1" x14ac:dyDescent="0.25">
      <c r="A97" s="7" t="s">
        <v>1510</v>
      </c>
      <c r="B97" s="7" t="s">
        <v>1511</v>
      </c>
      <c r="C97" s="14">
        <v>133.25</v>
      </c>
      <c r="D97" s="6">
        <v>741.57</v>
      </c>
      <c r="E97" s="6">
        <v>100</v>
      </c>
      <c r="F97" s="6">
        <v>12</v>
      </c>
      <c r="G97" s="6">
        <v>1599</v>
      </c>
      <c r="H97" s="6"/>
      <c r="I97" s="6"/>
      <c r="J97" s="6">
        <v>2736</v>
      </c>
      <c r="K97" s="6">
        <v>364572</v>
      </c>
      <c r="L97" s="6"/>
      <c r="M97" s="6"/>
      <c r="N97" s="6">
        <f t="shared" si="20"/>
        <v>2748</v>
      </c>
      <c r="O97" s="6">
        <f t="shared" si="21"/>
        <v>366171</v>
      </c>
      <c r="P97" s="6">
        <v>92</v>
      </c>
      <c r="Q97" s="6">
        <v>12682</v>
      </c>
      <c r="R97" s="6">
        <f t="shared" si="18"/>
        <v>2071.8954650269025</v>
      </c>
      <c r="S97" s="6">
        <f t="shared" si="19"/>
        <v>276080.07071483473</v>
      </c>
      <c r="T97" s="37"/>
      <c r="U97" s="48"/>
    </row>
    <row r="98" spans="1:21" s="1" customFormat="1" hidden="1" outlineLevel="1" x14ac:dyDescent="0.25">
      <c r="A98" s="7" t="s">
        <v>1514</v>
      </c>
      <c r="B98" s="7" t="s">
        <v>1515</v>
      </c>
      <c r="C98" s="14">
        <v>133.25</v>
      </c>
      <c r="D98" s="6">
        <v>661.38</v>
      </c>
      <c r="E98" s="6">
        <v>100</v>
      </c>
      <c r="F98" s="6">
        <v>12</v>
      </c>
      <c r="G98" s="6">
        <v>1599</v>
      </c>
      <c r="H98" s="6"/>
      <c r="I98" s="6"/>
      <c r="J98" s="6">
        <v>4260</v>
      </c>
      <c r="K98" s="6">
        <v>567645</v>
      </c>
      <c r="L98" s="6"/>
      <c r="M98" s="6"/>
      <c r="N98" s="6">
        <f t="shared" si="20"/>
        <v>4272</v>
      </c>
      <c r="O98" s="6">
        <f t="shared" si="21"/>
        <v>569244</v>
      </c>
      <c r="P98" s="6">
        <v>116</v>
      </c>
      <c r="Q98" s="6">
        <v>15706</v>
      </c>
      <c r="R98" s="6">
        <f t="shared" si="18"/>
        <v>3100.6060056246029</v>
      </c>
      <c r="S98" s="6">
        <f t="shared" si="19"/>
        <v>413155.75024947833</v>
      </c>
      <c r="T98" s="37"/>
      <c r="U98" s="48"/>
    </row>
    <row r="99" spans="1:21" s="1" customFormat="1" hidden="1" outlineLevel="1" x14ac:dyDescent="0.25">
      <c r="A99" s="7" t="s">
        <v>1538</v>
      </c>
      <c r="B99" s="7" t="s">
        <v>1539</v>
      </c>
      <c r="C99" s="14">
        <v>148.06</v>
      </c>
      <c r="D99" s="6">
        <v>1711.93</v>
      </c>
      <c r="E99" s="6">
        <v>100</v>
      </c>
      <c r="F99" s="6"/>
      <c r="G99" s="6"/>
      <c r="H99" s="6"/>
      <c r="I99" s="6"/>
      <c r="J99" s="6">
        <v>3720</v>
      </c>
      <c r="K99" s="6">
        <v>550783.19999999995</v>
      </c>
      <c r="L99" s="6"/>
      <c r="M99" s="6"/>
      <c r="N99" s="6">
        <f t="shared" si="20"/>
        <v>3720</v>
      </c>
      <c r="O99" s="6">
        <f t="shared" si="21"/>
        <v>550783.19999999995</v>
      </c>
      <c r="P99" s="6">
        <v>40</v>
      </c>
      <c r="Q99" s="6">
        <v>5949</v>
      </c>
      <c r="R99" s="6">
        <f t="shared" si="18"/>
        <v>3328.8625119017715</v>
      </c>
      <c r="S99" s="6">
        <f t="shared" si="19"/>
        <v>492871.38351217628</v>
      </c>
      <c r="T99" s="37"/>
      <c r="U99" s="48"/>
    </row>
    <row r="100" spans="1:21" s="1" customFormat="1" hidden="1" outlineLevel="1" x14ac:dyDescent="0.25">
      <c r="A100" s="7" t="s">
        <v>1534</v>
      </c>
      <c r="B100" s="7" t="s">
        <v>1535</v>
      </c>
      <c r="C100" s="14">
        <v>148.06</v>
      </c>
      <c r="D100" s="6">
        <v>658.83</v>
      </c>
      <c r="E100" s="6">
        <v>100</v>
      </c>
      <c r="F100" s="6"/>
      <c r="G100" s="6"/>
      <c r="H100" s="6"/>
      <c r="I100" s="6"/>
      <c r="J100" s="6">
        <v>2776</v>
      </c>
      <c r="K100" s="6">
        <v>411014.56</v>
      </c>
      <c r="L100" s="6"/>
      <c r="M100" s="6"/>
      <c r="N100" s="6">
        <f t="shared" si="20"/>
        <v>2776</v>
      </c>
      <c r="O100" s="6">
        <f t="shared" si="21"/>
        <v>411014.56</v>
      </c>
      <c r="P100" s="6">
        <v>92</v>
      </c>
      <c r="Q100" s="6">
        <v>13990</v>
      </c>
      <c r="R100" s="6">
        <f t="shared" si="18"/>
        <v>2017.5645917763309</v>
      </c>
      <c r="S100" s="6">
        <f t="shared" si="19"/>
        <v>298720.61345840356</v>
      </c>
      <c r="T100" s="37"/>
      <c r="U100" s="48"/>
    </row>
    <row r="101" spans="1:21" s="1" customFormat="1" hidden="1" outlineLevel="1" x14ac:dyDescent="0.25">
      <c r="A101" s="7" t="s">
        <v>1566</v>
      </c>
      <c r="B101" s="7" t="s">
        <v>1567</v>
      </c>
      <c r="C101" s="14">
        <v>941.24</v>
      </c>
      <c r="D101" s="6">
        <v>3955.33</v>
      </c>
      <c r="E101" s="6">
        <v>100</v>
      </c>
      <c r="F101" s="6">
        <v>5</v>
      </c>
      <c r="G101" s="6">
        <v>4706.2</v>
      </c>
      <c r="H101" s="6"/>
      <c r="I101" s="6"/>
      <c r="J101" s="6">
        <v>117</v>
      </c>
      <c r="K101" s="6">
        <v>110125.08</v>
      </c>
      <c r="L101" s="6"/>
      <c r="M101" s="6"/>
      <c r="N101" s="6">
        <f t="shared" si="20"/>
        <v>122</v>
      </c>
      <c r="O101" s="6">
        <f t="shared" si="21"/>
        <v>114831.28</v>
      </c>
      <c r="P101" s="6">
        <v>1</v>
      </c>
      <c r="Q101" s="6">
        <v>1023</v>
      </c>
      <c r="R101" s="6">
        <f t="shared" si="18"/>
        <v>111.67553908270612</v>
      </c>
      <c r="S101" s="6">
        <f t="shared" si="19"/>
        <v>105113.48440620631</v>
      </c>
      <c r="T101" s="37"/>
      <c r="U101" s="48"/>
    </row>
    <row r="102" spans="1:21" s="1" customFormat="1" hidden="1" outlineLevel="1" x14ac:dyDescent="0.25">
      <c r="A102" s="7" t="s">
        <v>1500</v>
      </c>
      <c r="B102" s="7" t="s">
        <v>1501</v>
      </c>
      <c r="C102" s="14">
        <v>133.25</v>
      </c>
      <c r="D102" s="6">
        <v>1288.45</v>
      </c>
      <c r="E102" s="6">
        <v>100</v>
      </c>
      <c r="F102" s="6">
        <v>12</v>
      </c>
      <c r="G102" s="6">
        <v>1599</v>
      </c>
      <c r="H102" s="6"/>
      <c r="I102" s="6"/>
      <c r="J102" s="6">
        <v>2388</v>
      </c>
      <c r="K102" s="6">
        <v>318201</v>
      </c>
      <c r="L102" s="6"/>
      <c r="M102" s="6"/>
      <c r="N102" s="6">
        <f t="shared" si="20"/>
        <v>2400</v>
      </c>
      <c r="O102" s="6">
        <f t="shared" si="21"/>
        <v>319800</v>
      </c>
      <c r="P102" s="6">
        <v>44</v>
      </c>
      <c r="Q102" s="6">
        <v>5983</v>
      </c>
      <c r="R102" s="6">
        <f t="shared" si="18"/>
        <v>2054.389848267298</v>
      </c>
      <c r="S102" s="6">
        <f t="shared" si="19"/>
        <v>273747.44728161744</v>
      </c>
      <c r="T102" s="37"/>
      <c r="U102" s="48"/>
    </row>
    <row r="103" spans="1:21" s="1" customFormat="1" hidden="1" outlineLevel="1" x14ac:dyDescent="0.25">
      <c r="A103" s="7" t="s">
        <v>1590</v>
      </c>
      <c r="B103" s="7" t="s">
        <v>1591</v>
      </c>
      <c r="C103" s="14">
        <v>133.25</v>
      </c>
      <c r="D103" s="6">
        <v>453.8</v>
      </c>
      <c r="E103" s="6">
        <v>100</v>
      </c>
      <c r="F103" s="6">
        <v>24</v>
      </c>
      <c r="G103" s="6">
        <v>3198</v>
      </c>
      <c r="H103" s="6">
        <v>24</v>
      </c>
      <c r="I103" s="6">
        <v>3198</v>
      </c>
      <c r="J103" s="6">
        <v>2880</v>
      </c>
      <c r="K103" s="6">
        <v>383760</v>
      </c>
      <c r="L103" s="6"/>
      <c r="M103" s="6"/>
      <c r="N103" s="6">
        <f t="shared" si="20"/>
        <v>2928</v>
      </c>
      <c r="O103" s="6">
        <f t="shared" si="21"/>
        <v>390156</v>
      </c>
      <c r="P103" s="6">
        <v>76</v>
      </c>
      <c r="Q103" s="6">
        <v>10421</v>
      </c>
      <c r="R103" s="6">
        <f t="shared" si="18"/>
        <v>1737.646540326135</v>
      </c>
      <c r="S103" s="6">
        <f t="shared" si="19"/>
        <v>231541.40149845748</v>
      </c>
      <c r="T103" s="37"/>
      <c r="U103" s="48"/>
    </row>
    <row r="104" spans="1:21" s="1" customFormat="1" hidden="1" outlineLevel="1" x14ac:dyDescent="0.25">
      <c r="A104" s="7" t="s">
        <v>1540</v>
      </c>
      <c r="B104" s="7" t="s">
        <v>1541</v>
      </c>
      <c r="C104" s="14">
        <v>148.06</v>
      </c>
      <c r="D104" s="6">
        <v>2042.6</v>
      </c>
      <c r="E104" s="6">
        <v>100</v>
      </c>
      <c r="F104" s="6"/>
      <c r="G104" s="6"/>
      <c r="H104" s="6"/>
      <c r="I104" s="6"/>
      <c r="J104" s="6">
        <v>3240</v>
      </c>
      <c r="K104" s="6">
        <v>479714.4</v>
      </c>
      <c r="L104" s="6"/>
      <c r="M104" s="6"/>
      <c r="N104" s="6">
        <f t="shared" si="20"/>
        <v>3240</v>
      </c>
      <c r="O104" s="6">
        <f t="shared" si="21"/>
        <v>479714.4</v>
      </c>
      <c r="P104" s="6">
        <v>40</v>
      </c>
      <c r="Q104" s="6">
        <v>6013</v>
      </c>
      <c r="R104" s="6">
        <f t="shared" si="18"/>
        <v>2954.4815431313032</v>
      </c>
      <c r="S104" s="6">
        <f t="shared" si="19"/>
        <v>437440.53727602074</v>
      </c>
      <c r="T104" s="37"/>
      <c r="U104" s="48"/>
    </row>
    <row r="105" spans="1:21" s="1" customFormat="1" hidden="1" outlineLevel="1" x14ac:dyDescent="0.25">
      <c r="A105" s="7" t="s">
        <v>1586</v>
      </c>
      <c r="B105" s="7" t="s">
        <v>1587</v>
      </c>
      <c r="C105" s="14">
        <v>133.25</v>
      </c>
      <c r="D105" s="6">
        <v>735.12</v>
      </c>
      <c r="E105" s="6">
        <v>100</v>
      </c>
      <c r="F105" s="6">
        <v>12</v>
      </c>
      <c r="G105" s="6">
        <v>1599</v>
      </c>
      <c r="H105" s="6">
        <v>24</v>
      </c>
      <c r="I105" s="6">
        <v>3198</v>
      </c>
      <c r="J105" s="6">
        <v>2928</v>
      </c>
      <c r="K105" s="6">
        <v>390156</v>
      </c>
      <c r="L105" s="6"/>
      <c r="M105" s="6"/>
      <c r="N105" s="6">
        <f t="shared" si="20"/>
        <v>2964</v>
      </c>
      <c r="O105" s="6">
        <f t="shared" si="21"/>
        <v>394953</v>
      </c>
      <c r="P105" s="6">
        <v>28</v>
      </c>
      <c r="Q105" s="6">
        <v>3838</v>
      </c>
      <c r="R105" s="6">
        <f t="shared" si="18"/>
        <v>2211.0558276199804</v>
      </c>
      <c r="S105" s="6">
        <f t="shared" si="19"/>
        <v>294623.18903036241</v>
      </c>
      <c r="T105" s="37"/>
      <c r="U105" s="48"/>
    </row>
    <row r="106" spans="1:21" s="1" customFormat="1" hidden="1" outlineLevel="1" x14ac:dyDescent="0.25">
      <c r="A106" s="7" t="s">
        <v>1568</v>
      </c>
      <c r="B106" s="7" t="s">
        <v>1569</v>
      </c>
      <c r="C106" s="14">
        <v>153.35</v>
      </c>
      <c r="D106" s="6">
        <v>2283</v>
      </c>
      <c r="E106" s="6">
        <v>100</v>
      </c>
      <c r="F106" s="6"/>
      <c r="G106" s="6"/>
      <c r="H106" s="6"/>
      <c r="I106" s="6"/>
      <c r="J106" s="6">
        <v>160</v>
      </c>
      <c r="K106" s="6">
        <v>24536</v>
      </c>
      <c r="L106" s="6"/>
      <c r="M106" s="6"/>
      <c r="N106" s="6">
        <f t="shared" si="20"/>
        <v>160</v>
      </c>
      <c r="O106" s="6">
        <f t="shared" si="21"/>
        <v>24536</v>
      </c>
      <c r="P106" s="6">
        <v>7</v>
      </c>
      <c r="Q106" s="6">
        <v>1054</v>
      </c>
      <c r="R106" s="6">
        <f t="shared" si="18"/>
        <v>147.3850197109067</v>
      </c>
      <c r="S106" s="6">
        <f t="shared" si="19"/>
        <v>22601.492772667541</v>
      </c>
      <c r="T106" s="37"/>
      <c r="U106" s="48"/>
    </row>
    <row r="107" spans="1:21" s="1" customFormat="1" hidden="1" outlineLevel="1" x14ac:dyDescent="0.25">
      <c r="A107" s="7" t="s">
        <v>1496</v>
      </c>
      <c r="B107" s="7" t="s">
        <v>1497</v>
      </c>
      <c r="C107" s="14">
        <v>684.89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 t="str">
        <f t="shared" si="20"/>
        <v/>
      </c>
      <c r="O107" s="6" t="str">
        <f t="shared" si="21"/>
        <v/>
      </c>
      <c r="P107" s="6"/>
      <c r="Q107" s="6"/>
      <c r="R107" s="6"/>
      <c r="S107" s="6"/>
      <c r="T107" s="37"/>
      <c r="U107" s="48"/>
    </row>
    <row r="108" spans="1:21" s="1" customFormat="1" hidden="1" outlineLevel="1" x14ac:dyDescent="0.25">
      <c r="A108" s="7" t="s">
        <v>1494</v>
      </c>
      <c r="B108" s="7" t="s">
        <v>1495</v>
      </c>
      <c r="C108" s="14">
        <v>713.73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 t="str">
        <f t="shared" si="20"/>
        <v/>
      </c>
      <c r="O108" s="6" t="str">
        <f t="shared" si="21"/>
        <v/>
      </c>
      <c r="P108" s="6"/>
      <c r="Q108" s="6"/>
      <c r="R108" s="6"/>
      <c r="S108" s="6"/>
      <c r="T108" s="37"/>
      <c r="U108" s="48"/>
    </row>
    <row r="109" spans="1:21" s="1" customFormat="1" hidden="1" outlineLevel="1" x14ac:dyDescent="0.25">
      <c r="A109" s="7" t="s">
        <v>1492</v>
      </c>
      <c r="B109" s="7" t="s">
        <v>1493</v>
      </c>
      <c r="C109" s="14">
        <v>765.99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 t="str">
        <f t="shared" si="20"/>
        <v/>
      </c>
      <c r="O109" s="6" t="str">
        <f t="shared" si="21"/>
        <v/>
      </c>
      <c r="P109" s="6"/>
      <c r="Q109" s="6"/>
      <c r="R109" s="6"/>
      <c r="S109" s="6"/>
      <c r="T109" s="37"/>
      <c r="U109" s="48"/>
    </row>
    <row r="110" spans="1:21" s="1" customFormat="1" hidden="1" outlineLevel="1" x14ac:dyDescent="0.25">
      <c r="A110" s="7" t="s">
        <v>1482</v>
      </c>
      <c r="B110" s="7" t="s">
        <v>1483</v>
      </c>
      <c r="C110" s="14">
        <v>542.15</v>
      </c>
      <c r="D110" s="6"/>
      <c r="E110" s="6">
        <v>100</v>
      </c>
      <c r="F110" s="6"/>
      <c r="G110" s="6"/>
      <c r="H110" s="6"/>
      <c r="I110" s="6"/>
      <c r="J110" s="6">
        <v>1</v>
      </c>
      <c r="K110" s="6">
        <v>542.15</v>
      </c>
      <c r="L110" s="6"/>
      <c r="M110" s="6"/>
      <c r="N110" s="6">
        <f t="shared" ref="N110:N125" si="22">IF(J110+L110+H110+F110&lt;=0,"",J110+L110+H110+F110)</f>
        <v>1</v>
      </c>
      <c r="O110" s="6">
        <f t="shared" ref="O110:O125" si="23">IFERROR(C110*N110,"")</f>
        <v>542.15</v>
      </c>
      <c r="P110" s="6"/>
      <c r="Q110" s="6"/>
      <c r="R110" s="6"/>
      <c r="S110" s="6"/>
      <c r="T110" s="37"/>
      <c r="U110" s="48"/>
    </row>
    <row r="111" spans="1:21" s="1" customFormat="1" hidden="1" outlineLevel="1" x14ac:dyDescent="0.25">
      <c r="A111" s="7" t="s">
        <v>1367</v>
      </c>
      <c r="B111" s="7" t="s">
        <v>1368</v>
      </c>
      <c r="C111" s="14">
        <v>855.53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 t="str">
        <f t="shared" si="22"/>
        <v/>
      </c>
      <c r="O111" s="6" t="str">
        <f t="shared" si="23"/>
        <v/>
      </c>
      <c r="P111" s="6"/>
      <c r="Q111" s="6"/>
      <c r="R111" s="6"/>
      <c r="S111" s="6"/>
      <c r="T111" s="37"/>
      <c r="U111" s="48"/>
    </row>
    <row r="112" spans="1:21" s="1" customFormat="1" hidden="1" outlineLevel="1" x14ac:dyDescent="0.25">
      <c r="A112" s="7" t="s">
        <v>1486</v>
      </c>
      <c r="B112" s="7" t="s">
        <v>1487</v>
      </c>
      <c r="C112" s="14">
        <v>796.63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 t="str">
        <f t="shared" si="22"/>
        <v/>
      </c>
      <c r="O112" s="6" t="str">
        <f t="shared" si="23"/>
        <v/>
      </c>
      <c r="P112" s="6"/>
      <c r="Q112" s="6"/>
      <c r="R112" s="6"/>
      <c r="S112" s="6"/>
      <c r="T112" s="37"/>
      <c r="U112" s="48"/>
    </row>
    <row r="113" spans="1:21" s="1" customFormat="1" hidden="1" outlineLevel="1" x14ac:dyDescent="0.25">
      <c r="A113" s="7" t="s">
        <v>1572</v>
      </c>
      <c r="B113" s="7" t="s">
        <v>1573</v>
      </c>
      <c r="C113" s="14">
        <v>153.35</v>
      </c>
      <c r="D113" s="6">
        <v>2876</v>
      </c>
      <c r="E113" s="6">
        <v>100</v>
      </c>
      <c r="F113" s="6"/>
      <c r="G113" s="6"/>
      <c r="H113" s="6"/>
      <c r="I113" s="6"/>
      <c r="J113" s="6">
        <v>240</v>
      </c>
      <c r="K113" s="6">
        <v>36804</v>
      </c>
      <c r="L113" s="6"/>
      <c r="M113" s="6"/>
      <c r="N113" s="6">
        <f t="shared" si="22"/>
        <v>240</v>
      </c>
      <c r="O113" s="6">
        <f t="shared" si="23"/>
        <v>36804</v>
      </c>
      <c r="P113" s="6">
        <v>7</v>
      </c>
      <c r="Q113" s="6">
        <v>1278</v>
      </c>
      <c r="R113" s="6">
        <f t="shared" ref="R113:R125" si="24">J113/D113*(D113-180)</f>
        <v>224.97913769123784</v>
      </c>
      <c r="S113" s="6">
        <f t="shared" ref="S113:S125" si="25">R113*C113</f>
        <v>34500.550764951324</v>
      </c>
      <c r="T113" s="37"/>
      <c r="U113" s="48"/>
    </row>
    <row r="114" spans="1:21" s="1" customFormat="1" hidden="1" outlineLevel="1" x14ac:dyDescent="0.25">
      <c r="A114" s="7" t="s">
        <v>1584</v>
      </c>
      <c r="B114" s="7" t="s">
        <v>1585</v>
      </c>
      <c r="C114" s="14">
        <v>133.25</v>
      </c>
      <c r="D114" s="6">
        <v>447.5</v>
      </c>
      <c r="E114" s="6">
        <v>100</v>
      </c>
      <c r="F114" s="6"/>
      <c r="G114" s="6"/>
      <c r="H114" s="6"/>
      <c r="I114" s="6"/>
      <c r="J114" s="6">
        <v>2784</v>
      </c>
      <c r="K114" s="6">
        <v>370968</v>
      </c>
      <c r="L114" s="6"/>
      <c r="M114" s="6"/>
      <c r="N114" s="6">
        <f t="shared" si="22"/>
        <v>2784</v>
      </c>
      <c r="O114" s="6">
        <f t="shared" si="23"/>
        <v>370968</v>
      </c>
      <c r="P114" s="6">
        <v>100</v>
      </c>
      <c r="Q114" s="6">
        <v>13437</v>
      </c>
      <c r="R114" s="6">
        <f t="shared" si="24"/>
        <v>1664.1787709497205</v>
      </c>
      <c r="S114" s="6">
        <f t="shared" si="25"/>
        <v>221751.82122905026</v>
      </c>
      <c r="T114" s="37"/>
      <c r="U114" s="48"/>
    </row>
    <row r="115" spans="1:21" s="1" customFormat="1" hidden="1" outlineLevel="1" x14ac:dyDescent="0.25">
      <c r="A115" s="7" t="s">
        <v>1484</v>
      </c>
      <c r="B115" s="7" t="s">
        <v>1485</v>
      </c>
      <c r="C115" s="14">
        <v>681.74</v>
      </c>
      <c r="D115" s="6">
        <v>138.5</v>
      </c>
      <c r="E115" s="6">
        <v>100</v>
      </c>
      <c r="F115" s="6"/>
      <c r="G115" s="6"/>
      <c r="H115" s="6"/>
      <c r="I115" s="6"/>
      <c r="J115" s="6">
        <v>2</v>
      </c>
      <c r="K115" s="6">
        <v>1363.48</v>
      </c>
      <c r="L115" s="6"/>
      <c r="M115" s="6"/>
      <c r="N115" s="6">
        <f t="shared" si="22"/>
        <v>2</v>
      </c>
      <c r="O115" s="6">
        <f t="shared" si="23"/>
        <v>1363.48</v>
      </c>
      <c r="P115" s="6">
        <v>1</v>
      </c>
      <c r="Q115" s="6">
        <v>966</v>
      </c>
      <c r="R115" s="6"/>
      <c r="S115" s="6"/>
      <c r="T115" s="37"/>
      <c r="U115" s="48"/>
    </row>
    <row r="116" spans="1:21" s="1" customFormat="1" hidden="1" outlineLevel="1" x14ac:dyDescent="0.25">
      <c r="A116" s="7" t="s">
        <v>1363</v>
      </c>
      <c r="B116" s="7" t="s">
        <v>1364</v>
      </c>
      <c r="C116" s="14">
        <v>652.33000000000004</v>
      </c>
      <c r="D116" s="6">
        <v>97.5</v>
      </c>
      <c r="E116" s="6">
        <v>100</v>
      </c>
      <c r="F116" s="6"/>
      <c r="G116" s="6"/>
      <c r="H116" s="6"/>
      <c r="I116" s="6"/>
      <c r="J116" s="6">
        <v>3</v>
      </c>
      <c r="K116" s="6">
        <v>1956.99</v>
      </c>
      <c r="L116" s="6"/>
      <c r="M116" s="6"/>
      <c r="N116" s="6">
        <f t="shared" si="22"/>
        <v>3</v>
      </c>
      <c r="O116" s="6">
        <f t="shared" si="23"/>
        <v>1956.9900000000002</v>
      </c>
      <c r="P116" s="6">
        <v>2</v>
      </c>
      <c r="Q116" s="6">
        <v>1354</v>
      </c>
      <c r="R116" s="6"/>
      <c r="S116" s="6"/>
      <c r="T116" s="37"/>
      <c r="U116" s="48"/>
    </row>
    <row r="117" spans="1:21" s="1" customFormat="1" hidden="1" outlineLevel="1" x14ac:dyDescent="0.25">
      <c r="A117" s="7" t="s">
        <v>1560</v>
      </c>
      <c r="B117" s="7" t="s">
        <v>1561</v>
      </c>
      <c r="C117" s="14">
        <v>153.35</v>
      </c>
      <c r="D117" s="6">
        <v>826.67</v>
      </c>
      <c r="E117" s="6">
        <v>100</v>
      </c>
      <c r="F117" s="6"/>
      <c r="G117" s="6"/>
      <c r="H117" s="6"/>
      <c r="I117" s="6"/>
      <c r="J117" s="6">
        <v>180</v>
      </c>
      <c r="K117" s="6">
        <v>27603</v>
      </c>
      <c r="L117" s="6"/>
      <c r="M117" s="6"/>
      <c r="N117" s="6">
        <f t="shared" si="22"/>
        <v>180</v>
      </c>
      <c r="O117" s="6">
        <f t="shared" si="23"/>
        <v>27603</v>
      </c>
      <c r="P117" s="6">
        <v>20</v>
      </c>
      <c r="Q117" s="6">
        <v>3269</v>
      </c>
      <c r="R117" s="6">
        <f t="shared" si="24"/>
        <v>140.80660965076754</v>
      </c>
      <c r="S117" s="6">
        <f t="shared" si="25"/>
        <v>21592.6935899452</v>
      </c>
      <c r="T117" s="37"/>
      <c r="U117" s="48"/>
    </row>
    <row r="118" spans="1:21" s="1" customFormat="1" hidden="1" outlineLevel="1" x14ac:dyDescent="0.25">
      <c r="A118" s="7" t="s">
        <v>1588</v>
      </c>
      <c r="B118" s="7" t="s">
        <v>1589</v>
      </c>
      <c r="C118" s="14">
        <v>133.25</v>
      </c>
      <c r="D118" s="6">
        <v>436.65</v>
      </c>
      <c r="E118" s="6">
        <v>100</v>
      </c>
      <c r="F118" s="6">
        <v>36</v>
      </c>
      <c r="G118" s="6">
        <v>4797</v>
      </c>
      <c r="H118" s="6">
        <v>36</v>
      </c>
      <c r="I118" s="6">
        <v>4797</v>
      </c>
      <c r="J118" s="6">
        <v>2172</v>
      </c>
      <c r="K118" s="6">
        <v>289419</v>
      </c>
      <c r="L118" s="6"/>
      <c r="M118" s="6"/>
      <c r="N118" s="6">
        <f t="shared" si="22"/>
        <v>2244</v>
      </c>
      <c r="O118" s="6">
        <f t="shared" si="23"/>
        <v>299013</v>
      </c>
      <c r="P118" s="6">
        <v>80</v>
      </c>
      <c r="Q118" s="6">
        <v>10879</v>
      </c>
      <c r="R118" s="6">
        <f t="shared" si="24"/>
        <v>1276.6375815870836</v>
      </c>
      <c r="S118" s="6">
        <f t="shared" si="25"/>
        <v>170111.95774647887</v>
      </c>
      <c r="T118" s="37"/>
      <c r="U118" s="48"/>
    </row>
    <row r="119" spans="1:21" s="1" customFormat="1" hidden="1" outlineLevel="1" x14ac:dyDescent="0.25">
      <c r="A119" s="7" t="s">
        <v>1490</v>
      </c>
      <c r="B119" s="7" t="s">
        <v>1491</v>
      </c>
      <c r="C119" s="14">
        <v>842.59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 t="str">
        <f t="shared" si="22"/>
        <v/>
      </c>
      <c r="O119" s="6" t="str">
        <f t="shared" si="23"/>
        <v/>
      </c>
      <c r="P119" s="6"/>
      <c r="Q119" s="6"/>
      <c r="R119" s="6"/>
      <c r="S119" s="6"/>
      <c r="T119" s="37"/>
      <c r="U119" s="48"/>
    </row>
    <row r="120" spans="1:21" s="1" customFormat="1" hidden="1" outlineLevel="1" x14ac:dyDescent="0.25">
      <c r="A120" s="7" t="s">
        <v>1488</v>
      </c>
      <c r="B120" s="7" t="s">
        <v>1489</v>
      </c>
      <c r="C120" s="14">
        <v>785.15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 t="str">
        <f t="shared" si="22"/>
        <v/>
      </c>
      <c r="O120" s="6" t="str">
        <f t="shared" si="23"/>
        <v/>
      </c>
      <c r="P120" s="6"/>
      <c r="Q120" s="6"/>
      <c r="R120" s="6"/>
      <c r="S120" s="6"/>
      <c r="T120" s="37"/>
      <c r="U120" s="48"/>
    </row>
    <row r="121" spans="1:21" s="1" customFormat="1" hidden="1" outlineLevel="1" x14ac:dyDescent="0.25">
      <c r="A121" s="7" t="s">
        <v>1369</v>
      </c>
      <c r="B121" s="7" t="s">
        <v>1370</v>
      </c>
      <c r="C121" s="14">
        <v>1036.05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 t="str">
        <f t="shared" si="22"/>
        <v/>
      </c>
      <c r="O121" s="6" t="str">
        <f t="shared" si="23"/>
        <v/>
      </c>
      <c r="P121" s="6"/>
      <c r="Q121" s="6"/>
      <c r="R121" s="6"/>
      <c r="S121" s="6"/>
      <c r="T121" s="37"/>
      <c r="U121" s="48"/>
    </row>
    <row r="122" spans="1:21" s="1" customFormat="1" hidden="1" outlineLevel="1" x14ac:dyDescent="0.25">
      <c r="A122" s="7" t="s">
        <v>1564</v>
      </c>
      <c r="B122" s="7" t="s">
        <v>1565</v>
      </c>
      <c r="C122" s="14">
        <v>153.35</v>
      </c>
      <c r="D122" s="6">
        <v>1197</v>
      </c>
      <c r="E122" s="6">
        <v>100</v>
      </c>
      <c r="F122" s="6"/>
      <c r="G122" s="6"/>
      <c r="H122" s="6"/>
      <c r="I122" s="6"/>
      <c r="J122" s="6">
        <v>140</v>
      </c>
      <c r="K122" s="6">
        <v>21469</v>
      </c>
      <c r="L122" s="6"/>
      <c r="M122" s="6"/>
      <c r="N122" s="6">
        <f t="shared" si="22"/>
        <v>140</v>
      </c>
      <c r="O122" s="6">
        <f t="shared" si="23"/>
        <v>21469</v>
      </c>
      <c r="P122" s="6">
        <v>13</v>
      </c>
      <c r="Q122" s="6">
        <v>2165</v>
      </c>
      <c r="R122" s="6">
        <f t="shared" si="24"/>
        <v>118.94736842105263</v>
      </c>
      <c r="S122" s="6">
        <f t="shared" si="25"/>
        <v>18240.57894736842</v>
      </c>
      <c r="T122" s="37"/>
      <c r="U122" s="48"/>
    </row>
    <row r="123" spans="1:21" s="1" customFormat="1" hidden="1" outlineLevel="1" x14ac:dyDescent="0.25">
      <c r="A123" s="7" t="s">
        <v>1365</v>
      </c>
      <c r="B123" s="7" t="s">
        <v>1366</v>
      </c>
      <c r="C123" s="14">
        <v>745.19</v>
      </c>
      <c r="D123" s="6"/>
      <c r="E123" s="6">
        <v>100</v>
      </c>
      <c r="F123" s="6"/>
      <c r="G123" s="6"/>
      <c r="H123" s="6"/>
      <c r="I123" s="6"/>
      <c r="J123" s="6">
        <v>12</v>
      </c>
      <c r="K123" s="6">
        <v>8942.2800000000007</v>
      </c>
      <c r="L123" s="6"/>
      <c r="M123" s="6"/>
      <c r="N123" s="6">
        <f t="shared" si="22"/>
        <v>12</v>
      </c>
      <c r="O123" s="6">
        <f t="shared" si="23"/>
        <v>8942.2800000000007</v>
      </c>
      <c r="P123" s="6"/>
      <c r="Q123" s="6"/>
      <c r="R123" s="6"/>
      <c r="S123" s="6"/>
      <c r="T123" s="37"/>
      <c r="U123" s="48"/>
    </row>
    <row r="124" spans="1:21" s="1" customFormat="1" hidden="1" outlineLevel="1" x14ac:dyDescent="0.25">
      <c r="A124" s="7" t="s">
        <v>1371</v>
      </c>
      <c r="B124" s="7" t="s">
        <v>1372</v>
      </c>
      <c r="C124" s="14">
        <v>571.75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 t="str">
        <f t="shared" si="22"/>
        <v/>
      </c>
      <c r="O124" s="6" t="str">
        <f t="shared" si="23"/>
        <v/>
      </c>
      <c r="P124" s="6"/>
      <c r="Q124" s="6"/>
      <c r="R124" s="6"/>
      <c r="S124" s="6"/>
      <c r="T124" s="37"/>
      <c r="U124" s="48"/>
    </row>
    <row r="125" spans="1:21" s="1" customFormat="1" hidden="1" outlineLevel="1" x14ac:dyDescent="0.25">
      <c r="A125" s="7" t="s">
        <v>1576</v>
      </c>
      <c r="B125" s="7" t="s">
        <v>1577</v>
      </c>
      <c r="C125" s="14">
        <v>109.42</v>
      </c>
      <c r="D125" s="6">
        <v>606.51</v>
      </c>
      <c r="E125" s="6">
        <v>100</v>
      </c>
      <c r="F125" s="6">
        <v>36</v>
      </c>
      <c r="G125" s="6">
        <v>3939.12</v>
      </c>
      <c r="H125" s="6">
        <v>72</v>
      </c>
      <c r="I125" s="6">
        <v>7878.24</v>
      </c>
      <c r="J125" s="6">
        <v>14940</v>
      </c>
      <c r="K125" s="6">
        <v>1634734.8</v>
      </c>
      <c r="L125" s="6"/>
      <c r="M125" s="6"/>
      <c r="N125" s="6">
        <f t="shared" si="22"/>
        <v>15048</v>
      </c>
      <c r="O125" s="6">
        <f t="shared" si="23"/>
        <v>1646552.16</v>
      </c>
      <c r="P125" s="6">
        <v>360</v>
      </c>
      <c r="Q125" s="6">
        <v>41146</v>
      </c>
      <c r="R125" s="6">
        <f t="shared" si="24"/>
        <v>10506.107731117378</v>
      </c>
      <c r="S125" s="6">
        <f t="shared" si="25"/>
        <v>1149578.3079388635</v>
      </c>
      <c r="T125" s="37"/>
      <c r="U125" s="48"/>
    </row>
    <row r="126" spans="1:21" s="17" customFormat="1" ht="14.1" customHeight="1" collapsed="1" x14ac:dyDescent="0.2">
      <c r="A126" s="18" t="s">
        <v>1343</v>
      </c>
      <c r="B126" s="19"/>
      <c r="C126" s="19"/>
      <c r="D126" s="18">
        <v>214.92</v>
      </c>
      <c r="E126" s="18">
        <v>84.88</v>
      </c>
      <c r="F126" s="18">
        <f t="shared" ref="F126:R126" si="26">F4+F22+F46</f>
        <v>49636</v>
      </c>
      <c r="G126" s="18">
        <f t="shared" si="26"/>
        <v>9217212.3399999999</v>
      </c>
      <c r="H126" s="18">
        <f t="shared" si="26"/>
        <v>19756</v>
      </c>
      <c r="I126" s="18">
        <f t="shared" si="26"/>
        <v>4196173.34</v>
      </c>
      <c r="J126" s="18">
        <f t="shared" si="26"/>
        <v>1040806</v>
      </c>
      <c r="K126" s="18">
        <f t="shared" si="26"/>
        <v>195273041.92999998</v>
      </c>
      <c r="L126" s="18">
        <f t="shared" si="26"/>
        <v>77712</v>
      </c>
      <c r="M126" s="18">
        <f t="shared" si="26"/>
        <v>18450777.360000003</v>
      </c>
      <c r="N126" s="18">
        <f t="shared" si="26"/>
        <v>1187910</v>
      </c>
      <c r="O126" s="18">
        <f t="shared" si="26"/>
        <v>227137204.96999997</v>
      </c>
      <c r="P126" s="18">
        <f t="shared" si="26"/>
        <v>156288</v>
      </c>
      <c r="Q126" s="18">
        <f t="shared" si="26"/>
        <v>30738131</v>
      </c>
      <c r="R126" s="18">
        <f t="shared" si="26"/>
        <v>401870.56783352769</v>
      </c>
      <c r="S126" s="18">
        <f t="shared" ref="S126" si="27">S4+S22+S46</f>
        <v>58022145.381463103</v>
      </c>
      <c r="T126" s="50"/>
      <c r="U126" s="51"/>
    </row>
    <row r="128" spans="1:21" x14ac:dyDescent="0.25">
      <c r="K128" s="20" t="s">
        <v>1608</v>
      </c>
      <c r="L128" s="80" t="s">
        <v>1609</v>
      </c>
      <c r="M128" s="80"/>
      <c r="N128" s="81" t="s">
        <v>1610</v>
      </c>
      <c r="O128" s="81"/>
      <c r="P128" s="82" t="s">
        <v>1611</v>
      </c>
      <c r="Q128" s="82"/>
      <c r="R128" s="83" t="s">
        <v>1343</v>
      </c>
      <c r="S128" s="83"/>
    </row>
    <row r="129" spans="11:21" x14ac:dyDescent="0.25">
      <c r="K129" s="21">
        <v>46259</v>
      </c>
      <c r="L129" s="34">
        <v>25351203.305138562</v>
      </c>
      <c r="M129" s="23">
        <f>L129/L130-1</f>
        <v>3.7004268963345961</v>
      </c>
      <c r="N129" s="24">
        <v>10864726.079643771</v>
      </c>
      <c r="O129" s="25">
        <f>N129/N130-1</f>
        <v>1.9730459745990121</v>
      </c>
      <c r="P129" s="26">
        <v>21806215.996680774</v>
      </c>
      <c r="Q129" s="27">
        <f t="shared" ref="Q129:Q134" si="28">P129/P130-1</f>
        <v>1.2434665568122556</v>
      </c>
      <c r="R129" s="28">
        <v>58022145.381463103</v>
      </c>
      <c r="S129" s="29">
        <f t="shared" ref="S129:S146" si="29">R129/R130-1</f>
        <v>2.091601245955979</v>
      </c>
      <c r="T129" s="57">
        <f>N129+P129</f>
        <v>32670942.076324545</v>
      </c>
    </row>
    <row r="130" spans="11:21" x14ac:dyDescent="0.25">
      <c r="K130" s="21">
        <v>46224</v>
      </c>
      <c r="L130" s="34">
        <v>5393383.1680070357</v>
      </c>
      <c r="M130" s="23">
        <f>L130/L131-1</f>
        <v>33.398423512159717</v>
      </c>
      <c r="N130" s="24">
        <v>3654409.0378922392</v>
      </c>
      <c r="O130" s="25">
        <f>N130/N131-1</f>
        <v>6.8423805433651168</v>
      </c>
      <c r="P130" s="26">
        <v>9719875.6676209401</v>
      </c>
      <c r="Q130" s="27">
        <f t="shared" si="28"/>
        <v>1.004763946495105</v>
      </c>
      <c r="R130" s="28">
        <v>18767667.873520218</v>
      </c>
      <c r="S130" s="29">
        <f t="shared" si="29"/>
        <v>2.4302886954413792</v>
      </c>
      <c r="T130" s="57">
        <f>N130+P130</f>
        <v>13374284.705513179</v>
      </c>
    </row>
    <row r="131" spans="11:21" x14ac:dyDescent="0.25">
      <c r="K131" s="21">
        <v>46202</v>
      </c>
      <c r="L131" s="34">
        <v>156791.57988448205</v>
      </c>
      <c r="M131" s="30"/>
      <c r="N131" s="24">
        <v>465982.11062124191</v>
      </c>
      <c r="O131" s="25">
        <f>N131/N132-1</f>
        <v>-0.27247082387929455</v>
      </c>
      <c r="P131" s="26">
        <v>4848389.1006789282</v>
      </c>
      <c r="Q131" s="27">
        <f t="shared" si="28"/>
        <v>8.3473642699969819E-2</v>
      </c>
      <c r="R131" s="28">
        <v>5471162.7911846526</v>
      </c>
      <c r="S131" s="29">
        <f t="shared" si="29"/>
        <v>6.9556587844122886E-2</v>
      </c>
      <c r="T131" s="57">
        <f>N131+P131</f>
        <v>5314371.21130017</v>
      </c>
    </row>
    <row r="132" spans="11:21" hidden="1" outlineLevel="1" x14ac:dyDescent="0.25">
      <c r="K132" s="21">
        <v>46170</v>
      </c>
      <c r="L132" s="30"/>
      <c r="M132" s="30"/>
      <c r="N132" s="24">
        <v>640499.55096774036</v>
      </c>
      <c r="O132" s="25">
        <f>N132/N133-1</f>
        <v>2.4783000460438132E-2</v>
      </c>
      <c r="P132" s="26">
        <v>4474856.5259021446</v>
      </c>
      <c r="Q132" s="27">
        <f t="shared" si="28"/>
        <v>0.40379852846129194</v>
      </c>
      <c r="R132" s="28">
        <v>5115356.0768698845</v>
      </c>
      <c r="S132" s="29">
        <f t="shared" si="29"/>
        <v>0.34166689739844625</v>
      </c>
      <c r="U132" s="57"/>
    </row>
    <row r="133" spans="11:21" hidden="1" outlineLevel="1" x14ac:dyDescent="0.25">
      <c r="K133" s="21">
        <v>46135</v>
      </c>
      <c r="L133" s="30"/>
      <c r="M133" s="30"/>
      <c r="N133" s="24">
        <v>625009.92959481373</v>
      </c>
      <c r="O133" s="25">
        <f>N133/N135-1</f>
        <v>0.18808554192471405</v>
      </c>
      <c r="P133" s="26">
        <v>3187677.1738798227</v>
      </c>
      <c r="Q133" s="27">
        <f t="shared" si="28"/>
        <v>5.6682538270855787E-3</v>
      </c>
      <c r="R133" s="28">
        <v>3812687.1034746366</v>
      </c>
      <c r="S133" s="29">
        <f t="shared" si="29"/>
        <v>0.20285028018490991</v>
      </c>
      <c r="U133" s="58"/>
    </row>
    <row r="134" spans="11:21" hidden="1" outlineLevel="1" x14ac:dyDescent="0.25">
      <c r="K134" s="21">
        <v>46104</v>
      </c>
      <c r="L134" s="30"/>
      <c r="M134" s="30"/>
      <c r="N134" s="31"/>
      <c r="O134" s="31"/>
      <c r="P134" s="26">
        <v>3169710.4504880905</v>
      </c>
      <c r="Q134" s="27">
        <f t="shared" si="28"/>
        <v>-0.27213413685441712</v>
      </c>
      <c r="R134" s="28">
        <v>3169710.4504880905</v>
      </c>
      <c r="S134" s="29">
        <f t="shared" si="29"/>
        <v>-0.35058428365860217</v>
      </c>
      <c r="U134" s="58"/>
    </row>
    <row r="135" spans="11:21" hidden="1" outlineLevel="1" x14ac:dyDescent="0.25">
      <c r="K135" s="21">
        <v>46079</v>
      </c>
      <c r="L135" s="22"/>
      <c r="M135" s="52"/>
      <c r="N135" s="24">
        <v>526064.75505315</v>
      </c>
      <c r="O135" s="25">
        <f>N135/N136-1</f>
        <v>-0.82758472107501702</v>
      </c>
      <c r="P135" s="26">
        <v>4354800.2605723329</v>
      </c>
      <c r="Q135" s="27">
        <f t="shared" ref="Q135:Q146" si="30">P135/P136-1</f>
        <v>-0.20993822945017815</v>
      </c>
      <c r="R135" s="28">
        <v>4880865.0156254824</v>
      </c>
      <c r="S135" s="29">
        <f t="shared" si="29"/>
        <v>-0.87584204492888329</v>
      </c>
    </row>
    <row r="136" spans="11:21" hidden="1" outlineLevel="1" x14ac:dyDescent="0.25">
      <c r="K136" s="21">
        <v>46048</v>
      </c>
      <c r="L136" s="22">
        <v>39311738.122859381</v>
      </c>
      <c r="M136" s="52">
        <v>1</v>
      </c>
      <c r="N136" s="24">
        <v>3051149.2852210505</v>
      </c>
      <c r="O136" s="25">
        <f>N136/N137-1</f>
        <v>1.0873426928859296</v>
      </c>
      <c r="P136" s="26">
        <v>5511974.4087120285</v>
      </c>
      <c r="Q136" s="27">
        <f t="shared" si="30"/>
        <v>1.1715403567067288</v>
      </c>
      <c r="R136" s="28">
        <v>39311738.122859381</v>
      </c>
      <c r="S136" s="29">
        <f t="shared" si="29"/>
        <v>8.8278923977266039</v>
      </c>
    </row>
    <row r="137" spans="11:21" hidden="1" outlineLevel="1" x14ac:dyDescent="0.25">
      <c r="K137" s="21">
        <v>46014</v>
      </c>
      <c r="L137" s="30"/>
      <c r="M137" s="30"/>
      <c r="N137" s="24">
        <v>1461738.5519014015</v>
      </c>
      <c r="O137" s="25">
        <f>N137/N141-1</f>
        <v>0.50413285615514081</v>
      </c>
      <c r="P137" s="26">
        <v>2538278.5964297103</v>
      </c>
      <c r="Q137" s="27">
        <f t="shared" si="30"/>
        <v>9.9955268947258258E-3</v>
      </c>
      <c r="R137" s="28">
        <v>4000017.1483311118</v>
      </c>
      <c r="S137" s="29">
        <f t="shared" si="29"/>
        <v>0.59162963159331627</v>
      </c>
    </row>
    <row r="138" spans="11:21" hidden="1" outlineLevel="1" x14ac:dyDescent="0.25">
      <c r="K138" s="21">
        <v>45987</v>
      </c>
      <c r="L138" s="30"/>
      <c r="M138" s="30"/>
      <c r="N138" s="31"/>
      <c r="O138" s="25"/>
      <c r="P138" s="26">
        <v>2513158.255496196</v>
      </c>
      <c r="Q138" s="27">
        <f t="shared" si="30"/>
        <v>0.32878653305562278</v>
      </c>
      <c r="R138" s="28">
        <v>2513158.255496196</v>
      </c>
      <c r="S138" s="29">
        <f t="shared" si="29"/>
        <v>0.32878653305562278</v>
      </c>
    </row>
    <row r="139" spans="11:21" hidden="1" outlineLevel="1" x14ac:dyDescent="0.25">
      <c r="K139" s="21">
        <v>45957</v>
      </c>
      <c r="L139" s="30"/>
      <c r="M139" s="30"/>
      <c r="N139" s="31"/>
      <c r="O139" s="25"/>
      <c r="P139" s="26">
        <v>1891318.2764706688</v>
      </c>
      <c r="Q139" s="27">
        <f t="shared" si="30"/>
        <v>-0.16682158757572629</v>
      </c>
      <c r="R139" s="28">
        <v>1891318.2764706688</v>
      </c>
      <c r="S139" s="29">
        <f t="shared" si="29"/>
        <v>-0.16682158757572629</v>
      </c>
    </row>
    <row r="140" spans="11:21" hidden="1" outlineLevel="1" x14ac:dyDescent="0.25">
      <c r="K140" s="21">
        <v>45924</v>
      </c>
      <c r="L140" s="30"/>
      <c r="M140" s="30"/>
      <c r="N140" s="31"/>
      <c r="O140" s="25"/>
      <c r="P140" s="26">
        <v>2270003.9370529992</v>
      </c>
      <c r="Q140" s="27">
        <f t="shared" si="30"/>
        <v>0.90742617935093528</v>
      </c>
      <c r="R140" s="28">
        <v>2270003.9370529992</v>
      </c>
      <c r="S140" s="29">
        <f t="shared" si="29"/>
        <v>5.0003052486276678E-2</v>
      </c>
    </row>
    <row r="141" spans="11:21" hidden="1" outlineLevel="1" x14ac:dyDescent="0.25">
      <c r="K141" s="21">
        <v>45894</v>
      </c>
      <c r="L141" s="30"/>
      <c r="M141" s="30"/>
      <c r="N141" s="24">
        <v>971814.78745028714</v>
      </c>
      <c r="O141" s="25">
        <f>N141/N142-1</f>
        <v>2.9689784697449095E-2</v>
      </c>
      <c r="P141" s="26">
        <v>1190087.4390983996</v>
      </c>
      <c r="Q141" s="27">
        <f t="shared" si="30"/>
        <v>-0.47032159282477637</v>
      </c>
      <c r="R141" s="28">
        <v>2161902.2265486866</v>
      </c>
      <c r="S141" s="29">
        <f t="shared" si="29"/>
        <v>-0.32241622543863413</v>
      </c>
    </row>
    <row r="142" spans="11:21" hidden="1" outlineLevel="1" x14ac:dyDescent="0.25">
      <c r="K142" s="21">
        <v>45866</v>
      </c>
      <c r="L142" s="30"/>
      <c r="M142" s="30"/>
      <c r="N142" s="24">
        <v>943793.75409248413</v>
      </c>
      <c r="O142" s="25">
        <f t="shared" ref="O142:O146" si="31">N142/N143-1</f>
        <v>-0.71890196448614141</v>
      </c>
      <c r="P142" s="26">
        <v>2246811.3160306821</v>
      </c>
      <c r="Q142" s="27">
        <f t="shared" si="30"/>
        <v>0.23768170327740412</v>
      </c>
      <c r="R142" s="28">
        <v>3190605.0701231663</v>
      </c>
      <c r="S142" s="29">
        <f t="shared" si="29"/>
        <v>-0.38320335019405083</v>
      </c>
    </row>
    <row r="143" spans="11:21" hidden="1" outlineLevel="1" x14ac:dyDescent="0.25">
      <c r="K143" s="21">
        <v>45833</v>
      </c>
      <c r="L143" s="22"/>
      <c r="M143" s="23"/>
      <c r="N143" s="24">
        <v>3357525.257574962</v>
      </c>
      <c r="O143" s="25">
        <f t="shared" si="31"/>
        <v>-0.68118899453352411</v>
      </c>
      <c r="P143" s="26">
        <v>1815338.5560124901</v>
      </c>
      <c r="Q143" s="27">
        <f t="shared" si="30"/>
        <v>-0.57275058302498905</v>
      </c>
      <c r="R143" s="28">
        <v>5172863.8135874523</v>
      </c>
      <c r="S143" s="29">
        <f t="shared" si="29"/>
        <v>-0.65001616371987825</v>
      </c>
    </row>
    <row r="144" spans="11:21" hidden="1" outlineLevel="1" x14ac:dyDescent="0.25">
      <c r="K144" s="21">
        <v>45798</v>
      </c>
      <c r="L144" s="22"/>
      <c r="M144" s="23"/>
      <c r="N144" s="24">
        <v>10531396.971890347</v>
      </c>
      <c r="O144" s="25">
        <f t="shared" si="31"/>
        <v>1.1039627051156375</v>
      </c>
      <c r="P144" s="26">
        <v>4248896.5084267529</v>
      </c>
      <c r="Q144" s="27">
        <f t="shared" si="30"/>
        <v>-0.78748930957908836</v>
      </c>
      <c r="R144" s="28">
        <v>14780293.480317101</v>
      </c>
      <c r="S144" s="29">
        <f t="shared" si="29"/>
        <v>-0.4087718669987741</v>
      </c>
    </row>
    <row r="145" spans="1:19" hidden="1" outlineLevel="1" x14ac:dyDescent="0.25">
      <c r="K145" s="21">
        <v>45768</v>
      </c>
      <c r="L145" s="22"/>
      <c r="M145" s="23">
        <f t="shared" ref="M145" si="32">L145/L146-1</f>
        <v>-1</v>
      </c>
      <c r="N145" s="24">
        <v>5005505.5378519762</v>
      </c>
      <c r="O145" s="25">
        <f t="shared" si="31"/>
        <v>-0.54754035580451244</v>
      </c>
      <c r="P145" s="26">
        <v>19993801.253062274</v>
      </c>
      <c r="Q145" s="27">
        <f t="shared" si="30"/>
        <v>2.25451261208348</v>
      </c>
      <c r="R145" s="28">
        <v>24999306.790914252</v>
      </c>
      <c r="S145" s="29">
        <f t="shared" si="29"/>
        <v>0.42360183756750369</v>
      </c>
    </row>
    <row r="146" spans="1:19" hidden="1" outlineLevel="1" x14ac:dyDescent="0.25">
      <c r="K146" s="21">
        <v>45733</v>
      </c>
      <c r="L146" s="22">
        <v>354316.99155794311</v>
      </c>
      <c r="M146" s="23">
        <f>L146/L147-1</f>
        <v>-0.64926252066028534</v>
      </c>
      <c r="N146" s="24">
        <v>11062877.324125115</v>
      </c>
      <c r="O146" s="25">
        <f t="shared" si="31"/>
        <v>-0.29393933115565019</v>
      </c>
      <c r="P146" s="26">
        <v>6143408.7484646756</v>
      </c>
      <c r="Q146" s="27">
        <f t="shared" si="30"/>
        <v>-0.44897257326242701</v>
      </c>
      <c r="R146" s="28">
        <v>17560603.064147737</v>
      </c>
      <c r="S146" s="29">
        <f t="shared" si="29"/>
        <v>-0.36895159983948889</v>
      </c>
    </row>
    <row r="147" spans="1:19" hidden="1" outlineLevel="1" x14ac:dyDescent="0.25">
      <c r="K147" s="21">
        <v>45712</v>
      </c>
      <c r="L147" s="22">
        <v>1010205.6735566644</v>
      </c>
      <c r="M147" s="34"/>
      <c r="N147" s="24">
        <v>15668451.46923757</v>
      </c>
      <c r="O147" s="35"/>
      <c r="P147" s="26">
        <v>11149007.200671477</v>
      </c>
      <c r="Q147" s="32"/>
      <c r="R147" s="28">
        <v>27827664.343465712</v>
      </c>
      <c r="S147" s="33"/>
    </row>
    <row r="148" spans="1:19" collapsed="1" x14ac:dyDescent="0.25"/>
    <row r="149" spans="1:19" ht="11.25" customHeight="1" x14ac:dyDescent="0.25">
      <c r="A149" s="38"/>
      <c r="B149" s="38"/>
      <c r="C149" s="38"/>
      <c r="D149" s="39"/>
      <c r="E149" s="39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</row>
    <row r="150" spans="1:19" x14ac:dyDescent="0.25">
      <c r="A150" s="40"/>
      <c r="B150" s="41" t="s">
        <v>1612</v>
      </c>
      <c r="C150" s="40"/>
      <c r="D150" s="42"/>
      <c r="E150" s="42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</row>
    <row r="151" spans="1:19" s="66" customFormat="1" ht="36" customHeight="1" x14ac:dyDescent="0.25">
      <c r="A151" s="67" t="s">
        <v>0</v>
      </c>
      <c r="B151" s="67" t="s">
        <v>1</v>
      </c>
      <c r="C151" s="53" t="s">
        <v>1606</v>
      </c>
      <c r="D151" s="84" t="s">
        <v>1598</v>
      </c>
      <c r="E151" s="85"/>
      <c r="F151" s="36" t="s">
        <v>1604</v>
      </c>
      <c r="G151" s="36" t="s">
        <v>1605</v>
      </c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</row>
    <row r="152" spans="1:19" x14ac:dyDescent="0.25">
      <c r="A152" s="7" t="s">
        <v>1387</v>
      </c>
      <c r="B152" s="7" t="s">
        <v>1388</v>
      </c>
      <c r="C152" s="14">
        <v>240.97</v>
      </c>
      <c r="D152" s="6">
        <v>79247</v>
      </c>
      <c r="E152" s="6">
        <v>19096149.59</v>
      </c>
      <c r="F152" s="6">
        <v>47068.381037244239</v>
      </c>
      <c r="G152" s="6">
        <v>11342067.778544744</v>
      </c>
    </row>
    <row r="153" spans="1:19" x14ac:dyDescent="0.25">
      <c r="A153" s="7" t="s">
        <v>1446</v>
      </c>
      <c r="B153" s="7" t="s">
        <v>1447</v>
      </c>
      <c r="C153" s="14">
        <v>111.06</v>
      </c>
      <c r="D153" s="6">
        <v>62136</v>
      </c>
      <c r="E153" s="6">
        <v>6900824.1600000001</v>
      </c>
      <c r="F153" s="6">
        <v>54125.916207118818</v>
      </c>
      <c r="G153" s="6">
        <v>6011224.2539626164</v>
      </c>
    </row>
    <row r="154" spans="1:19" x14ac:dyDescent="0.25">
      <c r="A154" s="7" t="s">
        <v>1468</v>
      </c>
      <c r="B154" s="7" t="s">
        <v>1469</v>
      </c>
      <c r="C154" s="14">
        <v>95.18</v>
      </c>
      <c r="D154" s="6">
        <v>64944</v>
      </c>
      <c r="E154" s="6">
        <v>6181369.9199999999</v>
      </c>
      <c r="F154" s="6">
        <v>35043.447513812149</v>
      </c>
      <c r="G154" s="6">
        <v>3335435.3343646405</v>
      </c>
    </row>
    <row r="155" spans="1:19" x14ac:dyDescent="0.25">
      <c r="A155" s="7" t="s">
        <v>1403</v>
      </c>
      <c r="B155" s="7" t="s">
        <v>1404</v>
      </c>
      <c r="C155" s="14">
        <v>223.68</v>
      </c>
      <c r="D155" s="6">
        <v>57864</v>
      </c>
      <c r="E155" s="6">
        <v>12943019.52</v>
      </c>
      <c r="F155" s="6">
        <v>11115.705565529626</v>
      </c>
      <c r="G155" s="6">
        <v>2486361.0208976669</v>
      </c>
    </row>
    <row r="156" spans="1:19" x14ac:dyDescent="0.25">
      <c r="A156" s="7" t="s">
        <v>1456</v>
      </c>
      <c r="B156" s="7" t="s">
        <v>1457</v>
      </c>
      <c r="C156" s="14">
        <v>97.3</v>
      </c>
      <c r="D156" s="6">
        <v>40056</v>
      </c>
      <c r="E156" s="6">
        <v>3897448.8</v>
      </c>
      <c r="F156" s="6">
        <v>20603.995467544381</v>
      </c>
      <c r="G156" s="6">
        <v>2004768.7589920682</v>
      </c>
    </row>
    <row r="157" spans="1:19" x14ac:dyDescent="0.25">
      <c r="A157" s="7" t="s">
        <v>1464</v>
      </c>
      <c r="B157" s="7" t="s">
        <v>1465</v>
      </c>
      <c r="C157" s="14">
        <v>95.18</v>
      </c>
      <c r="D157" s="6">
        <v>33192</v>
      </c>
      <c r="E157" s="6">
        <v>3159214.56</v>
      </c>
      <c r="F157" s="6">
        <v>19771.752465239559</v>
      </c>
      <c r="G157" s="6">
        <v>1881875.3996415013</v>
      </c>
    </row>
    <row r="158" spans="1:19" x14ac:dyDescent="0.25">
      <c r="A158" s="7" t="s">
        <v>1377</v>
      </c>
      <c r="B158" s="7" t="s">
        <v>1378</v>
      </c>
      <c r="C158" s="14">
        <v>264.39999999999998</v>
      </c>
      <c r="D158" s="6">
        <v>10560</v>
      </c>
      <c r="E158" s="6">
        <v>2792064</v>
      </c>
      <c r="F158" s="6">
        <v>6920.4335005552784</v>
      </c>
      <c r="G158" s="6">
        <v>1829762.6175468154</v>
      </c>
    </row>
    <row r="159" spans="1:19" x14ac:dyDescent="0.25">
      <c r="A159" s="7" t="s">
        <v>1418</v>
      </c>
      <c r="B159" s="7" t="s">
        <v>1419</v>
      </c>
      <c r="C159" s="14">
        <v>227</v>
      </c>
      <c r="D159" s="6">
        <v>17772</v>
      </c>
      <c r="E159" s="6">
        <v>4034244</v>
      </c>
      <c r="F159" s="6">
        <v>7862.2698181592887</v>
      </c>
      <c r="G159" s="6">
        <v>1784735.2487221586</v>
      </c>
    </row>
    <row r="160" spans="1:19" x14ac:dyDescent="0.25">
      <c r="A160" s="7" t="s">
        <v>1444</v>
      </c>
      <c r="B160" s="7" t="s">
        <v>1445</v>
      </c>
      <c r="C160" s="14">
        <v>111.06</v>
      </c>
      <c r="D160" s="6">
        <v>21072</v>
      </c>
      <c r="E160" s="6">
        <v>2340256.3199999998</v>
      </c>
      <c r="F160" s="6">
        <v>12885.166414849989</v>
      </c>
      <c r="G160" s="6">
        <v>1431026.5820332398</v>
      </c>
    </row>
    <row r="161" spans="1:7" x14ac:dyDescent="0.25">
      <c r="A161" s="7" t="s">
        <v>1438</v>
      </c>
      <c r="B161" s="7" t="s">
        <v>1439</v>
      </c>
      <c r="C161" s="14">
        <v>153.35</v>
      </c>
      <c r="D161" s="6">
        <v>10104</v>
      </c>
      <c r="E161" s="6">
        <v>1549448.4</v>
      </c>
      <c r="F161" s="6">
        <v>9235.5815861222673</v>
      </c>
      <c r="G161" s="6">
        <v>1416276.4362318497</v>
      </c>
    </row>
    <row r="162" spans="1:7" x14ac:dyDescent="0.25">
      <c r="G162" s="4">
        <f>SUBTOTAL(9,G152:G161)</f>
        <v>33523533.430937305</v>
      </c>
    </row>
    <row r="163" spans="1:7" x14ac:dyDescent="0.25">
      <c r="A163" s="40"/>
      <c r="B163" s="41" t="s">
        <v>1613</v>
      </c>
      <c r="C163" s="40"/>
      <c r="D163" s="42"/>
      <c r="E163" s="42"/>
      <c r="F163" s="40"/>
      <c r="G163" s="40"/>
    </row>
    <row r="164" spans="1:7" x14ac:dyDescent="0.25">
      <c r="A164" s="7" t="s">
        <v>1566</v>
      </c>
      <c r="B164" s="7" t="s">
        <v>1567</v>
      </c>
      <c r="C164" s="14">
        <v>941.24</v>
      </c>
      <c r="D164" s="6">
        <v>117</v>
      </c>
      <c r="E164" s="6">
        <v>110125.08</v>
      </c>
    </row>
    <row r="165" spans="1:7" x14ac:dyDescent="0.25">
      <c r="A165" s="7" t="s">
        <v>1482</v>
      </c>
      <c r="B165" s="7" t="s">
        <v>1483</v>
      </c>
      <c r="C165" s="14">
        <v>542.15</v>
      </c>
      <c r="D165" s="6">
        <v>1</v>
      </c>
      <c r="E165" s="6">
        <v>542.15</v>
      </c>
    </row>
    <row r="166" spans="1:7" x14ac:dyDescent="0.25">
      <c r="A166" s="7" t="s">
        <v>1484</v>
      </c>
      <c r="B166" s="7" t="s">
        <v>1485</v>
      </c>
      <c r="C166" s="14">
        <v>681.74</v>
      </c>
      <c r="D166" s="6">
        <v>2</v>
      </c>
      <c r="E166" s="6">
        <v>1363.48</v>
      </c>
    </row>
    <row r="167" spans="1:7" x14ac:dyDescent="0.25">
      <c r="A167" s="7" t="s">
        <v>1365</v>
      </c>
      <c r="B167" s="7" t="s">
        <v>1366</v>
      </c>
      <c r="C167" s="14">
        <v>745.19</v>
      </c>
      <c r="D167" s="6">
        <v>12</v>
      </c>
      <c r="E167" s="6">
        <v>8942.2800000000007</v>
      </c>
    </row>
    <row r="168" spans="1:7" x14ac:dyDescent="0.25">
      <c r="E168" s="4">
        <f>SUBTOTAL(9,E164:E167)</f>
        <v>120972.98999999999</v>
      </c>
    </row>
  </sheetData>
  <autoFilter ref="A3:S126" xr:uid="{00000000-0009-0000-0000-000002000000}"/>
  <sortState xmlns:xlrd2="http://schemas.microsoft.com/office/spreadsheetml/2017/richdata2" ref="A5:U125">
    <sortCondition descending="1" ref="U5:U125"/>
  </sortState>
  <mergeCells count="18">
    <mergeCell ref="D151:E151"/>
    <mergeCell ref="L128:M128"/>
    <mergeCell ref="N128:O128"/>
    <mergeCell ref="P128:Q128"/>
    <mergeCell ref="R128:S128"/>
    <mergeCell ref="R1:R2"/>
    <mergeCell ref="S1:S2"/>
    <mergeCell ref="P1:Q2"/>
    <mergeCell ref="F1:G2"/>
    <mergeCell ref="H1:I2"/>
    <mergeCell ref="J1:K2"/>
    <mergeCell ref="L1:M2"/>
    <mergeCell ref="N1:O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  <ignoredErrors>
    <ignoredError sqref="N22:O22 N46:O4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B9DB-4F03-4C7D-A7FE-EE6E27D622D6}">
  <dimension ref="A1:U171"/>
  <sheetViews>
    <sheetView workbookViewId="0">
      <selection activeCell="N140" sqref="N140"/>
    </sheetView>
  </sheetViews>
  <sheetFormatPr defaultColWidth="9" defaultRowHeight="15" outlineLevelRow="1" x14ac:dyDescent="0.25"/>
  <cols>
    <col min="1" max="1" width="11.140625" style="1" bestFit="1" customWidth="1"/>
    <col min="2" max="2" width="76" style="1" customWidth="1"/>
    <col min="3" max="3" width="9" style="12"/>
    <col min="4" max="4" width="10.42578125" style="4" bestFit="1" customWidth="1"/>
    <col min="5" max="5" width="14.42578125" style="4" bestFit="1" customWidth="1"/>
    <col min="6" max="6" width="10.7109375" style="4" customWidth="1"/>
    <col min="7" max="7" width="13.85546875" style="4" customWidth="1"/>
    <col min="8" max="8" width="9.42578125" style="4" bestFit="1" customWidth="1"/>
    <col min="9" max="9" width="14.5703125" style="4" customWidth="1"/>
    <col min="10" max="10" width="11.42578125" style="4" bestFit="1" customWidth="1"/>
    <col min="11" max="11" width="15.28515625" style="4" customWidth="1"/>
    <col min="12" max="12" width="11" style="4" customWidth="1"/>
    <col min="13" max="13" width="15.28515625" style="4" customWidth="1"/>
    <col min="14" max="15" width="13.42578125" style="4" customWidth="1"/>
    <col min="16" max="16" width="10.42578125" style="4" bestFit="1" customWidth="1"/>
    <col min="17" max="17" width="12.85546875" style="4" bestFit="1" customWidth="1"/>
    <col min="18" max="19" width="16" style="4" customWidth="1"/>
    <col min="20" max="20" width="11.85546875" style="37" bestFit="1" customWidth="1"/>
    <col min="21" max="21" width="14.5703125" style="48" bestFit="1" customWidth="1"/>
  </cols>
  <sheetData>
    <row r="1" spans="1:21" ht="15" customHeight="1" x14ac:dyDescent="0.25">
      <c r="A1" s="68" t="s">
        <v>0</v>
      </c>
      <c r="B1" s="68" t="s">
        <v>1</v>
      </c>
      <c r="C1" s="70" t="s">
        <v>1606</v>
      </c>
      <c r="D1" s="72" t="s">
        <v>1594</v>
      </c>
      <c r="E1" s="72" t="s">
        <v>1595</v>
      </c>
      <c r="F1" s="76" t="s">
        <v>1596</v>
      </c>
      <c r="G1" s="77"/>
      <c r="H1" s="76" t="s">
        <v>1597</v>
      </c>
      <c r="I1" s="77"/>
      <c r="J1" s="76" t="s">
        <v>1598</v>
      </c>
      <c r="K1" s="77"/>
      <c r="L1" s="76" t="s">
        <v>1607</v>
      </c>
      <c r="M1" s="77"/>
      <c r="N1" s="76" t="s">
        <v>1600</v>
      </c>
      <c r="O1" s="77"/>
      <c r="P1" s="76" t="s">
        <v>1601</v>
      </c>
      <c r="Q1" s="77"/>
      <c r="R1" s="74" t="s">
        <v>1604</v>
      </c>
      <c r="S1" s="74" t="s">
        <v>1605</v>
      </c>
      <c r="T1"/>
      <c r="U1"/>
    </row>
    <row r="2" spans="1:21" ht="21" customHeight="1" x14ac:dyDescent="0.25">
      <c r="A2" s="69"/>
      <c r="B2" s="69"/>
      <c r="C2" s="71"/>
      <c r="D2" s="73"/>
      <c r="E2" s="73"/>
      <c r="F2" s="78"/>
      <c r="G2" s="79"/>
      <c r="H2" s="78"/>
      <c r="I2" s="79"/>
      <c r="J2" s="78"/>
      <c r="K2" s="79"/>
      <c r="L2" s="78"/>
      <c r="M2" s="79"/>
      <c r="N2" s="78"/>
      <c r="O2" s="79"/>
      <c r="P2" s="78"/>
      <c r="Q2" s="79"/>
      <c r="R2" s="75"/>
      <c r="S2" s="75"/>
      <c r="T2"/>
      <c r="U2"/>
    </row>
    <row r="3" spans="1:21" x14ac:dyDescent="0.25">
      <c r="A3" s="3"/>
      <c r="B3" s="3"/>
      <c r="C3" s="8"/>
      <c r="D3" s="9"/>
      <c r="E3" s="9"/>
      <c r="F3" s="10"/>
      <c r="G3" s="11"/>
      <c r="H3" s="10"/>
      <c r="I3" s="11"/>
      <c r="J3" s="10"/>
      <c r="K3" s="11"/>
      <c r="L3" s="10"/>
      <c r="M3" s="11"/>
      <c r="N3" s="10"/>
      <c r="O3" s="11"/>
      <c r="P3" s="10"/>
      <c r="Q3" s="11"/>
      <c r="R3" s="5"/>
      <c r="S3" s="5"/>
    </row>
    <row r="4" spans="1:21" s="17" customFormat="1" ht="14.1" customHeight="1" collapsed="1" x14ac:dyDescent="0.2">
      <c r="A4" s="15" t="s">
        <v>2</v>
      </c>
      <c r="B4" s="16"/>
      <c r="C4" s="16"/>
      <c r="D4" s="15">
        <v>61.05</v>
      </c>
      <c r="E4" s="15">
        <v>93.55</v>
      </c>
      <c r="F4" s="15">
        <f t="shared" ref="F4:S4" si="0">SUM(F5:F21)</f>
        <v>613</v>
      </c>
      <c r="G4" s="15">
        <f t="shared" si="0"/>
        <v>203717.24000000002</v>
      </c>
      <c r="H4" s="15">
        <f t="shared" si="0"/>
        <v>36404</v>
      </c>
      <c r="I4" s="15">
        <f t="shared" si="0"/>
        <v>9193159.6400000006</v>
      </c>
      <c r="J4" s="15">
        <f t="shared" si="0"/>
        <v>54063</v>
      </c>
      <c r="K4" s="15">
        <f t="shared" si="0"/>
        <v>10439778.800000001</v>
      </c>
      <c r="L4" s="15">
        <f t="shared" si="0"/>
        <v>142004</v>
      </c>
      <c r="M4" s="15">
        <f t="shared" si="0"/>
        <v>31868775.439999998</v>
      </c>
      <c r="N4" s="15">
        <f t="shared" si="0"/>
        <v>233084</v>
      </c>
      <c r="O4" s="15">
        <f t="shared" si="0"/>
        <v>51705431.120000012</v>
      </c>
      <c r="P4" s="15">
        <f t="shared" si="0"/>
        <v>53685</v>
      </c>
      <c r="Q4" s="15">
        <f t="shared" si="0"/>
        <v>10905604</v>
      </c>
      <c r="R4" s="15">
        <f t="shared" si="0"/>
        <v>3729.6917239979052</v>
      </c>
      <c r="S4" s="15">
        <f t="shared" si="0"/>
        <v>1134046.7392165014</v>
      </c>
      <c r="T4" s="50"/>
      <c r="U4" s="51"/>
    </row>
    <row r="5" spans="1:21" s="1" customFormat="1" hidden="1" outlineLevel="1" x14ac:dyDescent="0.25">
      <c r="A5" s="7" t="s">
        <v>1422</v>
      </c>
      <c r="B5" s="7" t="s">
        <v>1423</v>
      </c>
      <c r="C5" s="14">
        <v>370.14</v>
      </c>
      <c r="D5" s="6">
        <v>19.149999999999999</v>
      </c>
      <c r="E5" s="6">
        <v>100</v>
      </c>
      <c r="F5" s="6">
        <v>384</v>
      </c>
      <c r="G5" s="6">
        <v>142133.76000000001</v>
      </c>
      <c r="H5" s="6">
        <v>240</v>
      </c>
      <c r="I5" s="6">
        <v>88833.600000000006</v>
      </c>
      <c r="J5" s="6">
        <v>1584</v>
      </c>
      <c r="K5" s="6">
        <v>586301.76</v>
      </c>
      <c r="L5" s="6">
        <v>16140</v>
      </c>
      <c r="M5" s="6">
        <v>5974059.5999999996</v>
      </c>
      <c r="N5" s="6">
        <f t="shared" ref="N5:N21" si="1">IF(J5+L5+H5+F5&lt;=0,"",J5+L5+H5+F5)</f>
        <v>18348</v>
      </c>
      <c r="O5" s="6">
        <f t="shared" ref="O5:O21" si="2">IFERROR(C5*N5,"")</f>
        <v>6791328.7199999997</v>
      </c>
      <c r="P5" s="6">
        <v>5620</v>
      </c>
      <c r="Q5" s="6">
        <v>2089300</v>
      </c>
      <c r="R5" s="6"/>
      <c r="S5" s="6"/>
      <c r="T5" s="37"/>
      <c r="U5" s="48"/>
    </row>
    <row r="6" spans="1:21" s="1" customFormat="1" hidden="1" outlineLevel="1" x14ac:dyDescent="0.25">
      <c r="A6" s="7" t="s">
        <v>1410</v>
      </c>
      <c r="B6" s="7" t="s">
        <v>1411</v>
      </c>
      <c r="C6" s="14">
        <v>310</v>
      </c>
      <c r="D6" s="6">
        <v>213.11</v>
      </c>
      <c r="E6" s="6">
        <v>100</v>
      </c>
      <c r="F6" s="6"/>
      <c r="G6" s="6"/>
      <c r="H6" s="6"/>
      <c r="I6" s="6"/>
      <c r="J6" s="6">
        <v>1812</v>
      </c>
      <c r="K6" s="6">
        <v>561720</v>
      </c>
      <c r="L6" s="6"/>
      <c r="M6" s="6"/>
      <c r="N6" s="6">
        <f t="shared" si="1"/>
        <v>1812</v>
      </c>
      <c r="O6" s="6">
        <f t="shared" si="2"/>
        <v>561720</v>
      </c>
      <c r="P6" s="6">
        <v>1072</v>
      </c>
      <c r="Q6" s="6">
        <v>270471</v>
      </c>
      <c r="R6" s="6">
        <f t="shared" ref="R6" si="3">J6/D6*(D6-180)</f>
        <v>281.52278166205258</v>
      </c>
      <c r="S6" s="6">
        <f t="shared" ref="S6" si="4">R6*C6</f>
        <v>87272.062315236297</v>
      </c>
      <c r="T6" s="37"/>
      <c r="U6" s="48"/>
    </row>
    <row r="7" spans="1:21" s="1" customFormat="1" hidden="1" outlineLevel="1" x14ac:dyDescent="0.25">
      <c r="A7" s="7" t="s">
        <v>1403</v>
      </c>
      <c r="B7" s="7" t="s">
        <v>1404</v>
      </c>
      <c r="C7" s="14">
        <v>223.68</v>
      </c>
      <c r="D7" s="6">
        <v>57.32</v>
      </c>
      <c r="E7" s="6">
        <v>100</v>
      </c>
      <c r="F7" s="6"/>
      <c r="G7" s="6"/>
      <c r="H7" s="6">
        <v>10680</v>
      </c>
      <c r="I7" s="6">
        <v>2388902.4</v>
      </c>
      <c r="J7" s="6">
        <v>4164</v>
      </c>
      <c r="K7" s="6">
        <v>931403.52</v>
      </c>
      <c r="L7" s="6">
        <v>36000</v>
      </c>
      <c r="M7" s="6">
        <v>8052480</v>
      </c>
      <c r="N7" s="6">
        <f t="shared" si="1"/>
        <v>50844</v>
      </c>
      <c r="O7" s="6">
        <f t="shared" si="2"/>
        <v>11372785.92</v>
      </c>
      <c r="P7" s="6">
        <v>5884</v>
      </c>
      <c r="Q7" s="6">
        <v>1293773</v>
      </c>
      <c r="R7" s="6"/>
      <c r="S7" s="6"/>
      <c r="T7" s="37"/>
      <c r="U7" s="48"/>
    </row>
    <row r="8" spans="1:21" s="1" customFormat="1" hidden="1" outlineLevel="1" x14ac:dyDescent="0.25">
      <c r="A8" s="7" t="s">
        <v>1387</v>
      </c>
      <c r="B8" s="7" t="s">
        <v>1388</v>
      </c>
      <c r="C8" s="14">
        <v>240.97</v>
      </c>
      <c r="D8" s="6">
        <v>75.95</v>
      </c>
      <c r="E8" s="6">
        <v>100</v>
      </c>
      <c r="F8" s="6"/>
      <c r="G8" s="6"/>
      <c r="H8" s="6">
        <v>12620</v>
      </c>
      <c r="I8" s="6">
        <v>3041041.4</v>
      </c>
      <c r="J8" s="6">
        <v>10240</v>
      </c>
      <c r="K8" s="6">
        <v>2467532.7999999998</v>
      </c>
      <c r="L8" s="6">
        <v>30320</v>
      </c>
      <c r="M8" s="6">
        <v>7306210.4000000004</v>
      </c>
      <c r="N8" s="6">
        <f t="shared" si="1"/>
        <v>53180</v>
      </c>
      <c r="O8" s="6">
        <f t="shared" si="2"/>
        <v>12814784.6</v>
      </c>
      <c r="P8" s="6">
        <v>11213</v>
      </c>
      <c r="Q8" s="6">
        <v>2506365</v>
      </c>
      <c r="R8" s="6"/>
      <c r="S8" s="6"/>
      <c r="T8" s="37"/>
      <c r="U8" s="48"/>
    </row>
    <row r="9" spans="1:21" s="1" customFormat="1" hidden="1" outlineLevel="1" x14ac:dyDescent="0.25">
      <c r="A9" s="7" t="s">
        <v>1379</v>
      </c>
      <c r="B9" s="7" t="s">
        <v>1380</v>
      </c>
      <c r="C9" s="14">
        <v>306.7</v>
      </c>
      <c r="D9" s="6">
        <v>55.14</v>
      </c>
      <c r="E9" s="6">
        <v>100</v>
      </c>
      <c r="F9" s="6"/>
      <c r="G9" s="6"/>
      <c r="H9" s="6"/>
      <c r="I9" s="6"/>
      <c r="J9" s="6">
        <v>1572</v>
      </c>
      <c r="K9" s="6">
        <v>482132.4</v>
      </c>
      <c r="L9" s="6">
        <v>7200</v>
      </c>
      <c r="M9" s="6">
        <v>2208240</v>
      </c>
      <c r="N9" s="6">
        <f t="shared" si="1"/>
        <v>8772</v>
      </c>
      <c r="O9" s="6">
        <f t="shared" si="2"/>
        <v>2690372.4</v>
      </c>
      <c r="P9" s="6">
        <v>2876</v>
      </c>
      <c r="Q9" s="6">
        <v>890917</v>
      </c>
      <c r="R9" s="6"/>
      <c r="S9" s="6"/>
      <c r="T9" s="37"/>
      <c r="U9" s="48"/>
    </row>
    <row r="10" spans="1:21" s="1" customFormat="1" hidden="1" outlineLevel="1" x14ac:dyDescent="0.25">
      <c r="A10" s="7" t="s">
        <v>1405</v>
      </c>
      <c r="B10" s="7" t="s">
        <v>1602</v>
      </c>
      <c r="C10" s="14">
        <v>301</v>
      </c>
      <c r="D10" s="6">
        <v>127.38</v>
      </c>
      <c r="E10" s="6">
        <v>100</v>
      </c>
      <c r="F10" s="6"/>
      <c r="G10" s="6"/>
      <c r="H10" s="6">
        <v>10680</v>
      </c>
      <c r="I10" s="6">
        <v>3214680</v>
      </c>
      <c r="J10" s="6">
        <v>3096</v>
      </c>
      <c r="K10" s="6">
        <v>931896</v>
      </c>
      <c r="L10" s="6"/>
      <c r="M10" s="6"/>
      <c r="N10" s="6">
        <f t="shared" si="1"/>
        <v>13776</v>
      </c>
      <c r="O10" s="6">
        <f t="shared" si="2"/>
        <v>4146576</v>
      </c>
      <c r="P10" s="6">
        <v>2456</v>
      </c>
      <c r="Q10" s="6">
        <v>738750</v>
      </c>
      <c r="R10" s="6"/>
      <c r="S10" s="6"/>
      <c r="T10" s="37"/>
      <c r="U10" s="48"/>
    </row>
    <row r="11" spans="1:21" s="1" customFormat="1" hidden="1" outlineLevel="1" x14ac:dyDescent="0.25">
      <c r="A11" s="7" t="s">
        <v>1412</v>
      </c>
      <c r="B11" s="7" t="s">
        <v>1413</v>
      </c>
      <c r="C11" s="14">
        <v>275</v>
      </c>
      <c r="D11" s="6">
        <v>65.790000000000006</v>
      </c>
      <c r="E11" s="6">
        <v>100</v>
      </c>
      <c r="F11" s="6">
        <v>49</v>
      </c>
      <c r="G11" s="6">
        <v>13475</v>
      </c>
      <c r="H11" s="6"/>
      <c r="I11" s="6"/>
      <c r="J11" s="6">
        <v>431</v>
      </c>
      <c r="K11" s="6">
        <v>118525</v>
      </c>
      <c r="L11" s="6">
        <v>1200</v>
      </c>
      <c r="M11" s="6">
        <v>330000</v>
      </c>
      <c r="N11" s="6">
        <f t="shared" si="1"/>
        <v>1680</v>
      </c>
      <c r="O11" s="6">
        <f t="shared" si="2"/>
        <v>462000</v>
      </c>
      <c r="P11" s="6">
        <v>744</v>
      </c>
      <c r="Q11" s="6">
        <v>156186</v>
      </c>
      <c r="R11" s="6"/>
      <c r="S11" s="6"/>
      <c r="T11" s="37"/>
      <c r="U11" s="48"/>
    </row>
    <row r="12" spans="1:21" s="1" customFormat="1" hidden="1" outlineLevel="1" x14ac:dyDescent="0.25">
      <c r="A12" s="7" t="s">
        <v>1393</v>
      </c>
      <c r="B12" s="7" t="s">
        <v>1394</v>
      </c>
      <c r="C12" s="14">
        <v>350</v>
      </c>
      <c r="D12" s="6">
        <v>3309.6</v>
      </c>
      <c r="E12" s="6">
        <v>100</v>
      </c>
      <c r="F12" s="6">
        <v>12</v>
      </c>
      <c r="G12" s="6">
        <v>4200</v>
      </c>
      <c r="H12" s="6">
        <v>336</v>
      </c>
      <c r="I12" s="6">
        <v>117600</v>
      </c>
      <c r="J12" s="6">
        <v>1752</v>
      </c>
      <c r="K12" s="6">
        <v>613200</v>
      </c>
      <c r="L12" s="6"/>
      <c r="M12" s="6"/>
      <c r="N12" s="6">
        <f t="shared" si="1"/>
        <v>2100</v>
      </c>
      <c r="O12" s="6">
        <f t="shared" si="2"/>
        <v>735000</v>
      </c>
      <c r="P12" s="6">
        <v>20</v>
      </c>
      <c r="Q12" s="6">
        <v>5887</v>
      </c>
      <c r="R12" s="6">
        <f t="shared" ref="R12:R19" si="5">J12/D12*(D12-180)</f>
        <v>1656.7135605511241</v>
      </c>
      <c r="S12" s="6">
        <f t="shared" ref="S12:S19" si="6">R12*C12</f>
        <v>579849.74619289348</v>
      </c>
      <c r="T12" s="37"/>
      <c r="U12" s="48"/>
    </row>
    <row r="13" spans="1:21" s="1" customFormat="1" hidden="1" outlineLevel="1" x14ac:dyDescent="0.25">
      <c r="A13" s="7" t="s">
        <v>1414</v>
      </c>
      <c r="B13" s="7" t="s">
        <v>1415</v>
      </c>
      <c r="C13" s="14">
        <v>295</v>
      </c>
      <c r="D13" s="6"/>
      <c r="E13" s="6">
        <v>100</v>
      </c>
      <c r="F13" s="6">
        <v>132</v>
      </c>
      <c r="G13" s="6">
        <v>38940</v>
      </c>
      <c r="H13" s="6"/>
      <c r="I13" s="6"/>
      <c r="J13" s="6">
        <v>12</v>
      </c>
      <c r="K13" s="6">
        <v>3540</v>
      </c>
      <c r="L13" s="6">
        <v>1440</v>
      </c>
      <c r="M13" s="6">
        <v>424800</v>
      </c>
      <c r="N13" s="6">
        <f t="shared" si="1"/>
        <v>1584</v>
      </c>
      <c r="O13" s="6">
        <f t="shared" si="2"/>
        <v>467280</v>
      </c>
      <c r="P13" s="6"/>
      <c r="Q13" s="6"/>
      <c r="R13" s="6"/>
      <c r="S13" s="6"/>
      <c r="T13" s="37"/>
      <c r="U13" s="48"/>
    </row>
    <row r="14" spans="1:21" s="1" customFormat="1" hidden="1" outlineLevel="1" x14ac:dyDescent="0.25">
      <c r="A14" s="7" t="s">
        <v>1359</v>
      </c>
      <c r="B14" s="7" t="s">
        <v>1360</v>
      </c>
      <c r="C14" s="14">
        <v>223.68</v>
      </c>
      <c r="D14" s="6">
        <v>77.98</v>
      </c>
      <c r="E14" s="6">
        <v>100</v>
      </c>
      <c r="F14" s="6">
        <v>12</v>
      </c>
      <c r="G14" s="6">
        <v>2684.16</v>
      </c>
      <c r="H14" s="6">
        <v>672</v>
      </c>
      <c r="I14" s="6">
        <v>150312.95999999999</v>
      </c>
      <c r="J14" s="6">
        <v>1020</v>
      </c>
      <c r="K14" s="6">
        <v>228153.60000000001</v>
      </c>
      <c r="L14" s="6">
        <v>14160</v>
      </c>
      <c r="M14" s="6">
        <v>3167308.8</v>
      </c>
      <c r="N14" s="6">
        <f t="shared" si="1"/>
        <v>15864</v>
      </c>
      <c r="O14" s="6">
        <f t="shared" si="2"/>
        <v>3548459.52</v>
      </c>
      <c r="P14" s="6">
        <v>1136</v>
      </c>
      <c r="Q14" s="6">
        <v>227147</v>
      </c>
      <c r="R14" s="6"/>
      <c r="S14" s="6"/>
      <c r="T14" s="37"/>
      <c r="U14" s="48"/>
    </row>
    <row r="15" spans="1:21" s="1" customFormat="1" hidden="1" outlineLevel="1" x14ac:dyDescent="0.25">
      <c r="A15" s="7" t="s">
        <v>1391</v>
      </c>
      <c r="B15" s="7" t="s">
        <v>1392</v>
      </c>
      <c r="C15" s="14">
        <v>209.67</v>
      </c>
      <c r="D15" s="6">
        <v>5.8</v>
      </c>
      <c r="E15" s="6">
        <v>33.33</v>
      </c>
      <c r="F15" s="6"/>
      <c r="G15" s="6"/>
      <c r="H15" s="6">
        <v>672</v>
      </c>
      <c r="I15" s="6">
        <v>140898.23999999999</v>
      </c>
      <c r="J15" s="6">
        <v>300</v>
      </c>
      <c r="K15" s="6">
        <v>62901</v>
      </c>
      <c r="L15" s="6"/>
      <c r="M15" s="6"/>
      <c r="N15" s="6">
        <f t="shared" si="1"/>
        <v>972</v>
      </c>
      <c r="O15" s="6">
        <f t="shared" si="2"/>
        <v>203799.24</v>
      </c>
      <c r="P15" s="6">
        <v>1360</v>
      </c>
      <c r="Q15" s="6">
        <v>265699</v>
      </c>
      <c r="R15" s="6"/>
      <c r="S15" s="6"/>
      <c r="T15" s="37"/>
      <c r="U15" s="48"/>
    </row>
    <row r="16" spans="1:21" s="1" customFormat="1" hidden="1" outlineLevel="1" x14ac:dyDescent="0.25">
      <c r="A16" s="7" t="s">
        <v>1468</v>
      </c>
      <c r="B16" s="7" t="s">
        <v>1469</v>
      </c>
      <c r="C16" s="14">
        <v>95.18</v>
      </c>
      <c r="D16" s="6">
        <v>92.5</v>
      </c>
      <c r="E16" s="6">
        <v>100</v>
      </c>
      <c r="F16" s="6">
        <v>24</v>
      </c>
      <c r="G16" s="6">
        <v>2284.3200000000002</v>
      </c>
      <c r="H16" s="6">
        <v>240</v>
      </c>
      <c r="I16" s="6">
        <v>22843.200000000001</v>
      </c>
      <c r="J16" s="6">
        <v>14400</v>
      </c>
      <c r="K16" s="6">
        <v>1370592</v>
      </c>
      <c r="L16" s="6">
        <v>6000</v>
      </c>
      <c r="M16" s="6">
        <v>571080</v>
      </c>
      <c r="N16" s="6">
        <f t="shared" si="1"/>
        <v>20664</v>
      </c>
      <c r="O16" s="6">
        <f t="shared" si="2"/>
        <v>1966799.5200000003</v>
      </c>
      <c r="P16" s="6">
        <v>5640</v>
      </c>
      <c r="Q16" s="6">
        <v>537799</v>
      </c>
      <c r="R16" s="6"/>
      <c r="S16" s="6"/>
      <c r="T16" s="37"/>
      <c r="U16" s="48"/>
    </row>
    <row r="17" spans="1:21" s="1" customFormat="1" hidden="1" outlineLevel="1" x14ac:dyDescent="0.25">
      <c r="A17" s="7" t="s">
        <v>1446</v>
      </c>
      <c r="B17" s="7" t="s">
        <v>1447</v>
      </c>
      <c r="C17" s="14">
        <v>111.06</v>
      </c>
      <c r="D17" s="6">
        <v>25.4</v>
      </c>
      <c r="E17" s="6">
        <v>100</v>
      </c>
      <c r="F17" s="6"/>
      <c r="G17" s="6"/>
      <c r="H17" s="6">
        <v>24</v>
      </c>
      <c r="I17" s="6">
        <v>2665.44</v>
      </c>
      <c r="J17" s="6">
        <v>1536</v>
      </c>
      <c r="K17" s="6">
        <v>170588.16</v>
      </c>
      <c r="L17" s="6">
        <v>8304</v>
      </c>
      <c r="M17" s="6">
        <v>922242.24</v>
      </c>
      <c r="N17" s="6">
        <f t="shared" si="1"/>
        <v>9864</v>
      </c>
      <c r="O17" s="6">
        <f t="shared" si="2"/>
        <v>1095495.8400000001</v>
      </c>
      <c r="P17" s="6">
        <v>10584</v>
      </c>
      <c r="Q17" s="6">
        <v>1151617</v>
      </c>
      <c r="R17" s="6"/>
      <c r="S17" s="6"/>
      <c r="T17" s="37"/>
      <c r="U17" s="48"/>
    </row>
    <row r="18" spans="1:21" s="1" customFormat="1" hidden="1" outlineLevel="1" x14ac:dyDescent="0.25">
      <c r="A18" s="7" t="s">
        <v>1408</v>
      </c>
      <c r="B18" s="7" t="s">
        <v>1409</v>
      </c>
      <c r="C18" s="14">
        <v>270.06</v>
      </c>
      <c r="D18" s="6">
        <v>72.290000000000006</v>
      </c>
      <c r="E18" s="6">
        <v>100</v>
      </c>
      <c r="F18" s="6"/>
      <c r="G18" s="6"/>
      <c r="H18" s="6"/>
      <c r="I18" s="6"/>
      <c r="J18" s="6">
        <v>108</v>
      </c>
      <c r="K18" s="6">
        <v>29166.48</v>
      </c>
      <c r="L18" s="6">
        <v>4440</v>
      </c>
      <c r="M18" s="6">
        <v>1199066.3999999999</v>
      </c>
      <c r="N18" s="6">
        <f t="shared" si="1"/>
        <v>4548</v>
      </c>
      <c r="O18" s="6">
        <f t="shared" si="2"/>
        <v>1228232.8800000001</v>
      </c>
      <c r="P18" s="6">
        <v>972</v>
      </c>
      <c r="Q18" s="6">
        <v>279024</v>
      </c>
      <c r="R18" s="6"/>
      <c r="S18" s="6"/>
      <c r="T18" s="37"/>
      <c r="U18" s="48"/>
    </row>
    <row r="19" spans="1:21" s="1" customFormat="1" hidden="1" outlineLevel="1" x14ac:dyDescent="0.25">
      <c r="A19" s="7" t="s">
        <v>1406</v>
      </c>
      <c r="B19" s="7" t="s">
        <v>1407</v>
      </c>
      <c r="C19" s="14">
        <v>260.64</v>
      </c>
      <c r="D19" s="6">
        <v>315.23</v>
      </c>
      <c r="E19" s="6">
        <v>100</v>
      </c>
      <c r="F19" s="6"/>
      <c r="G19" s="6"/>
      <c r="H19" s="6"/>
      <c r="I19" s="6"/>
      <c r="J19" s="6">
        <v>4176</v>
      </c>
      <c r="K19" s="6">
        <v>1088432.6399999999</v>
      </c>
      <c r="L19" s="6"/>
      <c r="M19" s="6"/>
      <c r="N19" s="6">
        <f t="shared" si="1"/>
        <v>4176</v>
      </c>
      <c r="O19" s="6">
        <f t="shared" si="2"/>
        <v>1088432.6399999999</v>
      </c>
      <c r="P19" s="6">
        <v>500</v>
      </c>
      <c r="Q19" s="6">
        <v>115165</v>
      </c>
      <c r="R19" s="6">
        <f t="shared" si="5"/>
        <v>1791.4553817847286</v>
      </c>
      <c r="S19" s="6">
        <f t="shared" si="6"/>
        <v>466924.93070837163</v>
      </c>
      <c r="T19" s="37"/>
      <c r="U19" s="48"/>
    </row>
    <row r="20" spans="1:21" s="1" customFormat="1" hidden="1" outlineLevel="1" x14ac:dyDescent="0.25">
      <c r="A20" s="7" t="s">
        <v>1383</v>
      </c>
      <c r="B20" s="7" t="s">
        <v>1384</v>
      </c>
      <c r="C20" s="14">
        <v>105.76</v>
      </c>
      <c r="D20" s="6">
        <v>132.35</v>
      </c>
      <c r="E20" s="6">
        <v>100</v>
      </c>
      <c r="F20" s="6"/>
      <c r="G20" s="6"/>
      <c r="H20" s="6">
        <v>240</v>
      </c>
      <c r="I20" s="6">
        <v>25382.400000000001</v>
      </c>
      <c r="J20" s="6">
        <v>4308</v>
      </c>
      <c r="K20" s="6">
        <v>455614.08</v>
      </c>
      <c r="L20" s="6">
        <v>10800</v>
      </c>
      <c r="M20" s="6">
        <v>1142208</v>
      </c>
      <c r="N20" s="6">
        <f t="shared" si="1"/>
        <v>15348</v>
      </c>
      <c r="O20" s="6">
        <f t="shared" si="2"/>
        <v>1623204.48</v>
      </c>
      <c r="P20" s="6">
        <v>640</v>
      </c>
      <c r="Q20" s="6">
        <v>69926</v>
      </c>
      <c r="R20" s="6"/>
      <c r="S20" s="6"/>
      <c r="T20" s="37"/>
      <c r="U20" s="48"/>
    </row>
    <row r="21" spans="1:21" s="1" customFormat="1" hidden="1" outlineLevel="1" x14ac:dyDescent="0.25">
      <c r="A21" s="7" t="s">
        <v>1464</v>
      </c>
      <c r="B21" s="7" t="s">
        <v>1465</v>
      </c>
      <c r="C21" s="14">
        <v>95.18</v>
      </c>
      <c r="D21" s="6">
        <v>42.24</v>
      </c>
      <c r="E21" s="6">
        <v>100</v>
      </c>
      <c r="F21" s="6"/>
      <c r="G21" s="6"/>
      <c r="H21" s="6"/>
      <c r="I21" s="6"/>
      <c r="J21" s="6">
        <v>3552</v>
      </c>
      <c r="K21" s="6">
        <v>338079.36</v>
      </c>
      <c r="L21" s="6">
        <v>6000</v>
      </c>
      <c r="M21" s="6">
        <v>571080</v>
      </c>
      <c r="N21" s="6">
        <f t="shared" si="1"/>
        <v>9552</v>
      </c>
      <c r="O21" s="6">
        <f t="shared" si="2"/>
        <v>909159.3600000001</v>
      </c>
      <c r="P21" s="6">
        <v>2968</v>
      </c>
      <c r="Q21" s="6">
        <v>307578</v>
      </c>
      <c r="R21" s="6"/>
      <c r="S21" s="6"/>
      <c r="T21" s="37"/>
      <c r="U21" s="48"/>
    </row>
    <row r="22" spans="1:21" s="1" customFormat="1" collapsed="1" x14ac:dyDescent="0.25">
      <c r="A22" s="15" t="s">
        <v>407</v>
      </c>
      <c r="B22" s="16"/>
      <c r="C22" s="16"/>
      <c r="D22" s="15">
        <v>130.26</v>
      </c>
      <c r="E22" s="15">
        <v>99.71</v>
      </c>
      <c r="F22" s="15">
        <f t="shared" ref="F22:R22" si="7">SUM(F23:F45)</f>
        <v>2448</v>
      </c>
      <c r="G22" s="15">
        <f t="shared" si="7"/>
        <v>598644.47999999998</v>
      </c>
      <c r="H22" s="15">
        <f t="shared" si="7"/>
        <v>1152</v>
      </c>
      <c r="I22" s="15">
        <f t="shared" si="7"/>
        <v>217070.4</v>
      </c>
      <c r="J22" s="15">
        <f t="shared" si="7"/>
        <v>73272</v>
      </c>
      <c r="K22" s="15">
        <f t="shared" si="7"/>
        <v>12863578.520000001</v>
      </c>
      <c r="L22" s="15">
        <f t="shared" si="7"/>
        <v>83724</v>
      </c>
      <c r="M22" s="15">
        <f t="shared" si="7"/>
        <v>17343708</v>
      </c>
      <c r="N22" s="15">
        <f t="shared" si="7"/>
        <v>160596</v>
      </c>
      <c r="O22" s="15">
        <f t="shared" si="7"/>
        <v>31023001.400000002</v>
      </c>
      <c r="P22" s="15">
        <f t="shared" si="7"/>
        <v>15471</v>
      </c>
      <c r="Q22" s="15">
        <f t="shared" si="7"/>
        <v>3007940</v>
      </c>
      <c r="R22" s="15">
        <f t="shared" si="7"/>
        <v>16468.981791051585</v>
      </c>
      <c r="S22" s="15">
        <f t="shared" ref="S22" si="8">SUM(S23:S45)</f>
        <v>3274879.4621415259</v>
      </c>
      <c r="T22" s="50"/>
      <c r="U22" s="51"/>
    </row>
    <row r="23" spans="1:21" s="1" customFormat="1" hidden="1" outlineLevel="1" x14ac:dyDescent="0.25">
      <c r="A23" s="7" t="s">
        <v>1381</v>
      </c>
      <c r="B23" s="7" t="s">
        <v>1382</v>
      </c>
      <c r="C23" s="14">
        <v>433.08</v>
      </c>
      <c r="D23" s="6">
        <v>755.36</v>
      </c>
      <c r="E23" s="6">
        <v>100</v>
      </c>
      <c r="F23" s="6"/>
      <c r="G23" s="6"/>
      <c r="H23" s="6">
        <v>240</v>
      </c>
      <c r="I23" s="6">
        <v>103939.2</v>
      </c>
      <c r="J23" s="6">
        <v>1356</v>
      </c>
      <c r="K23" s="6">
        <v>587256.48</v>
      </c>
      <c r="L23" s="6">
        <v>7200</v>
      </c>
      <c r="M23" s="6">
        <v>3118176</v>
      </c>
      <c r="N23" s="6">
        <f t="shared" ref="N23:N45" si="9">IF(J23+L23+H23+F23&lt;=0,"",J23+L23+H23+F23)</f>
        <v>8796</v>
      </c>
      <c r="O23" s="6">
        <f t="shared" ref="O23:O45" si="10">IFERROR(C23*N23,"")</f>
        <v>3809371.6799999997</v>
      </c>
      <c r="P23" s="6">
        <v>-16</v>
      </c>
      <c r="Q23" s="6">
        <v>-6232</v>
      </c>
      <c r="R23" s="6">
        <f t="shared" ref="R23:R43" si="11">J23/D23*(D23-180)</f>
        <v>1032.8693073501377</v>
      </c>
      <c r="S23" s="6">
        <f t="shared" ref="S23:S43" si="12">R23*C23</f>
        <v>447315.03962719761</v>
      </c>
      <c r="T23" s="37"/>
      <c r="U23" s="48"/>
    </row>
    <row r="24" spans="1:21" s="1" customFormat="1" hidden="1" outlineLevel="1" x14ac:dyDescent="0.25">
      <c r="A24" s="7" t="s">
        <v>1399</v>
      </c>
      <c r="B24" s="7" t="s">
        <v>1400</v>
      </c>
      <c r="C24" s="14">
        <v>205</v>
      </c>
      <c r="D24" s="6">
        <v>71.209999999999994</v>
      </c>
      <c r="E24" s="6">
        <v>100</v>
      </c>
      <c r="F24" s="6"/>
      <c r="G24" s="6"/>
      <c r="H24" s="6"/>
      <c r="I24" s="6"/>
      <c r="J24" s="6">
        <v>1008</v>
      </c>
      <c r="K24" s="6">
        <v>206640</v>
      </c>
      <c r="L24" s="6">
        <v>3600</v>
      </c>
      <c r="M24" s="6">
        <v>738000</v>
      </c>
      <c r="N24" s="6">
        <f t="shared" si="9"/>
        <v>4608</v>
      </c>
      <c r="O24" s="6">
        <f t="shared" si="10"/>
        <v>944640</v>
      </c>
      <c r="P24" s="6">
        <v>732</v>
      </c>
      <c r="Q24" s="6">
        <v>123923</v>
      </c>
      <c r="R24" s="6"/>
      <c r="S24" s="6"/>
      <c r="T24" s="37"/>
      <c r="U24" s="48"/>
    </row>
    <row r="25" spans="1:21" s="17" customFormat="1" ht="14.1" hidden="1" customHeight="1" outlineLevel="1" x14ac:dyDescent="0.2">
      <c r="A25" s="7" t="s">
        <v>1456</v>
      </c>
      <c r="B25" s="7" t="s">
        <v>1457</v>
      </c>
      <c r="C25" s="14">
        <v>97.3</v>
      </c>
      <c r="D25" s="6">
        <v>225.22</v>
      </c>
      <c r="E25" s="6">
        <v>100</v>
      </c>
      <c r="F25" s="6"/>
      <c r="G25" s="6"/>
      <c r="H25" s="6">
        <v>240</v>
      </c>
      <c r="I25" s="6">
        <v>23352</v>
      </c>
      <c r="J25" s="6">
        <v>16320</v>
      </c>
      <c r="K25" s="6">
        <v>1587936</v>
      </c>
      <c r="L25" s="6">
        <v>2880</v>
      </c>
      <c r="M25" s="6">
        <v>280224</v>
      </c>
      <c r="N25" s="6">
        <f t="shared" si="9"/>
        <v>19440</v>
      </c>
      <c r="O25" s="6">
        <f t="shared" si="10"/>
        <v>1891512</v>
      </c>
      <c r="P25" s="6">
        <v>2400</v>
      </c>
      <c r="Q25" s="6">
        <v>231674</v>
      </c>
      <c r="R25" s="6">
        <f t="shared" si="11"/>
        <v>3276.7533966788028</v>
      </c>
      <c r="S25" s="6">
        <f t="shared" si="12"/>
        <v>318828.10549684748</v>
      </c>
      <c r="T25" s="37"/>
      <c r="U25" s="48"/>
    </row>
    <row r="26" spans="1:21" s="1" customFormat="1" hidden="1" outlineLevel="1" x14ac:dyDescent="0.25">
      <c r="A26" s="7" t="s">
        <v>1385</v>
      </c>
      <c r="B26" s="7" t="s">
        <v>1386</v>
      </c>
      <c r="C26" s="14">
        <v>240.97</v>
      </c>
      <c r="D26" s="6">
        <v>124.9</v>
      </c>
      <c r="E26" s="6">
        <v>100</v>
      </c>
      <c r="F26" s="6"/>
      <c r="G26" s="6"/>
      <c r="H26" s="6"/>
      <c r="I26" s="6"/>
      <c r="J26" s="6">
        <v>7340</v>
      </c>
      <c r="K26" s="6">
        <v>1768719.8</v>
      </c>
      <c r="L26" s="6"/>
      <c r="M26" s="6"/>
      <c r="N26" s="6">
        <f t="shared" si="9"/>
        <v>7340</v>
      </c>
      <c r="O26" s="6">
        <f t="shared" si="10"/>
        <v>1768719.8</v>
      </c>
      <c r="P26" s="6">
        <v>1147</v>
      </c>
      <c r="Q26" s="6">
        <v>282814</v>
      </c>
      <c r="R26" s="6"/>
      <c r="S26" s="6"/>
      <c r="T26" s="37"/>
      <c r="U26" s="48"/>
    </row>
    <row r="27" spans="1:21" s="1" customFormat="1" hidden="1" outlineLevel="1" x14ac:dyDescent="0.25">
      <c r="A27" s="7" t="s">
        <v>1355</v>
      </c>
      <c r="B27" s="7" t="s">
        <v>1356</v>
      </c>
      <c r="C27" s="14">
        <v>133.6</v>
      </c>
      <c r="D27" s="6">
        <v>103.71</v>
      </c>
      <c r="E27" s="6">
        <v>100</v>
      </c>
      <c r="F27" s="6">
        <v>252</v>
      </c>
      <c r="G27" s="6">
        <v>33667.199999999997</v>
      </c>
      <c r="H27" s="6">
        <v>672</v>
      </c>
      <c r="I27" s="6">
        <v>89779.199999999997</v>
      </c>
      <c r="J27" s="6">
        <v>1716</v>
      </c>
      <c r="K27" s="6">
        <v>229257.60000000001</v>
      </c>
      <c r="L27" s="6">
        <v>5400</v>
      </c>
      <c r="M27" s="6">
        <v>721440</v>
      </c>
      <c r="N27" s="6">
        <f t="shared" si="9"/>
        <v>8040</v>
      </c>
      <c r="O27" s="6">
        <f t="shared" si="10"/>
        <v>1074144</v>
      </c>
      <c r="P27" s="6">
        <v>988</v>
      </c>
      <c r="Q27" s="6">
        <v>135760</v>
      </c>
      <c r="R27" s="6"/>
      <c r="S27" s="6"/>
      <c r="T27" s="37"/>
      <c r="U27" s="48"/>
    </row>
    <row r="28" spans="1:21" s="1" customFormat="1" hidden="1" outlineLevel="1" x14ac:dyDescent="0.25">
      <c r="A28" s="7" t="s">
        <v>1357</v>
      </c>
      <c r="B28" s="7" t="s">
        <v>1358</v>
      </c>
      <c r="C28" s="14">
        <v>167.1</v>
      </c>
      <c r="D28" s="6">
        <v>113.07</v>
      </c>
      <c r="E28" s="6">
        <v>100</v>
      </c>
      <c r="F28" s="6">
        <v>12</v>
      </c>
      <c r="G28" s="6">
        <v>2005.2</v>
      </c>
      <c r="H28" s="6"/>
      <c r="I28" s="6"/>
      <c r="J28" s="6">
        <v>2160</v>
      </c>
      <c r="K28" s="6">
        <v>360936</v>
      </c>
      <c r="L28" s="6">
        <v>5940</v>
      </c>
      <c r="M28" s="6">
        <v>992574</v>
      </c>
      <c r="N28" s="6">
        <f t="shared" si="9"/>
        <v>8112</v>
      </c>
      <c r="O28" s="6">
        <f t="shared" si="10"/>
        <v>1355515.2</v>
      </c>
      <c r="P28" s="6">
        <v>848</v>
      </c>
      <c r="Q28" s="6">
        <v>122311</v>
      </c>
      <c r="R28" s="6"/>
      <c r="S28" s="6"/>
      <c r="T28" s="37"/>
      <c r="U28" s="48"/>
    </row>
    <row r="29" spans="1:21" s="1" customFormat="1" hidden="1" outlineLevel="1" x14ac:dyDescent="0.25">
      <c r="A29" s="7" t="s">
        <v>1454</v>
      </c>
      <c r="B29" s="7" t="s">
        <v>1455</v>
      </c>
      <c r="C29" s="14">
        <v>97.3</v>
      </c>
      <c r="D29" s="6">
        <v>215.3</v>
      </c>
      <c r="E29" s="6">
        <v>95.7</v>
      </c>
      <c r="F29" s="6"/>
      <c r="G29" s="6"/>
      <c r="H29" s="6"/>
      <c r="I29" s="6"/>
      <c r="J29" s="6">
        <v>12960</v>
      </c>
      <c r="K29" s="6">
        <v>1261008</v>
      </c>
      <c r="L29" s="6"/>
      <c r="M29" s="6"/>
      <c r="N29" s="6">
        <f t="shared" si="9"/>
        <v>12960</v>
      </c>
      <c r="O29" s="6">
        <f t="shared" si="10"/>
        <v>1261008</v>
      </c>
      <c r="P29" s="6">
        <v>2040</v>
      </c>
      <c r="Q29" s="6">
        <v>197146</v>
      </c>
      <c r="R29" s="6">
        <f t="shared" si="11"/>
        <v>2124.886205294938</v>
      </c>
      <c r="S29" s="6">
        <f t="shared" si="12"/>
        <v>206751.42777519746</v>
      </c>
      <c r="T29" s="37"/>
      <c r="U29" s="48"/>
    </row>
    <row r="30" spans="1:21" s="1" customFormat="1" hidden="1" outlineLevel="1" x14ac:dyDescent="0.25">
      <c r="A30" s="7" t="s">
        <v>1389</v>
      </c>
      <c r="B30" s="7" t="s">
        <v>1390</v>
      </c>
      <c r="C30" s="14">
        <v>240.97</v>
      </c>
      <c r="D30" s="6">
        <v>139.62</v>
      </c>
      <c r="E30" s="6">
        <v>100</v>
      </c>
      <c r="F30" s="6"/>
      <c r="G30" s="6"/>
      <c r="H30" s="6"/>
      <c r="I30" s="6"/>
      <c r="J30" s="6">
        <v>4100</v>
      </c>
      <c r="K30" s="6">
        <v>987977</v>
      </c>
      <c r="L30" s="6"/>
      <c r="M30" s="6"/>
      <c r="N30" s="6">
        <f t="shared" si="9"/>
        <v>4100</v>
      </c>
      <c r="O30" s="6">
        <f t="shared" si="10"/>
        <v>987977</v>
      </c>
      <c r="P30" s="6">
        <v>620</v>
      </c>
      <c r="Q30" s="6">
        <v>151038</v>
      </c>
      <c r="R30" s="6"/>
      <c r="S30" s="6"/>
      <c r="T30" s="37"/>
      <c r="U30" s="48"/>
    </row>
    <row r="31" spans="1:21" s="1" customFormat="1" hidden="1" outlineLevel="1" x14ac:dyDescent="0.25">
      <c r="A31" s="7" t="s">
        <v>1401</v>
      </c>
      <c r="B31" s="7" t="s">
        <v>1402</v>
      </c>
      <c r="C31" s="14">
        <v>274.97000000000003</v>
      </c>
      <c r="D31" s="6">
        <v>2640</v>
      </c>
      <c r="E31" s="6">
        <v>100</v>
      </c>
      <c r="F31" s="6">
        <v>240</v>
      </c>
      <c r="G31" s="6">
        <v>65992.800000000003</v>
      </c>
      <c r="H31" s="6"/>
      <c r="I31" s="6"/>
      <c r="J31" s="6">
        <v>432</v>
      </c>
      <c r="K31" s="6">
        <v>118787.04</v>
      </c>
      <c r="L31" s="6">
        <v>13200</v>
      </c>
      <c r="M31" s="6">
        <v>3629604</v>
      </c>
      <c r="N31" s="6">
        <f t="shared" si="9"/>
        <v>13872</v>
      </c>
      <c r="O31" s="6">
        <f t="shared" si="10"/>
        <v>3814383.8400000003</v>
      </c>
      <c r="P31" s="6">
        <v>8</v>
      </c>
      <c r="Q31" s="6">
        <v>2054</v>
      </c>
      <c r="R31" s="6">
        <f t="shared" si="11"/>
        <v>402.54545454545456</v>
      </c>
      <c r="S31" s="6">
        <f t="shared" si="12"/>
        <v>110687.92363636364</v>
      </c>
      <c r="T31" s="37"/>
      <c r="U31" s="48"/>
    </row>
    <row r="32" spans="1:21" s="1" customFormat="1" hidden="1" outlineLevel="1" x14ac:dyDescent="0.25">
      <c r="A32" s="7" t="s">
        <v>1373</v>
      </c>
      <c r="B32" s="7" t="s">
        <v>1374</v>
      </c>
      <c r="C32" s="14">
        <v>137.49</v>
      </c>
      <c r="D32" s="6">
        <v>82.21</v>
      </c>
      <c r="E32" s="6">
        <v>100</v>
      </c>
      <c r="F32" s="6"/>
      <c r="G32" s="6"/>
      <c r="H32" s="6"/>
      <c r="I32" s="6"/>
      <c r="J32" s="6">
        <v>864</v>
      </c>
      <c r="K32" s="6">
        <v>118791.36</v>
      </c>
      <c r="L32" s="6">
        <v>9120</v>
      </c>
      <c r="M32" s="6">
        <v>1253908.8</v>
      </c>
      <c r="N32" s="6">
        <f t="shared" si="9"/>
        <v>9984</v>
      </c>
      <c r="O32" s="6">
        <f t="shared" si="10"/>
        <v>1372700.1600000001</v>
      </c>
      <c r="P32" s="6">
        <v>112</v>
      </c>
      <c r="Q32" s="6">
        <v>15836</v>
      </c>
      <c r="R32" s="6"/>
      <c r="S32" s="6"/>
      <c r="T32" s="37"/>
      <c r="U32" s="48"/>
    </row>
    <row r="33" spans="1:21" s="1" customFormat="1" hidden="1" outlineLevel="1" x14ac:dyDescent="0.25">
      <c r="A33" s="7" t="s">
        <v>1395</v>
      </c>
      <c r="B33" s="7" t="s">
        <v>1396</v>
      </c>
      <c r="C33" s="14">
        <v>285</v>
      </c>
      <c r="D33" s="6">
        <v>27.43</v>
      </c>
      <c r="E33" s="6">
        <v>95.7</v>
      </c>
      <c r="F33" s="6"/>
      <c r="G33" s="6"/>
      <c r="H33" s="6"/>
      <c r="I33" s="6"/>
      <c r="J33" s="6"/>
      <c r="K33" s="6"/>
      <c r="L33" s="6">
        <v>3000</v>
      </c>
      <c r="M33" s="6">
        <v>855000</v>
      </c>
      <c r="N33" s="6">
        <f t="shared" si="9"/>
        <v>3000</v>
      </c>
      <c r="O33" s="6">
        <f t="shared" si="10"/>
        <v>855000</v>
      </c>
      <c r="P33" s="6">
        <v>2996</v>
      </c>
      <c r="Q33" s="6">
        <v>930329</v>
      </c>
      <c r="R33" s="6"/>
      <c r="S33" s="6"/>
      <c r="T33" s="37"/>
      <c r="U33" s="48"/>
    </row>
    <row r="34" spans="1:21" s="1" customFormat="1" hidden="1" outlineLevel="1" x14ac:dyDescent="0.25">
      <c r="A34" s="7" t="s">
        <v>1346</v>
      </c>
      <c r="B34" s="7" t="s">
        <v>1347</v>
      </c>
      <c r="C34" s="14">
        <v>253.82</v>
      </c>
      <c r="D34" s="6">
        <v>83.12</v>
      </c>
      <c r="E34" s="6">
        <v>100</v>
      </c>
      <c r="F34" s="6">
        <v>1920</v>
      </c>
      <c r="G34" s="6">
        <v>487334.40000000002</v>
      </c>
      <c r="H34" s="6"/>
      <c r="I34" s="6"/>
      <c r="J34" s="6">
        <v>140</v>
      </c>
      <c r="K34" s="6">
        <v>35534.800000000003</v>
      </c>
      <c r="L34" s="6">
        <v>1920</v>
      </c>
      <c r="M34" s="6">
        <v>487334.40000000002</v>
      </c>
      <c r="N34" s="6">
        <f t="shared" si="9"/>
        <v>3980</v>
      </c>
      <c r="O34" s="6">
        <f t="shared" si="10"/>
        <v>1010203.6</v>
      </c>
      <c r="P34" s="6">
        <v>533</v>
      </c>
      <c r="Q34" s="6">
        <v>133135</v>
      </c>
      <c r="R34" s="6"/>
      <c r="S34" s="6"/>
      <c r="T34" s="37"/>
      <c r="U34" s="48"/>
    </row>
    <row r="35" spans="1:21" s="1" customFormat="1" hidden="1" outlineLevel="1" x14ac:dyDescent="0.25">
      <c r="A35" s="7" t="s">
        <v>1424</v>
      </c>
      <c r="B35" s="7" t="s">
        <v>1425</v>
      </c>
      <c r="C35" s="14">
        <v>401.87</v>
      </c>
      <c r="D35" s="6">
        <v>48.02</v>
      </c>
      <c r="E35" s="6">
        <v>100</v>
      </c>
      <c r="F35" s="6">
        <v>24</v>
      </c>
      <c r="G35" s="6">
        <v>9644.8799999999992</v>
      </c>
      <c r="H35" s="6"/>
      <c r="I35" s="6"/>
      <c r="J35" s="6"/>
      <c r="K35" s="6"/>
      <c r="L35" s="6">
        <v>4200</v>
      </c>
      <c r="M35" s="6">
        <v>1687854</v>
      </c>
      <c r="N35" s="6">
        <f t="shared" si="9"/>
        <v>4224</v>
      </c>
      <c r="O35" s="6">
        <f t="shared" si="10"/>
        <v>1697498.8800000001</v>
      </c>
      <c r="P35" s="6">
        <v>140</v>
      </c>
      <c r="Q35" s="6">
        <v>35164</v>
      </c>
      <c r="R35" s="6"/>
      <c r="S35" s="6"/>
      <c r="T35" s="37"/>
      <c r="U35" s="48"/>
    </row>
    <row r="36" spans="1:21" s="1" customFormat="1" hidden="1" outlineLevel="1" x14ac:dyDescent="0.25">
      <c r="A36" s="7" t="s">
        <v>1377</v>
      </c>
      <c r="B36" s="7" t="s">
        <v>1378</v>
      </c>
      <c r="C36" s="14">
        <v>264.39999999999998</v>
      </c>
      <c r="D36" s="6">
        <v>87.72</v>
      </c>
      <c r="E36" s="6">
        <v>100</v>
      </c>
      <c r="F36" s="6"/>
      <c r="G36" s="6"/>
      <c r="H36" s="6"/>
      <c r="I36" s="6"/>
      <c r="J36" s="6">
        <v>2400</v>
      </c>
      <c r="K36" s="6">
        <v>634560</v>
      </c>
      <c r="L36" s="6">
        <v>3120</v>
      </c>
      <c r="M36" s="6">
        <v>824928</v>
      </c>
      <c r="N36" s="6">
        <f t="shared" si="9"/>
        <v>5520</v>
      </c>
      <c r="O36" s="6">
        <f t="shared" si="10"/>
        <v>1459487.9999999998</v>
      </c>
      <c r="P36" s="6">
        <v>288</v>
      </c>
      <c r="Q36" s="6">
        <v>78734</v>
      </c>
      <c r="R36" s="6"/>
      <c r="S36" s="6"/>
      <c r="T36" s="37"/>
      <c r="U36" s="48"/>
    </row>
    <row r="37" spans="1:21" s="1" customFormat="1" hidden="1" outlineLevel="1" x14ac:dyDescent="0.25">
      <c r="A37" s="7" t="s">
        <v>1434</v>
      </c>
      <c r="B37" s="7" t="s">
        <v>1435</v>
      </c>
      <c r="C37" s="14">
        <v>222.09</v>
      </c>
      <c r="D37" s="6">
        <v>95.12</v>
      </c>
      <c r="E37" s="6">
        <v>100</v>
      </c>
      <c r="F37" s="6"/>
      <c r="G37" s="6"/>
      <c r="H37" s="6"/>
      <c r="I37" s="6"/>
      <c r="J37" s="6">
        <v>1320</v>
      </c>
      <c r="K37" s="6">
        <v>293158.8</v>
      </c>
      <c r="L37" s="6">
        <v>1920</v>
      </c>
      <c r="M37" s="6">
        <v>426412.79999999999</v>
      </c>
      <c r="N37" s="6">
        <f t="shared" si="9"/>
        <v>3240</v>
      </c>
      <c r="O37" s="6">
        <f t="shared" si="10"/>
        <v>719571.6</v>
      </c>
      <c r="P37" s="6">
        <v>440</v>
      </c>
      <c r="Q37" s="6">
        <v>96543</v>
      </c>
      <c r="R37" s="6"/>
      <c r="S37" s="6"/>
      <c r="T37" s="37"/>
      <c r="U37" s="48"/>
    </row>
    <row r="38" spans="1:21" s="1" customFormat="1" hidden="1" outlineLevel="1" x14ac:dyDescent="0.25">
      <c r="A38" s="7" t="s">
        <v>1580</v>
      </c>
      <c r="B38" s="7" t="s">
        <v>1581</v>
      </c>
      <c r="C38" s="14">
        <v>153.35</v>
      </c>
      <c r="D38" s="6">
        <v>42.52</v>
      </c>
      <c r="E38" s="6">
        <v>95.7</v>
      </c>
      <c r="F38" s="6"/>
      <c r="G38" s="6"/>
      <c r="H38" s="6"/>
      <c r="I38" s="6"/>
      <c r="J38" s="6">
        <v>600</v>
      </c>
      <c r="K38" s="6">
        <v>92010</v>
      </c>
      <c r="L38" s="6">
        <v>3120</v>
      </c>
      <c r="M38" s="6">
        <v>478452</v>
      </c>
      <c r="N38" s="6">
        <f t="shared" si="9"/>
        <v>3720</v>
      </c>
      <c r="O38" s="6">
        <f t="shared" si="10"/>
        <v>570462</v>
      </c>
      <c r="P38" s="6">
        <v>304</v>
      </c>
      <c r="Q38" s="6">
        <v>46744</v>
      </c>
      <c r="R38" s="6"/>
      <c r="S38" s="6"/>
      <c r="T38" s="37"/>
      <c r="U38" s="48"/>
    </row>
    <row r="39" spans="1:21" s="1" customFormat="1" hidden="1" outlineLevel="1" x14ac:dyDescent="0.25">
      <c r="A39" s="7" t="s">
        <v>1416</v>
      </c>
      <c r="B39" s="7" t="s">
        <v>1417</v>
      </c>
      <c r="C39" s="14">
        <v>255</v>
      </c>
      <c r="D39" s="6">
        <v>350.48</v>
      </c>
      <c r="E39" s="6">
        <v>100</v>
      </c>
      <c r="F39" s="6"/>
      <c r="G39" s="6"/>
      <c r="H39" s="6"/>
      <c r="I39" s="6"/>
      <c r="J39" s="6">
        <v>16104</v>
      </c>
      <c r="K39" s="6">
        <v>4106520</v>
      </c>
      <c r="L39" s="6"/>
      <c r="M39" s="6"/>
      <c r="N39" s="6">
        <f t="shared" si="9"/>
        <v>16104</v>
      </c>
      <c r="O39" s="6">
        <f t="shared" si="10"/>
        <v>4106520</v>
      </c>
      <c r="P39" s="6">
        <v>1284</v>
      </c>
      <c r="Q39" s="6">
        <v>364912</v>
      </c>
      <c r="R39" s="6">
        <f t="shared" si="11"/>
        <v>7833.2855512440083</v>
      </c>
      <c r="S39" s="6">
        <f t="shared" si="12"/>
        <v>1997487.8155672222</v>
      </c>
      <c r="T39" s="37"/>
      <c r="U39" s="48"/>
    </row>
    <row r="40" spans="1:21" s="1" customFormat="1" hidden="1" outlineLevel="1" x14ac:dyDescent="0.25">
      <c r="A40" s="7" t="s">
        <v>1476</v>
      </c>
      <c r="B40" s="7" t="s">
        <v>1477</v>
      </c>
      <c r="C40" s="14">
        <v>84.61</v>
      </c>
      <c r="D40" s="6">
        <v>232</v>
      </c>
      <c r="E40" s="6">
        <v>100</v>
      </c>
      <c r="F40" s="6"/>
      <c r="G40" s="6"/>
      <c r="H40" s="6"/>
      <c r="I40" s="6"/>
      <c r="J40" s="6">
        <v>240</v>
      </c>
      <c r="K40" s="6">
        <v>20306.400000000001</v>
      </c>
      <c r="L40" s="6"/>
      <c r="M40" s="6"/>
      <c r="N40" s="6">
        <f t="shared" si="9"/>
        <v>240</v>
      </c>
      <c r="O40" s="6">
        <f t="shared" si="10"/>
        <v>20306.400000000001</v>
      </c>
      <c r="P40" s="6">
        <v>27</v>
      </c>
      <c r="Q40" s="6">
        <v>2274</v>
      </c>
      <c r="R40" s="6">
        <f t="shared" si="11"/>
        <v>53.793103448275865</v>
      </c>
      <c r="S40" s="6">
        <f t="shared" si="12"/>
        <v>4551.434482758621</v>
      </c>
      <c r="T40" s="37"/>
      <c r="U40" s="48"/>
    </row>
    <row r="41" spans="1:21" s="1" customFormat="1" hidden="1" outlineLevel="1" x14ac:dyDescent="0.25">
      <c r="A41" s="7" t="s">
        <v>1444</v>
      </c>
      <c r="B41" s="7" t="s">
        <v>1445</v>
      </c>
      <c r="C41" s="14">
        <v>111.06</v>
      </c>
      <c r="D41" s="6">
        <v>21.08</v>
      </c>
      <c r="E41" s="6">
        <v>54.84</v>
      </c>
      <c r="F41" s="6"/>
      <c r="G41" s="6"/>
      <c r="H41" s="6"/>
      <c r="I41" s="6"/>
      <c r="J41" s="6">
        <v>216</v>
      </c>
      <c r="K41" s="6">
        <v>23988.959999999999</v>
      </c>
      <c r="L41" s="6">
        <v>3120</v>
      </c>
      <c r="M41" s="6">
        <v>346507.2</v>
      </c>
      <c r="N41" s="6">
        <f t="shared" si="9"/>
        <v>3336</v>
      </c>
      <c r="O41" s="6">
        <f t="shared" si="10"/>
        <v>370496.16000000003</v>
      </c>
      <c r="P41" s="6">
        <v>288</v>
      </c>
      <c r="Q41" s="6">
        <v>32340</v>
      </c>
      <c r="R41" s="6"/>
      <c r="S41" s="6"/>
      <c r="T41" s="37"/>
      <c r="U41" s="48"/>
    </row>
    <row r="42" spans="1:21" s="1" customFormat="1" hidden="1" outlineLevel="1" x14ac:dyDescent="0.25">
      <c r="A42" s="7" t="s">
        <v>1375</v>
      </c>
      <c r="B42" s="7" t="s">
        <v>1376</v>
      </c>
      <c r="C42" s="14">
        <v>137.49</v>
      </c>
      <c r="D42" s="6">
        <v>440</v>
      </c>
      <c r="E42" s="6">
        <v>89.25</v>
      </c>
      <c r="F42" s="6"/>
      <c r="G42" s="6"/>
      <c r="H42" s="6"/>
      <c r="I42" s="6"/>
      <c r="J42" s="6">
        <v>1152</v>
      </c>
      <c r="K42" s="6">
        <v>158388.48000000001</v>
      </c>
      <c r="L42" s="6">
        <v>1200</v>
      </c>
      <c r="M42" s="6">
        <v>164988</v>
      </c>
      <c r="N42" s="6">
        <f t="shared" si="9"/>
        <v>2352</v>
      </c>
      <c r="O42" s="6">
        <f t="shared" si="10"/>
        <v>323376.48000000004</v>
      </c>
      <c r="P42" s="6">
        <v>16</v>
      </c>
      <c r="Q42" s="6">
        <v>2131</v>
      </c>
      <c r="R42" s="6">
        <f t="shared" si="11"/>
        <v>680.72727272727275</v>
      </c>
      <c r="S42" s="6">
        <f t="shared" si="12"/>
        <v>93593.192727272733</v>
      </c>
      <c r="T42" s="37"/>
      <c r="U42" s="48"/>
    </row>
    <row r="43" spans="1:21" s="1" customFormat="1" hidden="1" outlineLevel="1" x14ac:dyDescent="0.25">
      <c r="A43" s="7" t="s">
        <v>1462</v>
      </c>
      <c r="B43" s="7" t="s">
        <v>1463</v>
      </c>
      <c r="C43" s="14">
        <v>89.9</v>
      </c>
      <c r="D43" s="6">
        <v>316.05</v>
      </c>
      <c r="E43" s="6">
        <v>100</v>
      </c>
      <c r="F43" s="6"/>
      <c r="G43" s="6"/>
      <c r="H43" s="6"/>
      <c r="I43" s="6"/>
      <c r="J43" s="6">
        <v>2472</v>
      </c>
      <c r="K43" s="6">
        <v>222232.8</v>
      </c>
      <c r="L43" s="6">
        <v>6000</v>
      </c>
      <c r="M43" s="6">
        <v>539400</v>
      </c>
      <c r="N43" s="6">
        <f t="shared" si="9"/>
        <v>8472</v>
      </c>
      <c r="O43" s="6">
        <f t="shared" si="10"/>
        <v>761632.8</v>
      </c>
      <c r="P43" s="6">
        <v>160</v>
      </c>
      <c r="Q43" s="6">
        <v>13877</v>
      </c>
      <c r="R43" s="6">
        <f t="shared" si="11"/>
        <v>1064.1214997626957</v>
      </c>
      <c r="S43" s="6">
        <f t="shared" si="12"/>
        <v>95664.522828666348</v>
      </c>
      <c r="T43" s="37"/>
      <c r="U43" s="48"/>
    </row>
    <row r="44" spans="1:21" s="1" customFormat="1" hidden="1" outlineLevel="1" x14ac:dyDescent="0.25">
      <c r="A44" s="7" t="s">
        <v>1522</v>
      </c>
      <c r="B44" s="7" t="s">
        <v>1523</v>
      </c>
      <c r="C44" s="14">
        <v>133.25</v>
      </c>
      <c r="D44" s="6">
        <v>28.66</v>
      </c>
      <c r="E44" s="6">
        <v>26.88</v>
      </c>
      <c r="F44" s="6"/>
      <c r="G44" s="6"/>
      <c r="H44" s="6"/>
      <c r="I44" s="6"/>
      <c r="J44" s="6">
        <v>372</v>
      </c>
      <c r="K44" s="6">
        <v>49569</v>
      </c>
      <c r="L44" s="6"/>
      <c r="M44" s="6"/>
      <c r="N44" s="6">
        <f t="shared" si="9"/>
        <v>372</v>
      </c>
      <c r="O44" s="6">
        <f t="shared" si="10"/>
        <v>49569</v>
      </c>
      <c r="P44" s="6">
        <v>116</v>
      </c>
      <c r="Q44" s="6">
        <v>15433</v>
      </c>
      <c r="R44" s="6"/>
      <c r="S44" s="6"/>
      <c r="T44" s="37"/>
      <c r="U44" s="48"/>
    </row>
    <row r="45" spans="1:21" s="1" customFormat="1" hidden="1" outlineLevel="1" x14ac:dyDescent="0.25">
      <c r="A45" s="7" t="s">
        <v>1582</v>
      </c>
      <c r="B45" s="7" t="s">
        <v>1583</v>
      </c>
      <c r="C45" s="14">
        <v>90.95</v>
      </c>
      <c r="D45" s="6"/>
      <c r="E45" s="6"/>
      <c r="F45" s="6"/>
      <c r="G45" s="6"/>
      <c r="H45" s="6"/>
      <c r="I45" s="6"/>
      <c r="J45" s="6"/>
      <c r="K45" s="6"/>
      <c r="L45" s="6">
        <v>8784</v>
      </c>
      <c r="M45" s="6">
        <v>798904.8</v>
      </c>
      <c r="N45" s="6">
        <f t="shared" si="9"/>
        <v>8784</v>
      </c>
      <c r="O45" s="6">
        <f t="shared" si="10"/>
        <v>798904.8</v>
      </c>
      <c r="P45" s="6"/>
      <c r="Q45" s="6"/>
      <c r="R45" s="6"/>
      <c r="S45" s="6"/>
      <c r="T45" s="37"/>
      <c r="U45" s="48"/>
    </row>
    <row r="46" spans="1:21" s="1" customFormat="1" collapsed="1" x14ac:dyDescent="0.25">
      <c r="A46" s="15" t="s">
        <v>818</v>
      </c>
      <c r="B46" s="16"/>
      <c r="C46" s="16"/>
      <c r="D46" s="15">
        <v>231.45</v>
      </c>
      <c r="E46" s="15">
        <v>75.06</v>
      </c>
      <c r="F46" s="15">
        <f t="shared" ref="F46:R46" si="13">SUM(F47:F125)</f>
        <v>0</v>
      </c>
      <c r="G46" s="15">
        <f t="shared" si="13"/>
        <v>0</v>
      </c>
      <c r="H46" s="15">
        <f t="shared" si="13"/>
        <v>80</v>
      </c>
      <c r="I46" s="15">
        <f t="shared" si="13"/>
        <v>76144.800000000003</v>
      </c>
      <c r="J46" s="15">
        <f t="shared" si="13"/>
        <v>34917</v>
      </c>
      <c r="K46" s="15">
        <f t="shared" si="13"/>
        <v>6819091.9399999995</v>
      </c>
      <c r="L46" s="15">
        <f t="shared" si="13"/>
        <v>46192</v>
      </c>
      <c r="M46" s="15">
        <f t="shared" si="13"/>
        <v>4784211.3600000003</v>
      </c>
      <c r="N46" s="15">
        <f t="shared" si="13"/>
        <v>81189</v>
      </c>
      <c r="O46" s="15">
        <f t="shared" si="13"/>
        <v>11679448.100000001</v>
      </c>
      <c r="P46" s="15">
        <f t="shared" si="13"/>
        <v>2977</v>
      </c>
      <c r="Q46" s="15">
        <f t="shared" si="13"/>
        <v>554398</v>
      </c>
      <c r="R46" s="15">
        <f t="shared" si="13"/>
        <v>15647.683749552674</v>
      </c>
      <c r="S46" s="15">
        <f>SUM(S47:S125)</f>
        <v>3395502.1653944207</v>
      </c>
      <c r="T46" s="50"/>
      <c r="U46" s="51"/>
    </row>
    <row r="47" spans="1:21" s="1" customFormat="1" hidden="1" outlineLevel="1" x14ac:dyDescent="0.25">
      <c r="A47" s="7" t="s">
        <v>1578</v>
      </c>
      <c r="B47" s="7" t="s">
        <v>1579</v>
      </c>
      <c r="C47" s="14">
        <v>133.25</v>
      </c>
      <c r="D47" s="6">
        <v>91.2</v>
      </c>
      <c r="E47" s="6">
        <v>100</v>
      </c>
      <c r="F47" s="6"/>
      <c r="G47" s="6"/>
      <c r="H47" s="6"/>
      <c r="I47" s="6"/>
      <c r="J47" s="6">
        <v>528</v>
      </c>
      <c r="K47" s="6">
        <v>70356</v>
      </c>
      <c r="L47" s="6"/>
      <c r="M47" s="6"/>
      <c r="N47" s="6">
        <f t="shared" ref="N47:N110" si="14">IF(J47+L47+H47+F47&lt;=0,"",J47+L47+H47+F47)</f>
        <v>528</v>
      </c>
      <c r="O47" s="6">
        <f t="shared" ref="O47:O110" si="15">IFERROR(C47*N47,"")</f>
        <v>70356</v>
      </c>
      <c r="P47" s="6">
        <v>88</v>
      </c>
      <c r="Q47" s="6">
        <v>11888</v>
      </c>
      <c r="R47" s="6"/>
      <c r="S47" s="6"/>
      <c r="T47" s="37"/>
      <c r="U47" s="48"/>
    </row>
    <row r="48" spans="1:21" s="1" customFormat="1" hidden="1" outlineLevel="1" x14ac:dyDescent="0.25">
      <c r="A48" s="7" t="s">
        <v>1458</v>
      </c>
      <c r="B48" s="7" t="s">
        <v>1459</v>
      </c>
      <c r="C48" s="14">
        <v>90.95</v>
      </c>
      <c r="D48" s="6"/>
      <c r="E48" s="6"/>
      <c r="F48" s="6"/>
      <c r="G48" s="6"/>
      <c r="H48" s="6"/>
      <c r="I48" s="6"/>
      <c r="J48" s="6"/>
      <c r="K48" s="6"/>
      <c r="L48" s="6">
        <v>9648</v>
      </c>
      <c r="M48" s="6">
        <v>877485.6</v>
      </c>
      <c r="N48" s="6">
        <f t="shared" si="14"/>
        <v>9648</v>
      </c>
      <c r="O48" s="6">
        <f t="shared" si="15"/>
        <v>877485.6</v>
      </c>
      <c r="P48" s="6"/>
      <c r="Q48" s="6"/>
      <c r="R48" s="6"/>
      <c r="S48" s="6"/>
      <c r="T48" s="37"/>
      <c r="U48" s="48"/>
    </row>
    <row r="49" spans="1:21" s="17" customFormat="1" ht="14.1" hidden="1" customHeight="1" outlineLevel="1" x14ac:dyDescent="0.2">
      <c r="A49" s="7" t="s">
        <v>1466</v>
      </c>
      <c r="B49" s="7" t="s">
        <v>1467</v>
      </c>
      <c r="C49" s="14">
        <v>88.84</v>
      </c>
      <c r="D49" s="6">
        <v>177.65</v>
      </c>
      <c r="E49" s="6">
        <v>100</v>
      </c>
      <c r="F49" s="6"/>
      <c r="G49" s="6"/>
      <c r="H49" s="6"/>
      <c r="I49" s="6"/>
      <c r="J49" s="6">
        <v>1368</v>
      </c>
      <c r="K49" s="6">
        <v>121533.12</v>
      </c>
      <c r="L49" s="6">
        <v>5472</v>
      </c>
      <c r="M49" s="6">
        <v>486132.47999999998</v>
      </c>
      <c r="N49" s="6">
        <f t="shared" si="14"/>
        <v>6840</v>
      </c>
      <c r="O49" s="6">
        <f t="shared" si="15"/>
        <v>607665.6</v>
      </c>
      <c r="P49" s="6">
        <v>104</v>
      </c>
      <c r="Q49" s="6">
        <v>8972</v>
      </c>
      <c r="R49" s="6"/>
      <c r="S49" s="6"/>
      <c r="T49" s="37"/>
      <c r="U49" s="48"/>
    </row>
    <row r="50" spans="1:21" s="1" customFormat="1" hidden="1" outlineLevel="1" x14ac:dyDescent="0.25">
      <c r="A50" s="7" t="s">
        <v>1344</v>
      </c>
      <c r="B50" s="7" t="s">
        <v>1345</v>
      </c>
      <c r="C50" s="14">
        <v>100.47</v>
      </c>
      <c r="D50" s="6">
        <v>115.81</v>
      </c>
      <c r="E50" s="6">
        <v>100</v>
      </c>
      <c r="F50" s="6"/>
      <c r="G50" s="6"/>
      <c r="H50" s="6"/>
      <c r="I50" s="6"/>
      <c r="J50" s="6">
        <v>384</v>
      </c>
      <c r="K50" s="6">
        <v>38580.480000000003</v>
      </c>
      <c r="L50" s="6">
        <v>1200</v>
      </c>
      <c r="M50" s="6">
        <v>120564</v>
      </c>
      <c r="N50" s="6">
        <f t="shared" si="14"/>
        <v>1584</v>
      </c>
      <c r="O50" s="6">
        <f t="shared" si="15"/>
        <v>159144.48000000001</v>
      </c>
      <c r="P50" s="6">
        <v>120</v>
      </c>
      <c r="Q50" s="6">
        <v>10372</v>
      </c>
      <c r="R50" s="6"/>
      <c r="S50" s="6"/>
      <c r="T50" s="37"/>
      <c r="U50" s="48"/>
    </row>
    <row r="51" spans="1:21" s="1" customFormat="1" hidden="1" outlineLevel="1" x14ac:dyDescent="0.25">
      <c r="A51" s="7" t="s">
        <v>1470</v>
      </c>
      <c r="B51" s="7" t="s">
        <v>1471</v>
      </c>
      <c r="C51" s="14">
        <v>88.84</v>
      </c>
      <c r="D51" s="6">
        <v>59.39</v>
      </c>
      <c r="E51" s="6">
        <v>100</v>
      </c>
      <c r="F51" s="6"/>
      <c r="G51" s="6"/>
      <c r="H51" s="6"/>
      <c r="I51" s="6"/>
      <c r="J51" s="6">
        <v>468</v>
      </c>
      <c r="K51" s="6">
        <v>41577.120000000003</v>
      </c>
      <c r="L51" s="6">
        <v>5472</v>
      </c>
      <c r="M51" s="6">
        <v>486132.47999999998</v>
      </c>
      <c r="N51" s="6">
        <f t="shared" si="14"/>
        <v>5940</v>
      </c>
      <c r="O51" s="6">
        <f t="shared" si="15"/>
        <v>527709.6</v>
      </c>
      <c r="P51" s="6">
        <v>124</v>
      </c>
      <c r="Q51" s="6">
        <v>10772</v>
      </c>
      <c r="R51" s="6"/>
      <c r="S51" s="6"/>
      <c r="T51" s="37"/>
      <c r="U51" s="48"/>
    </row>
    <row r="52" spans="1:21" s="1" customFormat="1" hidden="1" outlineLevel="1" x14ac:dyDescent="0.25">
      <c r="A52" s="7" t="s">
        <v>1442</v>
      </c>
      <c r="B52" s="7" t="s">
        <v>1443</v>
      </c>
      <c r="C52" s="14">
        <v>105.76</v>
      </c>
      <c r="D52" s="6">
        <v>3439</v>
      </c>
      <c r="E52" s="6">
        <v>100</v>
      </c>
      <c r="F52" s="6"/>
      <c r="G52" s="6"/>
      <c r="H52" s="6"/>
      <c r="I52" s="6"/>
      <c r="J52" s="6">
        <v>1224</v>
      </c>
      <c r="K52" s="6">
        <v>129450.24000000001</v>
      </c>
      <c r="L52" s="6">
        <v>3600</v>
      </c>
      <c r="M52" s="6">
        <v>380736</v>
      </c>
      <c r="N52" s="6">
        <f t="shared" si="14"/>
        <v>4824</v>
      </c>
      <c r="O52" s="6">
        <f t="shared" si="15"/>
        <v>510186.24000000005</v>
      </c>
      <c r="P52" s="6">
        <v>8</v>
      </c>
      <c r="Q52" s="6">
        <v>857</v>
      </c>
      <c r="R52" s="6">
        <f t="shared" ref="R52:R105" si="16">J52/D52*(D52-180)</f>
        <v>1159.9348647862751</v>
      </c>
      <c r="S52" s="6">
        <f t="shared" ref="S52:S105" si="17">R52*C52</f>
        <v>122674.71129979646</v>
      </c>
      <c r="T52" s="37"/>
      <c r="U52" s="48"/>
    </row>
    <row r="53" spans="1:21" s="1" customFormat="1" hidden="1" outlineLevel="1" x14ac:dyDescent="0.25">
      <c r="A53" s="7" t="s">
        <v>1450</v>
      </c>
      <c r="B53" s="7" t="s">
        <v>1451</v>
      </c>
      <c r="C53" s="14">
        <v>92.01</v>
      </c>
      <c r="D53" s="6"/>
      <c r="E53" s="6">
        <v>100</v>
      </c>
      <c r="F53" s="6"/>
      <c r="G53" s="6"/>
      <c r="H53" s="6"/>
      <c r="I53" s="6"/>
      <c r="J53" s="6">
        <v>561</v>
      </c>
      <c r="K53" s="6">
        <v>51617.61</v>
      </c>
      <c r="L53" s="6">
        <v>3360</v>
      </c>
      <c r="M53" s="6">
        <v>309153.59999999998</v>
      </c>
      <c r="N53" s="6">
        <f t="shared" si="14"/>
        <v>3921</v>
      </c>
      <c r="O53" s="6">
        <f t="shared" si="15"/>
        <v>360771.21</v>
      </c>
      <c r="P53" s="6"/>
      <c r="Q53" s="6"/>
      <c r="R53" s="6"/>
      <c r="S53" s="6"/>
      <c r="T53" s="37"/>
      <c r="U53" s="48"/>
    </row>
    <row r="54" spans="1:21" s="1" customFormat="1" hidden="1" outlineLevel="1" x14ac:dyDescent="0.25">
      <c r="A54" s="7" t="s">
        <v>1518</v>
      </c>
      <c r="B54" s="7" t="s">
        <v>1519</v>
      </c>
      <c r="C54" s="14">
        <v>133.25</v>
      </c>
      <c r="D54" s="6">
        <v>45.52</v>
      </c>
      <c r="E54" s="6">
        <v>100</v>
      </c>
      <c r="F54" s="6"/>
      <c r="G54" s="6"/>
      <c r="H54" s="6"/>
      <c r="I54" s="6"/>
      <c r="J54" s="6">
        <v>312</v>
      </c>
      <c r="K54" s="6">
        <v>41574</v>
      </c>
      <c r="L54" s="6"/>
      <c r="M54" s="6"/>
      <c r="N54" s="6">
        <f t="shared" si="14"/>
        <v>312</v>
      </c>
      <c r="O54" s="6">
        <f t="shared" si="15"/>
        <v>41574</v>
      </c>
      <c r="P54" s="6">
        <v>156</v>
      </c>
      <c r="Q54" s="6">
        <v>20598</v>
      </c>
      <c r="R54" s="6"/>
      <c r="S54" s="6"/>
      <c r="T54" s="37"/>
      <c r="U54" s="48"/>
    </row>
    <row r="55" spans="1:21" s="1" customFormat="1" hidden="1" outlineLevel="1" x14ac:dyDescent="0.25">
      <c r="A55" s="7" t="s">
        <v>1418</v>
      </c>
      <c r="B55" s="7" t="s">
        <v>1419</v>
      </c>
      <c r="C55" s="14">
        <v>227</v>
      </c>
      <c r="D55" s="6">
        <v>739.39</v>
      </c>
      <c r="E55" s="6">
        <v>100</v>
      </c>
      <c r="F55" s="6"/>
      <c r="G55" s="6"/>
      <c r="H55" s="6"/>
      <c r="I55" s="6"/>
      <c r="J55" s="6">
        <v>8904</v>
      </c>
      <c r="K55" s="6">
        <v>2021208</v>
      </c>
      <c r="L55" s="6">
        <v>1920</v>
      </c>
      <c r="M55" s="6">
        <v>435840</v>
      </c>
      <c r="N55" s="6">
        <f t="shared" si="14"/>
        <v>10824</v>
      </c>
      <c r="O55" s="6">
        <f t="shared" si="15"/>
        <v>2457048</v>
      </c>
      <c r="P55" s="6">
        <v>348</v>
      </c>
      <c r="Q55" s="6">
        <v>81281</v>
      </c>
      <c r="R55" s="6">
        <f t="shared" si="16"/>
        <v>6736.3753364259719</v>
      </c>
      <c r="S55" s="6">
        <f t="shared" si="17"/>
        <v>1529157.2013686956</v>
      </c>
      <c r="T55" s="37"/>
      <c r="U55" s="48"/>
    </row>
    <row r="56" spans="1:21" s="1" customFormat="1" hidden="1" outlineLevel="1" x14ac:dyDescent="0.25">
      <c r="A56" s="7" t="s">
        <v>1570</v>
      </c>
      <c r="B56" s="7" t="s">
        <v>1571</v>
      </c>
      <c r="C56" s="14">
        <v>951.81</v>
      </c>
      <c r="D56" s="6">
        <v>1803.36</v>
      </c>
      <c r="E56" s="6">
        <v>100</v>
      </c>
      <c r="F56" s="6"/>
      <c r="G56" s="6"/>
      <c r="H56" s="6">
        <v>80</v>
      </c>
      <c r="I56" s="6">
        <v>76144.800000000003</v>
      </c>
      <c r="J56" s="6">
        <v>840</v>
      </c>
      <c r="K56" s="6">
        <v>799520.4</v>
      </c>
      <c r="L56" s="6"/>
      <c r="M56" s="6"/>
      <c r="N56" s="6">
        <f t="shared" si="14"/>
        <v>920</v>
      </c>
      <c r="O56" s="6">
        <f t="shared" si="15"/>
        <v>875665.2</v>
      </c>
      <c r="P56" s="6">
        <v>39</v>
      </c>
      <c r="Q56" s="6">
        <v>34533</v>
      </c>
      <c r="R56" s="6">
        <f t="shared" si="16"/>
        <v>756.15650785200955</v>
      </c>
      <c r="S56" s="6">
        <f t="shared" si="17"/>
        <v>719717.32573862118</v>
      </c>
      <c r="T56" s="37"/>
      <c r="U56" s="48"/>
    </row>
    <row r="57" spans="1:21" s="1" customFormat="1" hidden="1" outlineLevel="1" x14ac:dyDescent="0.25">
      <c r="A57" s="7" t="s">
        <v>1552</v>
      </c>
      <c r="B57" s="7" t="s">
        <v>1553</v>
      </c>
      <c r="C57" s="14">
        <v>148.06</v>
      </c>
      <c r="D57" s="6">
        <v>31.81</v>
      </c>
      <c r="E57" s="6">
        <v>65.59</v>
      </c>
      <c r="F57" s="6"/>
      <c r="G57" s="6"/>
      <c r="H57" s="6"/>
      <c r="I57" s="6"/>
      <c r="J57" s="6">
        <v>108</v>
      </c>
      <c r="K57" s="6">
        <v>15990.48</v>
      </c>
      <c r="L57" s="6"/>
      <c r="M57" s="6"/>
      <c r="N57" s="6">
        <f t="shared" si="14"/>
        <v>108</v>
      </c>
      <c r="O57" s="6">
        <f t="shared" si="15"/>
        <v>15990.48</v>
      </c>
      <c r="P57" s="6">
        <v>100</v>
      </c>
      <c r="Q57" s="6">
        <v>14367</v>
      </c>
      <c r="R57" s="6"/>
      <c r="S57" s="6"/>
      <c r="T57" s="37"/>
      <c r="U57" s="48"/>
    </row>
    <row r="58" spans="1:21" s="1" customFormat="1" hidden="1" outlineLevel="1" x14ac:dyDescent="0.25">
      <c r="A58" s="7" t="s">
        <v>1474</v>
      </c>
      <c r="B58" s="7" t="s">
        <v>1475</v>
      </c>
      <c r="C58" s="14">
        <v>158.63999999999999</v>
      </c>
      <c r="D58" s="6">
        <v>4</v>
      </c>
      <c r="E58" s="6">
        <v>5.38</v>
      </c>
      <c r="F58" s="6"/>
      <c r="G58" s="6"/>
      <c r="H58" s="6"/>
      <c r="I58" s="6"/>
      <c r="J58" s="6"/>
      <c r="K58" s="6"/>
      <c r="L58" s="6"/>
      <c r="M58" s="6"/>
      <c r="N58" s="6" t="str">
        <f t="shared" si="14"/>
        <v/>
      </c>
      <c r="O58" s="6" t="str">
        <f t="shared" si="15"/>
        <v/>
      </c>
      <c r="P58" s="6"/>
      <c r="Q58" s="6"/>
      <c r="R58" s="6"/>
      <c r="S58" s="6"/>
      <c r="T58" s="37"/>
      <c r="U58" s="48"/>
    </row>
    <row r="59" spans="1:21" s="1" customFormat="1" hidden="1" outlineLevel="1" x14ac:dyDescent="0.25">
      <c r="A59" s="7" t="s">
        <v>1460</v>
      </c>
      <c r="B59" s="7" t="s">
        <v>1461</v>
      </c>
      <c r="C59" s="14">
        <v>89.9</v>
      </c>
      <c r="D59" s="6">
        <v>628.14</v>
      </c>
      <c r="E59" s="6">
        <v>89.25</v>
      </c>
      <c r="F59" s="6"/>
      <c r="G59" s="6"/>
      <c r="H59" s="6"/>
      <c r="I59" s="6"/>
      <c r="J59" s="6">
        <v>407</v>
      </c>
      <c r="K59" s="6">
        <v>36589.300000000003</v>
      </c>
      <c r="L59" s="6">
        <v>3360</v>
      </c>
      <c r="M59" s="6">
        <v>302064</v>
      </c>
      <c r="N59" s="6">
        <f t="shared" si="14"/>
        <v>3767</v>
      </c>
      <c r="O59" s="6">
        <f t="shared" si="15"/>
        <v>338653.30000000005</v>
      </c>
      <c r="P59" s="6">
        <v>24</v>
      </c>
      <c r="Q59" s="6">
        <v>2063</v>
      </c>
      <c r="R59" s="6">
        <f t="shared" si="16"/>
        <v>290.36994937434332</v>
      </c>
      <c r="S59" s="6">
        <f t="shared" si="17"/>
        <v>26104.258448753466</v>
      </c>
      <c r="T59" s="37"/>
      <c r="U59" s="48"/>
    </row>
    <row r="60" spans="1:21" s="1" customFormat="1" hidden="1" outlineLevel="1" x14ac:dyDescent="0.25">
      <c r="A60" s="7" t="s">
        <v>1452</v>
      </c>
      <c r="B60" s="7" t="s">
        <v>1453</v>
      </c>
      <c r="C60" s="14">
        <v>92.01</v>
      </c>
      <c r="D60" s="6">
        <v>39.5</v>
      </c>
      <c r="E60" s="6">
        <v>100</v>
      </c>
      <c r="F60" s="6"/>
      <c r="G60" s="6"/>
      <c r="H60" s="6"/>
      <c r="I60" s="6"/>
      <c r="J60" s="6">
        <v>264</v>
      </c>
      <c r="K60" s="6">
        <v>24290.639999999999</v>
      </c>
      <c r="L60" s="6">
        <v>3600</v>
      </c>
      <c r="M60" s="6">
        <v>331236</v>
      </c>
      <c r="N60" s="6">
        <f t="shared" si="14"/>
        <v>3864</v>
      </c>
      <c r="O60" s="6">
        <f t="shared" si="15"/>
        <v>355526.64</v>
      </c>
      <c r="P60" s="6">
        <v>288</v>
      </c>
      <c r="Q60" s="6">
        <v>25297</v>
      </c>
      <c r="R60" s="6"/>
      <c r="S60" s="6"/>
      <c r="T60" s="37"/>
      <c r="U60" s="48"/>
    </row>
    <row r="61" spans="1:21" s="1" customFormat="1" hidden="1" outlineLevel="1" x14ac:dyDescent="0.25">
      <c r="A61" s="7" t="s">
        <v>1554</v>
      </c>
      <c r="B61" s="7" t="s">
        <v>1555</v>
      </c>
      <c r="C61" s="14">
        <v>148.06</v>
      </c>
      <c r="D61" s="6">
        <v>75.39</v>
      </c>
      <c r="E61" s="6">
        <v>96.77</v>
      </c>
      <c r="F61" s="6"/>
      <c r="G61" s="6"/>
      <c r="H61" s="6"/>
      <c r="I61" s="6"/>
      <c r="J61" s="6">
        <v>324</v>
      </c>
      <c r="K61" s="6">
        <v>47971.44</v>
      </c>
      <c r="L61" s="6"/>
      <c r="M61" s="6"/>
      <c r="N61" s="6">
        <f t="shared" si="14"/>
        <v>324</v>
      </c>
      <c r="O61" s="6">
        <f t="shared" si="15"/>
        <v>47971.44</v>
      </c>
      <c r="P61" s="6">
        <v>60</v>
      </c>
      <c r="Q61" s="6">
        <v>8644</v>
      </c>
      <c r="R61" s="6"/>
      <c r="S61" s="6"/>
      <c r="T61" s="37"/>
      <c r="U61" s="48"/>
    </row>
    <row r="62" spans="1:21" s="1" customFormat="1" hidden="1" outlineLevel="1" x14ac:dyDescent="0.25">
      <c r="A62" s="7" t="s">
        <v>1524</v>
      </c>
      <c r="B62" s="7" t="s">
        <v>1525</v>
      </c>
      <c r="C62" s="14">
        <v>133.25</v>
      </c>
      <c r="D62" s="6">
        <v>242.52</v>
      </c>
      <c r="E62" s="6">
        <v>100</v>
      </c>
      <c r="F62" s="6"/>
      <c r="G62" s="6"/>
      <c r="H62" s="6"/>
      <c r="I62" s="6"/>
      <c r="J62" s="6">
        <v>1548</v>
      </c>
      <c r="K62" s="6">
        <v>206271</v>
      </c>
      <c r="L62" s="6"/>
      <c r="M62" s="6"/>
      <c r="N62" s="6">
        <f t="shared" si="14"/>
        <v>1548</v>
      </c>
      <c r="O62" s="6">
        <f t="shared" si="15"/>
        <v>206271</v>
      </c>
      <c r="P62" s="6">
        <v>68</v>
      </c>
      <c r="Q62" s="6">
        <v>9366</v>
      </c>
      <c r="R62" s="6">
        <f t="shared" si="16"/>
        <v>399.06382978723411</v>
      </c>
      <c r="S62" s="6">
        <f t="shared" si="17"/>
        <v>53175.255319148942</v>
      </c>
      <c r="T62" s="37"/>
      <c r="U62" s="48"/>
    </row>
    <row r="63" spans="1:21" s="1" customFormat="1" hidden="1" outlineLevel="1" x14ac:dyDescent="0.25">
      <c r="A63" s="7" t="s">
        <v>1472</v>
      </c>
      <c r="B63" s="7" t="s">
        <v>1473</v>
      </c>
      <c r="C63" s="14">
        <v>95.18</v>
      </c>
      <c r="D63" s="6"/>
      <c r="E63" s="6">
        <v>62.37</v>
      </c>
      <c r="F63" s="6"/>
      <c r="G63" s="6"/>
      <c r="H63" s="6"/>
      <c r="I63" s="6"/>
      <c r="J63" s="6"/>
      <c r="K63" s="6"/>
      <c r="L63" s="6">
        <v>1200</v>
      </c>
      <c r="M63" s="6">
        <v>114216</v>
      </c>
      <c r="N63" s="6">
        <f t="shared" si="14"/>
        <v>1200</v>
      </c>
      <c r="O63" s="6">
        <f t="shared" si="15"/>
        <v>114216.00000000001</v>
      </c>
      <c r="P63" s="6"/>
      <c r="Q63" s="6"/>
      <c r="R63" s="6"/>
      <c r="S63" s="6"/>
      <c r="T63" s="37"/>
      <c r="U63" s="48"/>
    </row>
    <row r="64" spans="1:21" s="1" customFormat="1" hidden="1" outlineLevel="1" x14ac:dyDescent="0.25">
      <c r="A64" s="7" t="s">
        <v>1548</v>
      </c>
      <c r="B64" s="7" t="s">
        <v>1549</v>
      </c>
      <c r="C64" s="14">
        <v>148.06</v>
      </c>
      <c r="D64" s="6">
        <v>87.94</v>
      </c>
      <c r="E64" s="6">
        <v>100</v>
      </c>
      <c r="F64" s="6"/>
      <c r="G64" s="6"/>
      <c r="H64" s="6"/>
      <c r="I64" s="6"/>
      <c r="J64" s="6">
        <v>264</v>
      </c>
      <c r="K64" s="6">
        <v>39087.839999999997</v>
      </c>
      <c r="L64" s="6"/>
      <c r="M64" s="6"/>
      <c r="N64" s="6">
        <f t="shared" si="14"/>
        <v>264</v>
      </c>
      <c r="O64" s="6">
        <f t="shared" si="15"/>
        <v>39087.840000000004</v>
      </c>
      <c r="P64" s="6">
        <v>52</v>
      </c>
      <c r="Q64" s="6">
        <v>7529</v>
      </c>
      <c r="R64" s="6"/>
      <c r="S64" s="6"/>
      <c r="T64" s="37"/>
      <c r="U64" s="48"/>
    </row>
    <row r="65" spans="1:21" s="1" customFormat="1" hidden="1" outlineLevel="1" x14ac:dyDescent="0.25">
      <c r="A65" s="7" t="s">
        <v>1361</v>
      </c>
      <c r="B65" s="7" t="s">
        <v>1362</v>
      </c>
      <c r="C65" s="14">
        <v>150.18</v>
      </c>
      <c r="D65" s="6">
        <v>87.04</v>
      </c>
      <c r="E65" s="6">
        <v>100</v>
      </c>
      <c r="F65" s="6"/>
      <c r="G65" s="6"/>
      <c r="H65" s="6"/>
      <c r="I65" s="6"/>
      <c r="J65" s="6">
        <v>300</v>
      </c>
      <c r="K65" s="6">
        <v>45054</v>
      </c>
      <c r="L65" s="6"/>
      <c r="M65" s="6"/>
      <c r="N65" s="6">
        <f t="shared" si="14"/>
        <v>300</v>
      </c>
      <c r="O65" s="6">
        <f t="shared" si="15"/>
        <v>45054</v>
      </c>
      <c r="P65" s="6">
        <v>48</v>
      </c>
      <c r="Q65" s="6">
        <v>7232</v>
      </c>
      <c r="R65" s="6"/>
      <c r="S65" s="6"/>
      <c r="T65" s="37"/>
      <c r="U65" s="48"/>
    </row>
    <row r="66" spans="1:21" s="1" customFormat="1" hidden="1" outlineLevel="1" x14ac:dyDescent="0.25">
      <c r="A66" s="7" t="s">
        <v>1480</v>
      </c>
      <c r="B66" s="7" t="s">
        <v>1481</v>
      </c>
      <c r="C66" s="14">
        <v>148.06</v>
      </c>
      <c r="D66" s="6">
        <v>142.75</v>
      </c>
      <c r="E66" s="6">
        <v>100</v>
      </c>
      <c r="F66" s="6"/>
      <c r="G66" s="6"/>
      <c r="H66" s="6"/>
      <c r="I66" s="6"/>
      <c r="J66" s="6">
        <v>708</v>
      </c>
      <c r="K66" s="6">
        <v>104826.48</v>
      </c>
      <c r="L66" s="6"/>
      <c r="M66" s="6"/>
      <c r="N66" s="6">
        <f t="shared" si="14"/>
        <v>708</v>
      </c>
      <c r="O66" s="6">
        <f t="shared" si="15"/>
        <v>104826.48</v>
      </c>
      <c r="P66" s="6">
        <v>64</v>
      </c>
      <c r="Q66" s="6">
        <v>9674</v>
      </c>
      <c r="R66" s="6"/>
      <c r="S66" s="6"/>
      <c r="T66" s="37"/>
      <c r="U66" s="48"/>
    </row>
    <row r="67" spans="1:21" s="1" customFormat="1" hidden="1" outlineLevel="1" x14ac:dyDescent="0.25">
      <c r="A67" s="7" t="s">
        <v>1520</v>
      </c>
      <c r="B67" s="7" t="s">
        <v>1521</v>
      </c>
      <c r="C67" s="14">
        <v>133.25</v>
      </c>
      <c r="D67" s="6">
        <v>1714.25</v>
      </c>
      <c r="E67" s="6">
        <v>100</v>
      </c>
      <c r="F67" s="6"/>
      <c r="G67" s="6"/>
      <c r="H67" s="6"/>
      <c r="I67" s="6"/>
      <c r="J67" s="6">
        <v>876</v>
      </c>
      <c r="K67" s="6">
        <v>116727</v>
      </c>
      <c r="L67" s="6"/>
      <c r="M67" s="6"/>
      <c r="N67" s="6">
        <f t="shared" si="14"/>
        <v>876</v>
      </c>
      <c r="O67" s="6">
        <f t="shared" si="15"/>
        <v>116727</v>
      </c>
      <c r="P67" s="6">
        <v>16</v>
      </c>
      <c r="Q67" s="6">
        <v>2254</v>
      </c>
      <c r="R67" s="6">
        <f t="shared" si="16"/>
        <v>784.01808371007724</v>
      </c>
      <c r="S67" s="6">
        <f t="shared" si="17"/>
        <v>104470.40965436779</v>
      </c>
      <c r="T67" s="37"/>
      <c r="U67" s="48"/>
    </row>
    <row r="68" spans="1:21" s="1" customFormat="1" hidden="1" outlineLevel="1" x14ac:dyDescent="0.25">
      <c r="A68" s="7" t="s">
        <v>1550</v>
      </c>
      <c r="B68" s="7" t="s">
        <v>1551</v>
      </c>
      <c r="C68" s="14">
        <v>148.06</v>
      </c>
      <c r="D68" s="6">
        <v>289.17</v>
      </c>
      <c r="E68" s="6">
        <v>100</v>
      </c>
      <c r="F68" s="6"/>
      <c r="G68" s="6"/>
      <c r="H68" s="6"/>
      <c r="I68" s="6"/>
      <c r="J68" s="6">
        <v>276</v>
      </c>
      <c r="K68" s="6">
        <v>40864.559999999998</v>
      </c>
      <c r="L68" s="6"/>
      <c r="M68" s="6"/>
      <c r="N68" s="6">
        <f t="shared" si="14"/>
        <v>276</v>
      </c>
      <c r="O68" s="6">
        <f t="shared" si="15"/>
        <v>40864.559999999998</v>
      </c>
      <c r="P68" s="6">
        <v>24</v>
      </c>
      <c r="Q68" s="6">
        <v>3460</v>
      </c>
      <c r="R68" s="6">
        <f t="shared" si="16"/>
        <v>104.19794584500468</v>
      </c>
      <c r="S68" s="6">
        <f t="shared" si="17"/>
        <v>15427.547861811394</v>
      </c>
      <c r="T68" s="37"/>
      <c r="U68" s="48"/>
    </row>
    <row r="69" spans="1:21" s="1" customFormat="1" hidden="1" outlineLevel="1" x14ac:dyDescent="0.25">
      <c r="A69" s="7" t="s">
        <v>1556</v>
      </c>
      <c r="B69" s="7" t="s">
        <v>1557</v>
      </c>
      <c r="C69" s="14">
        <v>93.07</v>
      </c>
      <c r="D69" s="6">
        <v>61.53</v>
      </c>
      <c r="E69" s="6">
        <v>73.12</v>
      </c>
      <c r="F69" s="6"/>
      <c r="G69" s="6"/>
      <c r="H69" s="6"/>
      <c r="I69" s="6"/>
      <c r="J69" s="6"/>
      <c r="K69" s="6"/>
      <c r="L69" s="6"/>
      <c r="M69" s="6"/>
      <c r="N69" s="6" t="str">
        <f t="shared" si="14"/>
        <v/>
      </c>
      <c r="O69" s="6" t="str">
        <f t="shared" si="15"/>
        <v/>
      </c>
      <c r="P69" s="6">
        <v>76</v>
      </c>
      <c r="Q69" s="6">
        <v>7163</v>
      </c>
      <c r="R69" s="6"/>
      <c r="S69" s="6"/>
      <c r="T69" s="37"/>
      <c r="U69" s="48"/>
    </row>
    <row r="70" spans="1:21" s="1" customFormat="1" hidden="1" outlineLevel="1" x14ac:dyDescent="0.25">
      <c r="A70" s="7" t="s">
        <v>1532</v>
      </c>
      <c r="B70" s="7" t="s">
        <v>1533</v>
      </c>
      <c r="C70" s="14">
        <v>148.06</v>
      </c>
      <c r="D70" s="6">
        <v>62.05</v>
      </c>
      <c r="E70" s="6">
        <v>50.54</v>
      </c>
      <c r="F70" s="6"/>
      <c r="G70" s="6"/>
      <c r="H70" s="6"/>
      <c r="I70" s="6"/>
      <c r="J70" s="6">
        <v>480</v>
      </c>
      <c r="K70" s="6">
        <v>71068.800000000003</v>
      </c>
      <c r="L70" s="6"/>
      <c r="M70" s="6"/>
      <c r="N70" s="6">
        <f t="shared" si="14"/>
        <v>480</v>
      </c>
      <c r="O70" s="6">
        <f t="shared" si="15"/>
        <v>71068.800000000003</v>
      </c>
      <c r="P70" s="6">
        <v>20</v>
      </c>
      <c r="Q70" s="6">
        <v>2830</v>
      </c>
      <c r="R70" s="6"/>
      <c r="S70" s="6"/>
      <c r="T70" s="37"/>
      <c r="U70" s="48"/>
    </row>
    <row r="71" spans="1:21" s="1" customFormat="1" hidden="1" outlineLevel="1" x14ac:dyDescent="0.25">
      <c r="A71" s="7" t="s">
        <v>1528</v>
      </c>
      <c r="B71" s="7" t="s">
        <v>1529</v>
      </c>
      <c r="C71" s="14">
        <v>169.21</v>
      </c>
      <c r="D71" s="6">
        <v>312.5</v>
      </c>
      <c r="E71" s="6">
        <v>100</v>
      </c>
      <c r="F71" s="6"/>
      <c r="G71" s="6"/>
      <c r="H71" s="6"/>
      <c r="I71" s="6"/>
      <c r="J71" s="6">
        <v>408</v>
      </c>
      <c r="K71" s="6">
        <v>69037.679999999993</v>
      </c>
      <c r="L71" s="6"/>
      <c r="M71" s="6"/>
      <c r="N71" s="6">
        <f t="shared" si="14"/>
        <v>408</v>
      </c>
      <c r="O71" s="6">
        <f t="shared" si="15"/>
        <v>69037.680000000008</v>
      </c>
      <c r="P71" s="6">
        <v>16</v>
      </c>
      <c r="Q71" s="6">
        <v>2850</v>
      </c>
      <c r="R71" s="6">
        <f t="shared" si="16"/>
        <v>172.99200000000002</v>
      </c>
      <c r="S71" s="6">
        <f t="shared" si="17"/>
        <v>29271.976320000005</v>
      </c>
      <c r="T71" s="37"/>
      <c r="U71" s="48"/>
    </row>
    <row r="72" spans="1:21" s="1" customFormat="1" hidden="1" outlineLevel="1" x14ac:dyDescent="0.25">
      <c r="A72" s="7" t="s">
        <v>1508</v>
      </c>
      <c r="B72" s="7" t="s">
        <v>1509</v>
      </c>
      <c r="C72" s="14">
        <v>133.25</v>
      </c>
      <c r="D72" s="6">
        <v>62.5</v>
      </c>
      <c r="E72" s="6">
        <v>56.99</v>
      </c>
      <c r="F72" s="6"/>
      <c r="G72" s="6"/>
      <c r="H72" s="6"/>
      <c r="I72" s="6"/>
      <c r="J72" s="6">
        <v>240</v>
      </c>
      <c r="K72" s="6">
        <v>31980</v>
      </c>
      <c r="L72" s="6"/>
      <c r="M72" s="6"/>
      <c r="N72" s="6">
        <f t="shared" si="14"/>
        <v>240</v>
      </c>
      <c r="O72" s="6">
        <f t="shared" si="15"/>
        <v>31980</v>
      </c>
      <c r="P72" s="6">
        <v>80</v>
      </c>
      <c r="Q72" s="6">
        <v>10993</v>
      </c>
      <c r="R72" s="6"/>
      <c r="S72" s="6"/>
      <c r="T72" s="37"/>
      <c r="U72" s="48"/>
    </row>
    <row r="73" spans="1:21" s="1" customFormat="1" hidden="1" outlineLevel="1" x14ac:dyDescent="0.25">
      <c r="A73" s="7" t="s">
        <v>1438</v>
      </c>
      <c r="B73" s="7" t="s">
        <v>1439</v>
      </c>
      <c r="C73" s="14">
        <v>153.35</v>
      </c>
      <c r="D73" s="6"/>
      <c r="E73" s="6">
        <v>62.37</v>
      </c>
      <c r="F73" s="6"/>
      <c r="G73" s="6"/>
      <c r="H73" s="6"/>
      <c r="I73" s="6"/>
      <c r="J73" s="6"/>
      <c r="K73" s="6"/>
      <c r="L73" s="6"/>
      <c r="M73" s="6"/>
      <c r="N73" s="6" t="str">
        <f t="shared" si="14"/>
        <v/>
      </c>
      <c r="O73" s="6" t="str">
        <f t="shared" si="15"/>
        <v/>
      </c>
      <c r="P73" s="6"/>
      <c r="Q73" s="6"/>
      <c r="R73" s="6"/>
      <c r="S73" s="6"/>
      <c r="T73" s="37"/>
      <c r="U73" s="48"/>
    </row>
    <row r="74" spans="1:21" s="1" customFormat="1" hidden="1" outlineLevel="1" x14ac:dyDescent="0.25">
      <c r="A74" s="7" t="s">
        <v>1354</v>
      </c>
      <c r="B74" s="7" t="s">
        <v>1603</v>
      </c>
      <c r="C74" s="14">
        <v>135.37</v>
      </c>
      <c r="D74" s="6"/>
      <c r="E74" s="6">
        <v>100</v>
      </c>
      <c r="F74" s="6"/>
      <c r="G74" s="6"/>
      <c r="H74" s="6"/>
      <c r="I74" s="6"/>
      <c r="J74" s="6">
        <v>300</v>
      </c>
      <c r="K74" s="6">
        <v>40611</v>
      </c>
      <c r="L74" s="6">
        <v>1800</v>
      </c>
      <c r="M74" s="6">
        <v>243666</v>
      </c>
      <c r="N74" s="6">
        <f t="shared" si="14"/>
        <v>2100</v>
      </c>
      <c r="O74" s="6">
        <f t="shared" si="15"/>
        <v>284277</v>
      </c>
      <c r="P74" s="6"/>
      <c r="Q74" s="6"/>
      <c r="R74" s="6"/>
      <c r="S74" s="6"/>
      <c r="T74" s="37"/>
      <c r="U74" s="48"/>
    </row>
    <row r="75" spans="1:21" s="1" customFormat="1" hidden="1" outlineLevel="1" x14ac:dyDescent="0.25">
      <c r="A75" s="7" t="s">
        <v>1420</v>
      </c>
      <c r="B75" s="7" t="s">
        <v>1421</v>
      </c>
      <c r="C75" s="14">
        <v>240</v>
      </c>
      <c r="D75" s="6">
        <v>421.87</v>
      </c>
      <c r="E75" s="6">
        <v>100</v>
      </c>
      <c r="F75" s="6"/>
      <c r="G75" s="6"/>
      <c r="H75" s="6"/>
      <c r="I75" s="6"/>
      <c r="J75" s="6">
        <v>2268</v>
      </c>
      <c r="K75" s="6">
        <v>544320</v>
      </c>
      <c r="L75" s="6"/>
      <c r="M75" s="6"/>
      <c r="N75" s="6">
        <f t="shared" si="14"/>
        <v>2268</v>
      </c>
      <c r="O75" s="6">
        <f t="shared" si="15"/>
        <v>544320</v>
      </c>
      <c r="P75" s="6">
        <v>164</v>
      </c>
      <c r="Q75" s="6">
        <v>44657</v>
      </c>
      <c r="R75" s="6">
        <f t="shared" si="16"/>
        <v>1300.3085310640718</v>
      </c>
      <c r="S75" s="6">
        <f t="shared" si="17"/>
        <v>312074.04745537724</v>
      </c>
      <c r="T75" s="37"/>
      <c r="U75" s="48"/>
    </row>
    <row r="76" spans="1:21" s="1" customFormat="1" hidden="1" outlineLevel="1" x14ac:dyDescent="0.25">
      <c r="A76" s="7" t="s">
        <v>1544</v>
      </c>
      <c r="B76" s="7" t="s">
        <v>1545</v>
      </c>
      <c r="C76" s="14">
        <v>148.06</v>
      </c>
      <c r="D76" s="6">
        <v>226.83</v>
      </c>
      <c r="E76" s="6">
        <v>100</v>
      </c>
      <c r="F76" s="6"/>
      <c r="G76" s="6"/>
      <c r="H76" s="6"/>
      <c r="I76" s="6"/>
      <c r="J76" s="6">
        <v>300</v>
      </c>
      <c r="K76" s="6">
        <v>44418</v>
      </c>
      <c r="L76" s="6"/>
      <c r="M76" s="6"/>
      <c r="N76" s="6">
        <f t="shared" si="14"/>
        <v>300</v>
      </c>
      <c r="O76" s="6">
        <f t="shared" si="15"/>
        <v>44418</v>
      </c>
      <c r="P76" s="6">
        <v>16</v>
      </c>
      <c r="Q76" s="6">
        <v>2264</v>
      </c>
      <c r="R76" s="6">
        <f t="shared" si="16"/>
        <v>61.936251818542537</v>
      </c>
      <c r="S76" s="6">
        <f t="shared" si="17"/>
        <v>9170.2814442534091</v>
      </c>
      <c r="T76" s="37"/>
      <c r="U76" s="48"/>
    </row>
    <row r="77" spans="1:21" s="1" customFormat="1" hidden="1" outlineLevel="1" x14ac:dyDescent="0.25">
      <c r="A77" s="7" t="s">
        <v>1562</v>
      </c>
      <c r="B77" s="7" t="s">
        <v>1563</v>
      </c>
      <c r="C77" s="14">
        <v>941.24</v>
      </c>
      <c r="D77" s="6">
        <v>115.9</v>
      </c>
      <c r="E77" s="6">
        <v>100</v>
      </c>
      <c r="F77" s="6"/>
      <c r="G77" s="6"/>
      <c r="H77" s="6"/>
      <c r="I77" s="6"/>
      <c r="J77" s="6">
        <v>625</v>
      </c>
      <c r="K77" s="6">
        <v>588275</v>
      </c>
      <c r="L77" s="6"/>
      <c r="M77" s="6"/>
      <c r="N77" s="6">
        <f t="shared" si="14"/>
        <v>625</v>
      </c>
      <c r="O77" s="6">
        <f t="shared" si="15"/>
        <v>588275</v>
      </c>
      <c r="P77" s="6">
        <v>111</v>
      </c>
      <c r="Q77" s="6">
        <v>98547</v>
      </c>
      <c r="R77" s="6"/>
      <c r="S77" s="6"/>
      <c r="T77" s="37"/>
      <c r="U77" s="48"/>
    </row>
    <row r="78" spans="1:21" s="1" customFormat="1" hidden="1" outlineLevel="1" x14ac:dyDescent="0.25">
      <c r="A78" s="7" t="s">
        <v>1542</v>
      </c>
      <c r="B78" s="7" t="s">
        <v>1543</v>
      </c>
      <c r="C78" s="14">
        <v>148.06</v>
      </c>
      <c r="D78" s="6">
        <v>80.33</v>
      </c>
      <c r="E78" s="6">
        <v>100</v>
      </c>
      <c r="F78" s="6"/>
      <c r="G78" s="6"/>
      <c r="H78" s="6"/>
      <c r="I78" s="6"/>
      <c r="J78" s="6">
        <v>120</v>
      </c>
      <c r="K78" s="6">
        <v>17767.2</v>
      </c>
      <c r="L78" s="6"/>
      <c r="M78" s="6"/>
      <c r="N78" s="6">
        <f t="shared" si="14"/>
        <v>120</v>
      </c>
      <c r="O78" s="6">
        <f t="shared" si="15"/>
        <v>17767.2</v>
      </c>
      <c r="P78" s="6">
        <v>60</v>
      </c>
      <c r="Q78" s="6">
        <v>8790</v>
      </c>
      <c r="R78" s="6"/>
      <c r="S78" s="6"/>
      <c r="T78" s="37"/>
      <c r="U78" s="48"/>
    </row>
    <row r="79" spans="1:21" s="1" customFormat="1" hidden="1" outlineLevel="1" x14ac:dyDescent="0.25">
      <c r="A79" s="7" t="s">
        <v>1574</v>
      </c>
      <c r="B79" s="7" t="s">
        <v>1575</v>
      </c>
      <c r="C79" s="14">
        <v>951.81</v>
      </c>
      <c r="D79" s="6">
        <v>29.01</v>
      </c>
      <c r="E79" s="6">
        <v>100</v>
      </c>
      <c r="F79" s="6"/>
      <c r="G79" s="6"/>
      <c r="H79" s="6"/>
      <c r="I79" s="6"/>
      <c r="J79" s="6">
        <v>7</v>
      </c>
      <c r="K79" s="6">
        <v>6662.67</v>
      </c>
      <c r="L79" s="6"/>
      <c r="M79" s="6"/>
      <c r="N79" s="6">
        <f t="shared" si="14"/>
        <v>7</v>
      </c>
      <c r="O79" s="6">
        <f t="shared" si="15"/>
        <v>6662.67</v>
      </c>
      <c r="P79" s="6">
        <v>23</v>
      </c>
      <c r="Q79" s="6">
        <v>21356</v>
      </c>
      <c r="R79" s="6"/>
      <c r="S79" s="6"/>
      <c r="T79" s="37"/>
      <c r="U79" s="48"/>
    </row>
    <row r="80" spans="1:21" s="1" customFormat="1" hidden="1" outlineLevel="1" x14ac:dyDescent="0.25">
      <c r="A80" s="7" t="s">
        <v>1502</v>
      </c>
      <c r="B80" s="7" t="s">
        <v>1503</v>
      </c>
      <c r="C80" s="14">
        <v>133.25</v>
      </c>
      <c r="D80" s="6">
        <v>262.77999999999997</v>
      </c>
      <c r="E80" s="6">
        <v>100</v>
      </c>
      <c r="F80" s="6"/>
      <c r="G80" s="6"/>
      <c r="H80" s="6"/>
      <c r="I80" s="6"/>
      <c r="J80" s="6">
        <v>588</v>
      </c>
      <c r="K80" s="6">
        <v>78351</v>
      </c>
      <c r="L80" s="6"/>
      <c r="M80" s="6"/>
      <c r="N80" s="6">
        <f t="shared" si="14"/>
        <v>588</v>
      </c>
      <c r="O80" s="6">
        <f t="shared" si="15"/>
        <v>78351</v>
      </c>
      <c r="P80" s="6">
        <v>32</v>
      </c>
      <c r="Q80" s="6">
        <v>4393</v>
      </c>
      <c r="R80" s="6">
        <f t="shared" si="16"/>
        <v>185.22962173681404</v>
      </c>
      <c r="S80" s="6">
        <f t="shared" si="17"/>
        <v>24681.847096430472</v>
      </c>
      <c r="T80" s="37"/>
      <c r="U80" s="48"/>
    </row>
    <row r="81" spans="1:21" s="1" customFormat="1" hidden="1" outlineLevel="1" x14ac:dyDescent="0.25">
      <c r="A81" s="7" t="s">
        <v>1536</v>
      </c>
      <c r="B81" s="7" t="s">
        <v>1537</v>
      </c>
      <c r="C81" s="14">
        <v>148.06</v>
      </c>
      <c r="D81" s="6">
        <v>262.57</v>
      </c>
      <c r="E81" s="6">
        <v>100</v>
      </c>
      <c r="F81" s="6"/>
      <c r="G81" s="6"/>
      <c r="H81" s="6"/>
      <c r="I81" s="6"/>
      <c r="J81" s="6">
        <v>216</v>
      </c>
      <c r="K81" s="6">
        <v>31980.959999999999</v>
      </c>
      <c r="L81" s="6"/>
      <c r="M81" s="6"/>
      <c r="N81" s="6">
        <f t="shared" si="14"/>
        <v>216</v>
      </c>
      <c r="O81" s="6">
        <f t="shared" si="15"/>
        <v>31980.959999999999</v>
      </c>
      <c r="P81" s="6">
        <v>28</v>
      </c>
      <c r="Q81" s="6">
        <v>4026</v>
      </c>
      <c r="R81" s="6">
        <f t="shared" si="16"/>
        <v>67.925200898807944</v>
      </c>
      <c r="S81" s="6">
        <f t="shared" si="17"/>
        <v>10057.005245077504</v>
      </c>
      <c r="T81" s="37"/>
      <c r="U81" s="48"/>
    </row>
    <row r="82" spans="1:21" s="1" customFormat="1" hidden="1" outlineLevel="1" x14ac:dyDescent="0.25">
      <c r="A82" s="7" t="s">
        <v>1546</v>
      </c>
      <c r="B82" s="7" t="s">
        <v>1547</v>
      </c>
      <c r="C82" s="14">
        <v>148.06</v>
      </c>
      <c r="D82" s="6">
        <v>158.88</v>
      </c>
      <c r="E82" s="6">
        <v>100</v>
      </c>
      <c r="F82" s="6"/>
      <c r="G82" s="6"/>
      <c r="H82" s="6"/>
      <c r="I82" s="6"/>
      <c r="J82" s="6">
        <v>240</v>
      </c>
      <c r="K82" s="6">
        <v>35534.400000000001</v>
      </c>
      <c r="L82" s="6"/>
      <c r="M82" s="6"/>
      <c r="N82" s="6">
        <f t="shared" si="14"/>
        <v>240</v>
      </c>
      <c r="O82" s="6">
        <f t="shared" si="15"/>
        <v>35534.400000000001</v>
      </c>
      <c r="P82" s="6">
        <v>24</v>
      </c>
      <c r="Q82" s="6">
        <v>3396</v>
      </c>
      <c r="R82" s="6"/>
      <c r="S82" s="6"/>
      <c r="T82" s="37"/>
      <c r="U82" s="48"/>
    </row>
    <row r="83" spans="1:21" s="1" customFormat="1" hidden="1" outlineLevel="1" x14ac:dyDescent="0.25">
      <c r="A83" s="7" t="s">
        <v>1440</v>
      </c>
      <c r="B83" s="7" t="s">
        <v>1441</v>
      </c>
      <c r="C83" s="14">
        <v>105.76</v>
      </c>
      <c r="D83" s="6"/>
      <c r="E83" s="6">
        <v>89.25</v>
      </c>
      <c r="F83" s="6"/>
      <c r="G83" s="6"/>
      <c r="H83" s="6"/>
      <c r="I83" s="6"/>
      <c r="J83" s="6">
        <v>240</v>
      </c>
      <c r="K83" s="6">
        <v>25382.400000000001</v>
      </c>
      <c r="L83" s="6">
        <v>1200</v>
      </c>
      <c r="M83" s="6">
        <v>126912</v>
      </c>
      <c r="N83" s="6">
        <f t="shared" si="14"/>
        <v>1440</v>
      </c>
      <c r="O83" s="6">
        <f t="shared" si="15"/>
        <v>152294.39999999999</v>
      </c>
      <c r="P83" s="6"/>
      <c r="Q83" s="6"/>
      <c r="R83" s="6"/>
      <c r="S83" s="6"/>
      <c r="T83" s="37"/>
      <c r="U83" s="48"/>
    </row>
    <row r="84" spans="1:21" s="1" customFormat="1" hidden="1" outlineLevel="1" x14ac:dyDescent="0.25">
      <c r="A84" s="7" t="s">
        <v>1498</v>
      </c>
      <c r="B84" s="7" t="s">
        <v>1499</v>
      </c>
      <c r="C84" s="14">
        <v>133.25</v>
      </c>
      <c r="D84" s="6">
        <v>78.319999999999993</v>
      </c>
      <c r="E84" s="6">
        <v>100</v>
      </c>
      <c r="F84" s="6"/>
      <c r="G84" s="6"/>
      <c r="H84" s="6"/>
      <c r="I84" s="6"/>
      <c r="J84" s="6">
        <v>360</v>
      </c>
      <c r="K84" s="6">
        <v>47970</v>
      </c>
      <c r="L84" s="6"/>
      <c r="M84" s="6"/>
      <c r="N84" s="6">
        <f t="shared" si="14"/>
        <v>360</v>
      </c>
      <c r="O84" s="6">
        <f t="shared" si="15"/>
        <v>47970</v>
      </c>
      <c r="P84" s="6">
        <v>48</v>
      </c>
      <c r="Q84" s="6">
        <v>6396</v>
      </c>
      <c r="R84" s="6"/>
      <c r="S84" s="6"/>
      <c r="T84" s="37"/>
      <c r="U84" s="48"/>
    </row>
    <row r="85" spans="1:21" s="1" customFormat="1" hidden="1" outlineLevel="1" x14ac:dyDescent="0.25">
      <c r="A85" s="7" t="s">
        <v>1512</v>
      </c>
      <c r="B85" s="7" t="s">
        <v>1513</v>
      </c>
      <c r="C85" s="14">
        <v>133.25</v>
      </c>
      <c r="D85" s="6">
        <v>497.8</v>
      </c>
      <c r="E85" s="6">
        <v>100</v>
      </c>
      <c r="F85" s="6"/>
      <c r="G85" s="6"/>
      <c r="H85" s="6"/>
      <c r="I85" s="6"/>
      <c r="J85" s="6">
        <v>396</v>
      </c>
      <c r="K85" s="6">
        <v>52767</v>
      </c>
      <c r="L85" s="6"/>
      <c r="M85" s="6"/>
      <c r="N85" s="6">
        <f t="shared" si="14"/>
        <v>396</v>
      </c>
      <c r="O85" s="6">
        <f t="shared" si="15"/>
        <v>52767</v>
      </c>
      <c r="P85" s="6">
        <v>20</v>
      </c>
      <c r="Q85" s="6">
        <v>2794</v>
      </c>
      <c r="R85" s="6">
        <f t="shared" si="16"/>
        <v>252.80996384089994</v>
      </c>
      <c r="S85" s="6">
        <f t="shared" si="17"/>
        <v>33686.92768179992</v>
      </c>
      <c r="T85" s="37"/>
      <c r="U85" s="48"/>
    </row>
    <row r="86" spans="1:21" s="1" customFormat="1" hidden="1" outlineLevel="1" x14ac:dyDescent="0.25">
      <c r="A86" s="7" t="s">
        <v>1504</v>
      </c>
      <c r="B86" s="7" t="s">
        <v>1505</v>
      </c>
      <c r="C86" s="14">
        <v>133.25</v>
      </c>
      <c r="D86" s="6">
        <v>223.3</v>
      </c>
      <c r="E86" s="6">
        <v>84.95</v>
      </c>
      <c r="F86" s="6"/>
      <c r="G86" s="6"/>
      <c r="H86" s="6"/>
      <c r="I86" s="6"/>
      <c r="J86" s="6">
        <v>708</v>
      </c>
      <c r="K86" s="6">
        <v>94341</v>
      </c>
      <c r="L86" s="6"/>
      <c r="M86" s="6"/>
      <c r="N86" s="6">
        <f t="shared" si="14"/>
        <v>708</v>
      </c>
      <c r="O86" s="6">
        <f t="shared" si="15"/>
        <v>94341</v>
      </c>
      <c r="P86" s="6">
        <v>32</v>
      </c>
      <c r="Q86" s="6">
        <v>4441</v>
      </c>
      <c r="R86" s="6">
        <f t="shared" si="16"/>
        <v>137.2879534258845</v>
      </c>
      <c r="S86" s="6">
        <f t="shared" si="17"/>
        <v>18293.619793999111</v>
      </c>
      <c r="T86" s="37"/>
      <c r="U86" s="48"/>
    </row>
    <row r="87" spans="1:21" s="1" customFormat="1" hidden="1" outlineLevel="1" x14ac:dyDescent="0.25">
      <c r="A87" s="7" t="s">
        <v>1530</v>
      </c>
      <c r="B87" s="7" t="s">
        <v>1531</v>
      </c>
      <c r="C87" s="14">
        <v>164.98</v>
      </c>
      <c r="D87" s="6"/>
      <c r="E87" s="6">
        <v>26.88</v>
      </c>
      <c r="F87" s="6"/>
      <c r="G87" s="6"/>
      <c r="H87" s="6"/>
      <c r="I87" s="6"/>
      <c r="J87" s="6">
        <v>240</v>
      </c>
      <c r="K87" s="6">
        <v>39595.199999999997</v>
      </c>
      <c r="L87" s="6"/>
      <c r="M87" s="6"/>
      <c r="N87" s="6">
        <f t="shared" si="14"/>
        <v>240</v>
      </c>
      <c r="O87" s="6">
        <f t="shared" si="15"/>
        <v>39595.199999999997</v>
      </c>
      <c r="P87" s="6"/>
      <c r="Q87" s="6"/>
      <c r="R87" s="6"/>
      <c r="S87" s="6"/>
      <c r="T87" s="37"/>
      <c r="U87" s="48"/>
    </row>
    <row r="88" spans="1:21" s="1" customFormat="1" hidden="1" outlineLevel="1" x14ac:dyDescent="0.25">
      <c r="A88" s="7" t="s">
        <v>1436</v>
      </c>
      <c r="B88" s="7" t="s">
        <v>1437</v>
      </c>
      <c r="C88" s="14">
        <v>100.47</v>
      </c>
      <c r="D88" s="6"/>
      <c r="E88" s="6">
        <v>100</v>
      </c>
      <c r="F88" s="6"/>
      <c r="G88" s="6"/>
      <c r="H88" s="6"/>
      <c r="I88" s="6"/>
      <c r="J88" s="6">
        <v>372</v>
      </c>
      <c r="K88" s="6">
        <v>37374.839999999997</v>
      </c>
      <c r="L88" s="6">
        <v>2160</v>
      </c>
      <c r="M88" s="6">
        <v>217015.2</v>
      </c>
      <c r="N88" s="6">
        <f t="shared" si="14"/>
        <v>2532</v>
      </c>
      <c r="O88" s="6">
        <f t="shared" si="15"/>
        <v>254390.04</v>
      </c>
      <c r="P88" s="6"/>
      <c r="Q88" s="6"/>
      <c r="R88" s="6"/>
      <c r="S88" s="6"/>
      <c r="T88" s="37"/>
      <c r="U88" s="48"/>
    </row>
    <row r="89" spans="1:21" s="1" customFormat="1" hidden="1" outlineLevel="1" x14ac:dyDescent="0.25">
      <c r="A89" s="7" t="s">
        <v>1526</v>
      </c>
      <c r="B89" s="7" t="s">
        <v>1527</v>
      </c>
      <c r="C89" s="14">
        <v>149.11000000000001</v>
      </c>
      <c r="D89" s="6">
        <v>391</v>
      </c>
      <c r="E89" s="6">
        <v>100</v>
      </c>
      <c r="F89" s="6"/>
      <c r="G89" s="6"/>
      <c r="H89" s="6"/>
      <c r="I89" s="6"/>
      <c r="J89" s="6">
        <v>480</v>
      </c>
      <c r="K89" s="6">
        <v>71572.800000000003</v>
      </c>
      <c r="L89" s="6"/>
      <c r="M89" s="6"/>
      <c r="N89" s="6">
        <f t="shared" si="14"/>
        <v>480</v>
      </c>
      <c r="O89" s="6">
        <f t="shared" si="15"/>
        <v>71572.800000000003</v>
      </c>
      <c r="P89" s="6">
        <v>16</v>
      </c>
      <c r="Q89" s="6">
        <v>2530</v>
      </c>
      <c r="R89" s="6">
        <f t="shared" si="16"/>
        <v>259.02813299232736</v>
      </c>
      <c r="S89" s="6">
        <f t="shared" si="17"/>
        <v>38623.684910485936</v>
      </c>
      <c r="T89" s="37"/>
      <c r="U89" s="48"/>
    </row>
    <row r="90" spans="1:21" s="1" customFormat="1" hidden="1" outlineLevel="1" x14ac:dyDescent="0.25">
      <c r="A90" s="7" t="s">
        <v>1448</v>
      </c>
      <c r="B90" s="7" t="s">
        <v>1449</v>
      </c>
      <c r="C90" s="14">
        <v>222.09</v>
      </c>
      <c r="D90" s="6"/>
      <c r="E90" s="6"/>
      <c r="F90" s="6"/>
      <c r="G90" s="6"/>
      <c r="H90" s="6"/>
      <c r="I90" s="6"/>
      <c r="J90" s="6"/>
      <c r="K90" s="6"/>
      <c r="L90" s="6">
        <v>1000</v>
      </c>
      <c r="M90" s="6">
        <v>222090</v>
      </c>
      <c r="N90" s="6">
        <f t="shared" si="14"/>
        <v>1000</v>
      </c>
      <c r="O90" s="6">
        <f t="shared" si="15"/>
        <v>222090</v>
      </c>
      <c r="P90" s="6"/>
      <c r="Q90" s="6"/>
      <c r="R90" s="6"/>
      <c r="S90" s="6"/>
      <c r="T90" s="37"/>
      <c r="U90" s="48"/>
    </row>
    <row r="91" spans="1:21" s="1" customFormat="1" hidden="1" outlineLevel="1" x14ac:dyDescent="0.25">
      <c r="A91" s="7" t="s">
        <v>1558</v>
      </c>
      <c r="B91" s="7" t="s">
        <v>1559</v>
      </c>
      <c r="C91" s="14">
        <v>52.88</v>
      </c>
      <c r="D91" s="6">
        <v>62.7</v>
      </c>
      <c r="E91" s="6">
        <v>100</v>
      </c>
      <c r="F91" s="6"/>
      <c r="G91" s="6"/>
      <c r="H91" s="6"/>
      <c r="I91" s="6"/>
      <c r="J91" s="6">
        <v>24</v>
      </c>
      <c r="K91" s="6">
        <v>1269.1199999999999</v>
      </c>
      <c r="L91" s="6"/>
      <c r="M91" s="6"/>
      <c r="N91" s="6">
        <f t="shared" si="14"/>
        <v>24</v>
      </c>
      <c r="O91" s="6">
        <f t="shared" si="15"/>
        <v>1269.1200000000001</v>
      </c>
      <c r="P91" s="6">
        <v>80</v>
      </c>
      <c r="Q91" s="6">
        <v>4287</v>
      </c>
      <c r="R91" s="6"/>
      <c r="S91" s="6"/>
      <c r="T91" s="37"/>
      <c r="U91" s="48"/>
    </row>
    <row r="92" spans="1:21" s="1" customFormat="1" hidden="1" outlineLevel="1" x14ac:dyDescent="0.25">
      <c r="A92" s="7" t="s">
        <v>1516</v>
      </c>
      <c r="B92" s="7" t="s">
        <v>1517</v>
      </c>
      <c r="C92" s="14">
        <v>119.7</v>
      </c>
      <c r="D92" s="6">
        <v>42.9</v>
      </c>
      <c r="E92" s="6">
        <v>88.17</v>
      </c>
      <c r="F92" s="6"/>
      <c r="G92" s="6"/>
      <c r="H92" s="6"/>
      <c r="I92" s="6"/>
      <c r="J92" s="6">
        <v>216</v>
      </c>
      <c r="K92" s="6">
        <v>25855.200000000001</v>
      </c>
      <c r="L92" s="6"/>
      <c r="M92" s="6"/>
      <c r="N92" s="6">
        <f t="shared" si="14"/>
        <v>216</v>
      </c>
      <c r="O92" s="6">
        <f t="shared" si="15"/>
        <v>25855.200000000001</v>
      </c>
      <c r="P92" s="6">
        <v>64</v>
      </c>
      <c r="Q92" s="6">
        <v>7646</v>
      </c>
      <c r="R92" s="6"/>
      <c r="S92" s="6"/>
      <c r="T92" s="37"/>
      <c r="U92" s="48"/>
    </row>
    <row r="93" spans="1:21" s="1" customFormat="1" hidden="1" outlineLevel="1" x14ac:dyDescent="0.25">
      <c r="A93" s="7" t="s">
        <v>1506</v>
      </c>
      <c r="B93" s="7" t="s">
        <v>1507</v>
      </c>
      <c r="C93" s="14">
        <v>133.25</v>
      </c>
      <c r="D93" s="6">
        <v>327.29000000000002</v>
      </c>
      <c r="E93" s="6">
        <v>100</v>
      </c>
      <c r="F93" s="6"/>
      <c r="G93" s="6"/>
      <c r="H93" s="6"/>
      <c r="I93" s="6"/>
      <c r="J93" s="6">
        <v>252</v>
      </c>
      <c r="K93" s="6">
        <v>33579</v>
      </c>
      <c r="L93" s="6"/>
      <c r="M93" s="6"/>
      <c r="N93" s="6">
        <f t="shared" si="14"/>
        <v>252</v>
      </c>
      <c r="O93" s="6">
        <f t="shared" si="15"/>
        <v>33579</v>
      </c>
      <c r="P93" s="6">
        <v>28</v>
      </c>
      <c r="Q93" s="6">
        <v>3748</v>
      </c>
      <c r="R93" s="6">
        <f t="shared" si="16"/>
        <v>113.40731461395094</v>
      </c>
      <c r="S93" s="6">
        <f t="shared" si="17"/>
        <v>15111.524672308964</v>
      </c>
      <c r="T93" s="37"/>
      <c r="U93" s="48"/>
    </row>
    <row r="94" spans="1:21" s="1" customFormat="1" hidden="1" outlineLevel="1" x14ac:dyDescent="0.25">
      <c r="A94" s="7" t="s">
        <v>1592</v>
      </c>
      <c r="B94" s="7" t="s">
        <v>1593</v>
      </c>
      <c r="C94" s="14">
        <v>133.25</v>
      </c>
      <c r="D94" s="6">
        <v>30.13</v>
      </c>
      <c r="E94" s="6">
        <v>99.78</v>
      </c>
      <c r="F94" s="6"/>
      <c r="G94" s="6"/>
      <c r="H94" s="6"/>
      <c r="I94" s="6"/>
      <c r="J94" s="6">
        <v>108</v>
      </c>
      <c r="K94" s="6">
        <v>14391</v>
      </c>
      <c r="L94" s="6"/>
      <c r="M94" s="6"/>
      <c r="N94" s="6">
        <f t="shared" si="14"/>
        <v>108</v>
      </c>
      <c r="O94" s="6">
        <f t="shared" si="15"/>
        <v>14391</v>
      </c>
      <c r="P94" s="6">
        <v>40</v>
      </c>
      <c r="Q94" s="6">
        <v>5559</v>
      </c>
      <c r="R94" s="6"/>
      <c r="S94" s="6"/>
      <c r="T94" s="37"/>
      <c r="U94" s="48"/>
    </row>
    <row r="95" spans="1:21" s="1" customFormat="1" hidden="1" outlineLevel="1" x14ac:dyDescent="0.25">
      <c r="A95" s="7" t="s">
        <v>1352</v>
      </c>
      <c r="B95" s="7" t="s">
        <v>1353</v>
      </c>
      <c r="C95" s="14">
        <v>109.14</v>
      </c>
      <c r="D95" s="6"/>
      <c r="E95" s="6">
        <v>100</v>
      </c>
      <c r="F95" s="6"/>
      <c r="G95" s="6"/>
      <c r="H95" s="6"/>
      <c r="I95" s="6"/>
      <c r="J95" s="6">
        <v>288</v>
      </c>
      <c r="K95" s="6">
        <v>31432.32</v>
      </c>
      <c r="L95" s="6">
        <v>1200</v>
      </c>
      <c r="M95" s="6">
        <v>130968</v>
      </c>
      <c r="N95" s="6">
        <f t="shared" si="14"/>
        <v>1488</v>
      </c>
      <c r="O95" s="6">
        <f t="shared" si="15"/>
        <v>162400.32000000001</v>
      </c>
      <c r="P95" s="6"/>
      <c r="Q95" s="6"/>
      <c r="R95" s="6"/>
      <c r="S95" s="6"/>
      <c r="T95" s="37"/>
      <c r="U95" s="48"/>
    </row>
    <row r="96" spans="1:21" s="1" customFormat="1" hidden="1" outlineLevel="1" x14ac:dyDescent="0.25">
      <c r="A96" s="7" t="s">
        <v>1478</v>
      </c>
      <c r="B96" s="7" t="s">
        <v>1479</v>
      </c>
      <c r="C96" s="14">
        <v>26.44</v>
      </c>
      <c r="D96" s="6"/>
      <c r="E96" s="6">
        <v>100</v>
      </c>
      <c r="F96" s="6"/>
      <c r="G96" s="6"/>
      <c r="H96" s="6"/>
      <c r="I96" s="6"/>
      <c r="J96" s="6">
        <v>720</v>
      </c>
      <c r="K96" s="6">
        <v>19036.8</v>
      </c>
      <c r="L96" s="6"/>
      <c r="M96" s="6"/>
      <c r="N96" s="6">
        <f t="shared" si="14"/>
        <v>720</v>
      </c>
      <c r="O96" s="6">
        <f t="shared" si="15"/>
        <v>19036.8</v>
      </c>
      <c r="P96" s="6"/>
      <c r="Q96" s="6"/>
      <c r="R96" s="6"/>
      <c r="S96" s="6"/>
      <c r="T96" s="37"/>
      <c r="U96" s="48"/>
    </row>
    <row r="97" spans="1:21" s="1" customFormat="1" hidden="1" outlineLevel="1" x14ac:dyDescent="0.25">
      <c r="A97" s="7" t="s">
        <v>1510</v>
      </c>
      <c r="B97" s="7" t="s">
        <v>1511</v>
      </c>
      <c r="C97" s="14">
        <v>133.25</v>
      </c>
      <c r="D97" s="6">
        <v>313.70999999999998</v>
      </c>
      <c r="E97" s="6">
        <v>100</v>
      </c>
      <c r="F97" s="6"/>
      <c r="G97" s="6"/>
      <c r="H97" s="6"/>
      <c r="I97" s="6"/>
      <c r="J97" s="6">
        <v>324</v>
      </c>
      <c r="K97" s="6">
        <v>43173</v>
      </c>
      <c r="L97" s="6"/>
      <c r="M97" s="6"/>
      <c r="N97" s="6">
        <f t="shared" si="14"/>
        <v>324</v>
      </c>
      <c r="O97" s="6">
        <f t="shared" si="15"/>
        <v>43173</v>
      </c>
      <c r="P97" s="6">
        <v>20</v>
      </c>
      <c r="Q97" s="6">
        <v>2827</v>
      </c>
      <c r="R97" s="6">
        <f t="shared" si="16"/>
        <v>138.09582098116093</v>
      </c>
      <c r="S97" s="6">
        <f t="shared" si="17"/>
        <v>18401.268145739694</v>
      </c>
      <c r="T97" s="37"/>
      <c r="U97" s="48"/>
    </row>
    <row r="98" spans="1:21" s="1" customFormat="1" hidden="1" outlineLevel="1" x14ac:dyDescent="0.25">
      <c r="A98" s="7" t="s">
        <v>1514</v>
      </c>
      <c r="B98" s="7" t="s">
        <v>1515</v>
      </c>
      <c r="C98" s="14">
        <v>133.25</v>
      </c>
      <c r="D98" s="6">
        <v>475.8</v>
      </c>
      <c r="E98" s="6">
        <v>100</v>
      </c>
      <c r="F98" s="6"/>
      <c r="G98" s="6"/>
      <c r="H98" s="6"/>
      <c r="I98" s="6"/>
      <c r="J98" s="6">
        <v>300</v>
      </c>
      <c r="K98" s="6">
        <v>39975</v>
      </c>
      <c r="L98" s="6"/>
      <c r="M98" s="6"/>
      <c r="N98" s="6">
        <f t="shared" si="14"/>
        <v>300</v>
      </c>
      <c r="O98" s="6">
        <f t="shared" si="15"/>
        <v>39975</v>
      </c>
      <c r="P98" s="6">
        <v>16</v>
      </c>
      <c r="Q98" s="6">
        <v>2261</v>
      </c>
      <c r="R98" s="6">
        <f t="shared" si="16"/>
        <v>186.50693568726356</v>
      </c>
      <c r="S98" s="6">
        <f t="shared" si="17"/>
        <v>24852.049180327871</v>
      </c>
      <c r="T98" s="37"/>
      <c r="U98" s="48"/>
    </row>
    <row r="99" spans="1:21" s="1" customFormat="1" hidden="1" outlineLevel="1" x14ac:dyDescent="0.25">
      <c r="A99" s="7" t="s">
        <v>1538</v>
      </c>
      <c r="B99" s="7" t="s">
        <v>1539</v>
      </c>
      <c r="C99" s="14">
        <v>148.06</v>
      </c>
      <c r="D99" s="6">
        <v>140.66999999999999</v>
      </c>
      <c r="E99" s="6">
        <v>100</v>
      </c>
      <c r="F99" s="6"/>
      <c r="G99" s="6"/>
      <c r="H99" s="6"/>
      <c r="I99" s="6"/>
      <c r="J99" s="6">
        <v>216</v>
      </c>
      <c r="K99" s="6">
        <v>31980.959999999999</v>
      </c>
      <c r="L99" s="6"/>
      <c r="M99" s="6"/>
      <c r="N99" s="6">
        <f t="shared" si="14"/>
        <v>216</v>
      </c>
      <c r="O99" s="6">
        <f t="shared" si="15"/>
        <v>31980.959999999999</v>
      </c>
      <c r="P99" s="6">
        <v>48</v>
      </c>
      <c r="Q99" s="6">
        <v>7092</v>
      </c>
      <c r="R99" s="6"/>
      <c r="S99" s="6"/>
      <c r="T99" s="37"/>
      <c r="U99" s="48"/>
    </row>
    <row r="100" spans="1:21" s="1" customFormat="1" hidden="1" outlineLevel="1" x14ac:dyDescent="0.25">
      <c r="A100" s="7" t="s">
        <v>1534</v>
      </c>
      <c r="B100" s="7" t="s">
        <v>1535</v>
      </c>
      <c r="C100" s="14">
        <v>148.06</v>
      </c>
      <c r="D100" s="6">
        <v>331</v>
      </c>
      <c r="E100" s="6">
        <v>100</v>
      </c>
      <c r="F100" s="6"/>
      <c r="G100" s="6"/>
      <c r="H100" s="6"/>
      <c r="I100" s="6"/>
      <c r="J100" s="6">
        <v>324</v>
      </c>
      <c r="K100" s="6">
        <v>47971.44</v>
      </c>
      <c r="L100" s="6"/>
      <c r="M100" s="6"/>
      <c r="N100" s="6">
        <f t="shared" si="14"/>
        <v>324</v>
      </c>
      <c r="O100" s="6">
        <f t="shared" si="15"/>
        <v>47971.44</v>
      </c>
      <c r="P100" s="6">
        <v>24</v>
      </c>
      <c r="Q100" s="6">
        <v>3460</v>
      </c>
      <c r="R100" s="6">
        <f t="shared" si="16"/>
        <v>147.80664652567975</v>
      </c>
      <c r="S100" s="6">
        <f t="shared" si="17"/>
        <v>21884.252084592146</v>
      </c>
      <c r="T100" s="37"/>
      <c r="U100" s="48"/>
    </row>
    <row r="101" spans="1:21" s="1" customFormat="1" hidden="1" outlineLevel="1" x14ac:dyDescent="0.25">
      <c r="A101" s="7" t="s">
        <v>1566</v>
      </c>
      <c r="B101" s="7" t="s">
        <v>1567</v>
      </c>
      <c r="C101" s="14">
        <v>941.24</v>
      </c>
      <c r="D101" s="6"/>
      <c r="E101" s="6">
        <v>100</v>
      </c>
      <c r="F101" s="6"/>
      <c r="G101" s="6"/>
      <c r="H101" s="6"/>
      <c r="I101" s="6"/>
      <c r="J101" s="6">
        <v>69</v>
      </c>
      <c r="K101" s="6">
        <v>64945.56</v>
      </c>
      <c r="L101" s="6"/>
      <c r="M101" s="6"/>
      <c r="N101" s="6">
        <f t="shared" si="14"/>
        <v>69</v>
      </c>
      <c r="O101" s="6">
        <f t="shared" si="15"/>
        <v>64945.56</v>
      </c>
      <c r="P101" s="6"/>
      <c r="Q101" s="6"/>
      <c r="R101" s="6"/>
      <c r="S101" s="6"/>
      <c r="T101" s="37"/>
      <c r="U101" s="48"/>
    </row>
    <row r="102" spans="1:21" s="1" customFormat="1" hidden="1" outlineLevel="1" x14ac:dyDescent="0.25">
      <c r="A102" s="7" t="s">
        <v>1500</v>
      </c>
      <c r="B102" s="7" t="s">
        <v>1501</v>
      </c>
      <c r="C102" s="14">
        <v>133.25</v>
      </c>
      <c r="D102" s="6">
        <v>575.25</v>
      </c>
      <c r="E102" s="6">
        <v>100</v>
      </c>
      <c r="F102" s="6"/>
      <c r="G102" s="6"/>
      <c r="H102" s="6"/>
      <c r="I102" s="6"/>
      <c r="J102" s="6">
        <v>276</v>
      </c>
      <c r="K102" s="6">
        <v>36777</v>
      </c>
      <c r="L102" s="6"/>
      <c r="M102" s="6"/>
      <c r="N102" s="6">
        <f t="shared" si="14"/>
        <v>276</v>
      </c>
      <c r="O102" s="6">
        <f t="shared" si="15"/>
        <v>36777</v>
      </c>
      <c r="P102" s="6">
        <v>16</v>
      </c>
      <c r="Q102" s="6">
        <v>2117</v>
      </c>
      <c r="R102" s="6">
        <f t="shared" si="16"/>
        <v>189.6375488917862</v>
      </c>
      <c r="S102" s="6">
        <f t="shared" si="17"/>
        <v>25269.203389830509</v>
      </c>
      <c r="T102" s="37"/>
      <c r="U102" s="48"/>
    </row>
    <row r="103" spans="1:21" s="1" customFormat="1" hidden="1" outlineLevel="1" x14ac:dyDescent="0.25">
      <c r="A103" s="7" t="s">
        <v>1590</v>
      </c>
      <c r="B103" s="7" t="s">
        <v>1591</v>
      </c>
      <c r="C103" s="14">
        <v>133.25</v>
      </c>
      <c r="D103" s="6"/>
      <c r="E103" s="6">
        <v>56.99</v>
      </c>
      <c r="F103" s="6"/>
      <c r="G103" s="6"/>
      <c r="H103" s="6"/>
      <c r="I103" s="6"/>
      <c r="J103" s="6">
        <v>120</v>
      </c>
      <c r="K103" s="6">
        <v>15990</v>
      </c>
      <c r="L103" s="6"/>
      <c r="M103" s="6"/>
      <c r="N103" s="6">
        <f t="shared" si="14"/>
        <v>120</v>
      </c>
      <c r="O103" s="6">
        <f t="shared" si="15"/>
        <v>15990</v>
      </c>
      <c r="P103" s="6"/>
      <c r="Q103" s="6"/>
      <c r="R103" s="6"/>
      <c r="S103" s="6"/>
      <c r="T103" s="37"/>
      <c r="U103" s="48"/>
    </row>
    <row r="104" spans="1:21" s="1" customFormat="1" hidden="1" outlineLevel="1" x14ac:dyDescent="0.25">
      <c r="A104" s="7" t="s">
        <v>1540</v>
      </c>
      <c r="B104" s="7" t="s">
        <v>1541</v>
      </c>
      <c r="C104" s="14">
        <v>148.06</v>
      </c>
      <c r="D104" s="6">
        <v>52.15</v>
      </c>
      <c r="E104" s="6">
        <v>99.69</v>
      </c>
      <c r="F104" s="6"/>
      <c r="G104" s="6"/>
      <c r="H104" s="6"/>
      <c r="I104" s="6"/>
      <c r="J104" s="6">
        <v>96</v>
      </c>
      <c r="K104" s="6">
        <v>14213.76</v>
      </c>
      <c r="L104" s="6"/>
      <c r="M104" s="6"/>
      <c r="N104" s="6">
        <f t="shared" si="14"/>
        <v>96</v>
      </c>
      <c r="O104" s="6">
        <f t="shared" si="15"/>
        <v>14213.76</v>
      </c>
      <c r="P104" s="6">
        <v>52</v>
      </c>
      <c r="Q104" s="6">
        <v>7587</v>
      </c>
      <c r="R104" s="6"/>
      <c r="S104" s="6"/>
      <c r="T104" s="37"/>
      <c r="U104" s="48"/>
    </row>
    <row r="105" spans="1:21" s="1" customFormat="1" hidden="1" outlineLevel="1" x14ac:dyDescent="0.25">
      <c r="A105" s="7" t="s">
        <v>1586</v>
      </c>
      <c r="B105" s="7" t="s">
        <v>1587</v>
      </c>
      <c r="C105" s="14">
        <v>133.25</v>
      </c>
      <c r="D105" s="6">
        <v>228</v>
      </c>
      <c r="E105" s="6">
        <v>100</v>
      </c>
      <c r="F105" s="6"/>
      <c r="G105" s="6"/>
      <c r="H105" s="6"/>
      <c r="I105" s="6"/>
      <c r="J105" s="6">
        <v>84</v>
      </c>
      <c r="K105" s="6">
        <v>11193</v>
      </c>
      <c r="L105" s="6"/>
      <c r="M105" s="6"/>
      <c r="N105" s="6">
        <f t="shared" si="14"/>
        <v>84</v>
      </c>
      <c r="O105" s="6">
        <f t="shared" si="15"/>
        <v>11193</v>
      </c>
      <c r="P105" s="6">
        <v>12</v>
      </c>
      <c r="Q105" s="6">
        <v>1695</v>
      </c>
      <c r="R105" s="6">
        <f t="shared" si="16"/>
        <v>17.684210526315788</v>
      </c>
      <c r="S105" s="6">
        <f t="shared" si="17"/>
        <v>2356.4210526315787</v>
      </c>
      <c r="T105" s="37"/>
      <c r="U105" s="48"/>
    </row>
    <row r="106" spans="1:21" s="1" customFormat="1" hidden="1" outlineLevel="1" x14ac:dyDescent="0.25">
      <c r="A106" s="7" t="s">
        <v>1568</v>
      </c>
      <c r="B106" s="7" t="s">
        <v>1569</v>
      </c>
      <c r="C106" s="14">
        <v>153.35</v>
      </c>
      <c r="D106" s="6"/>
      <c r="E106" s="6">
        <v>100</v>
      </c>
      <c r="F106" s="6"/>
      <c r="G106" s="6"/>
      <c r="H106" s="6"/>
      <c r="I106" s="6"/>
      <c r="J106" s="6">
        <v>80</v>
      </c>
      <c r="K106" s="6">
        <v>12268</v>
      </c>
      <c r="L106" s="6"/>
      <c r="M106" s="6"/>
      <c r="N106" s="6">
        <f t="shared" si="14"/>
        <v>80</v>
      </c>
      <c r="O106" s="6">
        <f t="shared" si="15"/>
        <v>12268</v>
      </c>
      <c r="P106" s="6"/>
      <c r="Q106" s="6"/>
      <c r="R106" s="6"/>
      <c r="S106" s="6"/>
      <c r="T106" s="37"/>
      <c r="U106" s="48"/>
    </row>
    <row r="107" spans="1:21" s="1" customFormat="1" hidden="1" outlineLevel="1" x14ac:dyDescent="0.25">
      <c r="A107" s="7" t="s">
        <v>1496</v>
      </c>
      <c r="B107" s="7" t="s">
        <v>1497</v>
      </c>
      <c r="C107" s="14">
        <v>684.89</v>
      </c>
      <c r="D107" s="6"/>
      <c r="E107" s="6">
        <v>100</v>
      </c>
      <c r="F107" s="6"/>
      <c r="G107" s="6"/>
      <c r="H107" s="6"/>
      <c r="I107" s="6"/>
      <c r="J107" s="6">
        <v>12</v>
      </c>
      <c r="K107" s="6">
        <v>8218.68</v>
      </c>
      <c r="L107" s="6"/>
      <c r="M107" s="6"/>
      <c r="N107" s="6">
        <f t="shared" si="14"/>
        <v>12</v>
      </c>
      <c r="O107" s="6">
        <f t="shared" si="15"/>
        <v>8218.68</v>
      </c>
      <c r="P107" s="6"/>
      <c r="Q107" s="6"/>
      <c r="R107" s="6"/>
      <c r="S107" s="6"/>
      <c r="T107" s="37"/>
      <c r="U107" s="48"/>
    </row>
    <row r="108" spans="1:21" s="1" customFormat="1" hidden="1" outlineLevel="1" x14ac:dyDescent="0.25">
      <c r="A108" s="7" t="s">
        <v>1494</v>
      </c>
      <c r="B108" s="7" t="s">
        <v>1495</v>
      </c>
      <c r="C108" s="14">
        <v>713.73</v>
      </c>
      <c r="D108" s="6"/>
      <c r="E108" s="6">
        <v>100</v>
      </c>
      <c r="F108" s="6"/>
      <c r="G108" s="6"/>
      <c r="H108" s="6"/>
      <c r="I108" s="6"/>
      <c r="J108" s="6">
        <v>8</v>
      </c>
      <c r="K108" s="6">
        <v>5709.84</v>
      </c>
      <c r="L108" s="6"/>
      <c r="M108" s="6"/>
      <c r="N108" s="6">
        <f t="shared" si="14"/>
        <v>8</v>
      </c>
      <c r="O108" s="6">
        <f t="shared" si="15"/>
        <v>5709.84</v>
      </c>
      <c r="P108" s="6"/>
      <c r="Q108" s="6"/>
      <c r="R108" s="6"/>
      <c r="S108" s="6"/>
      <c r="T108" s="37"/>
      <c r="U108" s="48"/>
    </row>
    <row r="109" spans="1:21" s="1" customFormat="1" hidden="1" outlineLevel="1" x14ac:dyDescent="0.25">
      <c r="A109" s="7" t="s">
        <v>1492</v>
      </c>
      <c r="B109" s="7" t="s">
        <v>1493</v>
      </c>
      <c r="C109" s="14">
        <v>765.99</v>
      </c>
      <c r="D109" s="6"/>
      <c r="E109" s="6">
        <v>100</v>
      </c>
      <c r="F109" s="6"/>
      <c r="G109" s="6"/>
      <c r="H109" s="6"/>
      <c r="I109" s="6"/>
      <c r="J109" s="6">
        <v>12</v>
      </c>
      <c r="K109" s="6">
        <v>9191.8799999999992</v>
      </c>
      <c r="L109" s="6"/>
      <c r="M109" s="6"/>
      <c r="N109" s="6">
        <f t="shared" si="14"/>
        <v>12</v>
      </c>
      <c r="O109" s="6">
        <f t="shared" si="15"/>
        <v>9191.880000000001</v>
      </c>
      <c r="P109" s="6"/>
      <c r="Q109" s="6"/>
      <c r="R109" s="6"/>
      <c r="S109" s="6"/>
      <c r="T109" s="37"/>
      <c r="U109" s="48"/>
    </row>
    <row r="110" spans="1:21" s="1" customFormat="1" hidden="1" outlineLevel="1" x14ac:dyDescent="0.25">
      <c r="A110" s="7" t="s">
        <v>1482</v>
      </c>
      <c r="B110" s="7" t="s">
        <v>1483</v>
      </c>
      <c r="C110" s="14">
        <v>542.15</v>
      </c>
      <c r="D110" s="6"/>
      <c r="E110" s="6">
        <v>100</v>
      </c>
      <c r="F110" s="6"/>
      <c r="G110" s="6"/>
      <c r="H110" s="6"/>
      <c r="I110" s="6"/>
      <c r="J110" s="6">
        <v>12</v>
      </c>
      <c r="K110" s="6">
        <v>6505.8</v>
      </c>
      <c r="L110" s="6"/>
      <c r="M110" s="6"/>
      <c r="N110" s="6">
        <f t="shared" si="14"/>
        <v>12</v>
      </c>
      <c r="O110" s="6">
        <f t="shared" si="15"/>
        <v>6505.7999999999993</v>
      </c>
      <c r="P110" s="6"/>
      <c r="Q110" s="6"/>
      <c r="R110" s="6"/>
      <c r="S110" s="6"/>
      <c r="T110" s="37"/>
      <c r="U110" s="48"/>
    </row>
    <row r="111" spans="1:21" s="1" customFormat="1" hidden="1" outlineLevel="1" x14ac:dyDescent="0.25">
      <c r="A111" s="7" t="s">
        <v>1367</v>
      </c>
      <c r="B111" s="7" t="s">
        <v>1368</v>
      </c>
      <c r="C111" s="14">
        <v>855.53</v>
      </c>
      <c r="D111" s="6"/>
      <c r="E111" s="6">
        <v>100</v>
      </c>
      <c r="F111" s="6"/>
      <c r="G111" s="6"/>
      <c r="H111" s="6"/>
      <c r="I111" s="6"/>
      <c r="J111" s="6">
        <v>12</v>
      </c>
      <c r="K111" s="6">
        <v>10266.36</v>
      </c>
      <c r="L111" s="6"/>
      <c r="M111" s="6"/>
      <c r="N111" s="6">
        <f t="shared" ref="N111:N125" si="18">IF(J111+L111+H111+F111&lt;=0,"",J111+L111+H111+F111)</f>
        <v>12</v>
      </c>
      <c r="O111" s="6">
        <f t="shared" ref="O111:O125" si="19">IFERROR(C111*N111,"")</f>
        <v>10266.36</v>
      </c>
      <c r="P111" s="6"/>
      <c r="Q111" s="6"/>
      <c r="R111" s="6"/>
      <c r="S111" s="6"/>
      <c r="T111" s="37"/>
      <c r="U111" s="48"/>
    </row>
    <row r="112" spans="1:21" s="1" customFormat="1" hidden="1" outlineLevel="1" x14ac:dyDescent="0.25">
      <c r="A112" s="7" t="s">
        <v>1486</v>
      </c>
      <c r="B112" s="7" t="s">
        <v>1487</v>
      </c>
      <c r="C112" s="14">
        <v>796.63</v>
      </c>
      <c r="D112" s="6"/>
      <c r="E112" s="6">
        <v>100</v>
      </c>
      <c r="F112" s="6"/>
      <c r="G112" s="6"/>
      <c r="H112" s="6"/>
      <c r="I112" s="6"/>
      <c r="J112" s="6">
        <v>8</v>
      </c>
      <c r="K112" s="6">
        <v>6373.04</v>
      </c>
      <c r="L112" s="6"/>
      <c r="M112" s="6"/>
      <c r="N112" s="6">
        <f t="shared" si="18"/>
        <v>8</v>
      </c>
      <c r="O112" s="6">
        <f t="shared" si="19"/>
        <v>6373.04</v>
      </c>
      <c r="P112" s="6"/>
      <c r="Q112" s="6"/>
      <c r="R112" s="6"/>
      <c r="S112" s="6"/>
      <c r="T112" s="37"/>
      <c r="U112" s="48"/>
    </row>
    <row r="113" spans="1:21" s="1" customFormat="1" hidden="1" outlineLevel="1" x14ac:dyDescent="0.25">
      <c r="A113" s="7" t="s">
        <v>1572</v>
      </c>
      <c r="B113" s="7" t="s">
        <v>1573</v>
      </c>
      <c r="C113" s="14">
        <v>153.35</v>
      </c>
      <c r="D113" s="6"/>
      <c r="E113" s="6">
        <v>100</v>
      </c>
      <c r="F113" s="6"/>
      <c r="G113" s="6"/>
      <c r="H113" s="6"/>
      <c r="I113" s="6"/>
      <c r="J113" s="6">
        <v>80</v>
      </c>
      <c r="K113" s="6">
        <v>12268</v>
      </c>
      <c r="L113" s="6"/>
      <c r="M113" s="6"/>
      <c r="N113" s="6">
        <f t="shared" si="18"/>
        <v>80</v>
      </c>
      <c r="O113" s="6">
        <f t="shared" si="19"/>
        <v>12268</v>
      </c>
      <c r="P113" s="6"/>
      <c r="Q113" s="6"/>
      <c r="R113" s="6"/>
      <c r="S113" s="6"/>
      <c r="T113" s="37"/>
      <c r="U113" s="48"/>
    </row>
    <row r="114" spans="1:21" s="1" customFormat="1" hidden="1" outlineLevel="1" x14ac:dyDescent="0.25">
      <c r="A114" s="7" t="s">
        <v>1584</v>
      </c>
      <c r="B114" s="7" t="s">
        <v>1585</v>
      </c>
      <c r="C114" s="14">
        <v>133.25</v>
      </c>
      <c r="D114" s="6">
        <v>147</v>
      </c>
      <c r="E114" s="6">
        <v>56.99</v>
      </c>
      <c r="F114" s="6"/>
      <c r="G114" s="6"/>
      <c r="H114" s="6"/>
      <c r="I114" s="6"/>
      <c r="J114" s="6">
        <v>84</v>
      </c>
      <c r="K114" s="6">
        <v>11193</v>
      </c>
      <c r="L114" s="6"/>
      <c r="M114" s="6"/>
      <c r="N114" s="6">
        <f t="shared" si="18"/>
        <v>84</v>
      </c>
      <c r="O114" s="6">
        <f t="shared" si="19"/>
        <v>11193</v>
      </c>
      <c r="P114" s="6">
        <v>12</v>
      </c>
      <c r="Q114" s="6">
        <v>1528</v>
      </c>
      <c r="R114" s="6"/>
      <c r="S114" s="6"/>
      <c r="T114" s="37"/>
      <c r="U114" s="48"/>
    </row>
    <row r="115" spans="1:21" s="1" customFormat="1" hidden="1" outlineLevel="1" x14ac:dyDescent="0.25">
      <c r="A115" s="7" t="s">
        <v>1484</v>
      </c>
      <c r="B115" s="7" t="s">
        <v>1485</v>
      </c>
      <c r="C115" s="14">
        <v>681.74</v>
      </c>
      <c r="D115" s="6"/>
      <c r="E115" s="6">
        <v>100</v>
      </c>
      <c r="F115" s="6"/>
      <c r="G115" s="6"/>
      <c r="H115" s="6"/>
      <c r="I115" s="6"/>
      <c r="J115" s="6">
        <v>8</v>
      </c>
      <c r="K115" s="6">
        <v>5453.92</v>
      </c>
      <c r="L115" s="6"/>
      <c r="M115" s="6"/>
      <c r="N115" s="6">
        <f t="shared" si="18"/>
        <v>8</v>
      </c>
      <c r="O115" s="6">
        <f t="shared" si="19"/>
        <v>5453.92</v>
      </c>
      <c r="P115" s="6"/>
      <c r="Q115" s="6"/>
      <c r="R115" s="6"/>
      <c r="S115" s="6"/>
      <c r="T115" s="37"/>
      <c r="U115" s="48"/>
    </row>
    <row r="116" spans="1:21" s="1" customFormat="1" hidden="1" outlineLevel="1" x14ac:dyDescent="0.25">
      <c r="A116" s="7" t="s">
        <v>1363</v>
      </c>
      <c r="B116" s="7" t="s">
        <v>1364</v>
      </c>
      <c r="C116" s="14">
        <v>652.33000000000004</v>
      </c>
      <c r="D116" s="6"/>
      <c r="E116" s="6">
        <v>100</v>
      </c>
      <c r="F116" s="6"/>
      <c r="G116" s="6"/>
      <c r="H116" s="6"/>
      <c r="I116" s="6"/>
      <c r="J116" s="6">
        <v>12</v>
      </c>
      <c r="K116" s="6">
        <v>7827.96</v>
      </c>
      <c r="L116" s="6"/>
      <c r="M116" s="6"/>
      <c r="N116" s="6">
        <f t="shared" si="18"/>
        <v>12</v>
      </c>
      <c r="O116" s="6">
        <f t="shared" si="19"/>
        <v>7827.9600000000009</v>
      </c>
      <c r="P116" s="6"/>
      <c r="Q116" s="6"/>
      <c r="R116" s="6"/>
      <c r="S116" s="6"/>
      <c r="T116" s="37"/>
      <c r="U116" s="48"/>
    </row>
    <row r="117" spans="1:21" s="1" customFormat="1" hidden="1" outlineLevel="1" x14ac:dyDescent="0.25">
      <c r="A117" s="7" t="s">
        <v>1560</v>
      </c>
      <c r="B117" s="7" t="s">
        <v>1561</v>
      </c>
      <c r="C117" s="14">
        <v>153.35</v>
      </c>
      <c r="D117" s="6"/>
      <c r="E117" s="6">
        <v>100</v>
      </c>
      <c r="F117" s="6"/>
      <c r="G117" s="6"/>
      <c r="H117" s="6"/>
      <c r="I117" s="6"/>
      <c r="J117" s="6">
        <v>60</v>
      </c>
      <c r="K117" s="6">
        <v>9201</v>
      </c>
      <c r="L117" s="6"/>
      <c r="M117" s="6"/>
      <c r="N117" s="6">
        <f t="shared" si="18"/>
        <v>60</v>
      </c>
      <c r="O117" s="6">
        <f t="shared" si="19"/>
        <v>9201</v>
      </c>
      <c r="P117" s="6"/>
      <c r="Q117" s="6"/>
      <c r="R117" s="6"/>
      <c r="S117" s="6"/>
      <c r="T117" s="37"/>
      <c r="U117" s="48"/>
    </row>
    <row r="118" spans="1:21" s="1" customFormat="1" hidden="1" outlineLevel="1" x14ac:dyDescent="0.25">
      <c r="A118" s="7" t="s">
        <v>1588</v>
      </c>
      <c r="B118" s="7" t="s">
        <v>1589</v>
      </c>
      <c r="C118" s="14">
        <v>133.25</v>
      </c>
      <c r="D118" s="6">
        <v>254</v>
      </c>
      <c r="E118" s="6">
        <v>100</v>
      </c>
      <c r="F118" s="6"/>
      <c r="G118" s="6"/>
      <c r="H118" s="6"/>
      <c r="I118" s="6"/>
      <c r="J118" s="6">
        <v>252</v>
      </c>
      <c r="K118" s="6">
        <v>33579</v>
      </c>
      <c r="L118" s="6"/>
      <c r="M118" s="6"/>
      <c r="N118" s="6">
        <f t="shared" si="18"/>
        <v>252</v>
      </c>
      <c r="O118" s="6">
        <f t="shared" si="19"/>
        <v>33579</v>
      </c>
      <c r="P118" s="6">
        <v>16</v>
      </c>
      <c r="Q118" s="6">
        <v>2261</v>
      </c>
      <c r="R118" s="6">
        <f t="shared" ref="R118:R125" si="20">J118/D118*(D118-180)</f>
        <v>73.417322834645674</v>
      </c>
      <c r="S118" s="6">
        <f t="shared" ref="S118:S125" si="21">R118*C118</f>
        <v>9782.8582677165359</v>
      </c>
      <c r="T118" s="37"/>
      <c r="U118" s="48"/>
    </row>
    <row r="119" spans="1:21" s="1" customFormat="1" hidden="1" outlineLevel="1" x14ac:dyDescent="0.25">
      <c r="A119" s="7" t="s">
        <v>1490</v>
      </c>
      <c r="B119" s="7" t="s">
        <v>1491</v>
      </c>
      <c r="C119" s="14">
        <v>842.59</v>
      </c>
      <c r="D119" s="6"/>
      <c r="E119" s="6">
        <v>100</v>
      </c>
      <c r="F119" s="6"/>
      <c r="G119" s="6"/>
      <c r="H119" s="6"/>
      <c r="I119" s="6"/>
      <c r="J119" s="6">
        <v>8</v>
      </c>
      <c r="K119" s="6">
        <v>6740.72</v>
      </c>
      <c r="L119" s="6"/>
      <c r="M119" s="6"/>
      <c r="N119" s="6">
        <f t="shared" si="18"/>
        <v>8</v>
      </c>
      <c r="O119" s="6">
        <f t="shared" si="19"/>
        <v>6740.72</v>
      </c>
      <c r="P119" s="6"/>
      <c r="Q119" s="6"/>
      <c r="R119" s="6"/>
      <c r="S119" s="6"/>
      <c r="T119" s="37"/>
      <c r="U119" s="48"/>
    </row>
    <row r="120" spans="1:21" s="1" customFormat="1" hidden="1" outlineLevel="1" x14ac:dyDescent="0.25">
      <c r="A120" s="7" t="s">
        <v>1488</v>
      </c>
      <c r="B120" s="7" t="s">
        <v>1489</v>
      </c>
      <c r="C120" s="14">
        <v>785.15</v>
      </c>
      <c r="D120" s="6"/>
      <c r="E120" s="6">
        <v>100</v>
      </c>
      <c r="F120" s="6"/>
      <c r="G120" s="6"/>
      <c r="H120" s="6"/>
      <c r="I120" s="6"/>
      <c r="J120" s="6">
        <v>12</v>
      </c>
      <c r="K120" s="6">
        <v>9421.7999999999993</v>
      </c>
      <c r="L120" s="6"/>
      <c r="M120" s="6"/>
      <c r="N120" s="6">
        <f t="shared" si="18"/>
        <v>12</v>
      </c>
      <c r="O120" s="6">
        <f t="shared" si="19"/>
        <v>9421.7999999999993</v>
      </c>
      <c r="P120" s="6"/>
      <c r="Q120" s="6"/>
      <c r="R120" s="6"/>
      <c r="S120" s="6"/>
      <c r="T120" s="37"/>
      <c r="U120" s="48"/>
    </row>
    <row r="121" spans="1:21" s="1" customFormat="1" hidden="1" outlineLevel="1" x14ac:dyDescent="0.25">
      <c r="A121" s="7" t="s">
        <v>1369</v>
      </c>
      <c r="B121" s="7" t="s">
        <v>1370</v>
      </c>
      <c r="C121" s="14">
        <v>1036.05</v>
      </c>
      <c r="D121" s="6"/>
      <c r="E121" s="6">
        <v>100</v>
      </c>
      <c r="F121" s="6"/>
      <c r="G121" s="6"/>
      <c r="H121" s="6"/>
      <c r="I121" s="6"/>
      <c r="J121" s="6">
        <v>12</v>
      </c>
      <c r="K121" s="6">
        <v>12432.6</v>
      </c>
      <c r="L121" s="6"/>
      <c r="M121" s="6"/>
      <c r="N121" s="6">
        <f t="shared" si="18"/>
        <v>12</v>
      </c>
      <c r="O121" s="6">
        <f t="shared" si="19"/>
        <v>12432.599999999999</v>
      </c>
      <c r="P121" s="6"/>
      <c r="Q121" s="6"/>
      <c r="R121" s="6"/>
      <c r="S121" s="6"/>
      <c r="T121" s="37"/>
      <c r="U121" s="48"/>
    </row>
    <row r="122" spans="1:21" s="1" customFormat="1" hidden="1" outlineLevel="1" x14ac:dyDescent="0.25">
      <c r="A122" s="7" t="s">
        <v>1564</v>
      </c>
      <c r="B122" s="7" t="s">
        <v>1565</v>
      </c>
      <c r="C122" s="14">
        <v>153.35</v>
      </c>
      <c r="D122" s="6"/>
      <c r="E122" s="6">
        <v>100</v>
      </c>
      <c r="F122" s="6"/>
      <c r="G122" s="6"/>
      <c r="H122" s="6"/>
      <c r="I122" s="6"/>
      <c r="J122" s="6">
        <v>80</v>
      </c>
      <c r="K122" s="6">
        <v>12268</v>
      </c>
      <c r="L122" s="6"/>
      <c r="M122" s="6"/>
      <c r="N122" s="6">
        <f t="shared" si="18"/>
        <v>80</v>
      </c>
      <c r="O122" s="6">
        <f t="shared" si="19"/>
        <v>12268</v>
      </c>
      <c r="P122" s="6"/>
      <c r="Q122" s="6"/>
      <c r="R122" s="6"/>
      <c r="S122" s="6"/>
      <c r="T122" s="37"/>
      <c r="U122" s="48"/>
    </row>
    <row r="123" spans="1:21" s="1" customFormat="1" hidden="1" outlineLevel="1" x14ac:dyDescent="0.25">
      <c r="A123" s="7" t="s">
        <v>1365</v>
      </c>
      <c r="B123" s="7" t="s">
        <v>1366</v>
      </c>
      <c r="C123" s="14">
        <v>745.19</v>
      </c>
      <c r="D123" s="6"/>
      <c r="E123" s="6">
        <v>100</v>
      </c>
      <c r="F123" s="6"/>
      <c r="G123" s="6"/>
      <c r="H123" s="6"/>
      <c r="I123" s="6"/>
      <c r="J123" s="6">
        <v>12</v>
      </c>
      <c r="K123" s="6">
        <v>8942.2800000000007</v>
      </c>
      <c r="L123" s="6"/>
      <c r="M123" s="6"/>
      <c r="N123" s="6">
        <f t="shared" si="18"/>
        <v>12</v>
      </c>
      <c r="O123" s="6">
        <f t="shared" si="19"/>
        <v>8942.2800000000007</v>
      </c>
      <c r="P123" s="6"/>
      <c r="Q123" s="6"/>
      <c r="R123" s="6"/>
      <c r="S123" s="6"/>
      <c r="T123" s="37"/>
      <c r="U123" s="48"/>
    </row>
    <row r="124" spans="1:21" s="1" customFormat="1" hidden="1" outlineLevel="1" x14ac:dyDescent="0.25">
      <c r="A124" s="7" t="s">
        <v>1371</v>
      </c>
      <c r="B124" s="7" t="s">
        <v>1372</v>
      </c>
      <c r="C124" s="14">
        <v>571.75</v>
      </c>
      <c r="D124" s="6"/>
      <c r="E124" s="6">
        <v>100</v>
      </c>
      <c r="F124" s="6"/>
      <c r="G124" s="6"/>
      <c r="H124" s="6"/>
      <c r="I124" s="6"/>
      <c r="J124" s="6">
        <v>12</v>
      </c>
      <c r="K124" s="6">
        <v>6861</v>
      </c>
      <c r="L124" s="6"/>
      <c r="M124" s="6"/>
      <c r="N124" s="6">
        <f t="shared" si="18"/>
        <v>12</v>
      </c>
      <c r="O124" s="6">
        <f t="shared" si="19"/>
        <v>6861</v>
      </c>
      <c r="P124" s="6"/>
      <c r="Q124" s="6"/>
      <c r="R124" s="6"/>
      <c r="S124" s="6"/>
      <c r="T124" s="37"/>
      <c r="U124" s="48"/>
    </row>
    <row r="125" spans="1:21" s="1" customFormat="1" hidden="1" outlineLevel="1" x14ac:dyDescent="0.25">
      <c r="A125" s="7" t="s">
        <v>1576</v>
      </c>
      <c r="B125" s="7" t="s">
        <v>1577</v>
      </c>
      <c r="C125" s="14">
        <v>109.42</v>
      </c>
      <c r="D125" s="6">
        <v>1241.1500000000001</v>
      </c>
      <c r="E125" s="6">
        <v>100</v>
      </c>
      <c r="F125" s="6"/>
      <c r="G125" s="6"/>
      <c r="H125" s="6"/>
      <c r="I125" s="6"/>
      <c r="J125" s="6">
        <v>2472</v>
      </c>
      <c r="K125" s="6">
        <v>270486.24</v>
      </c>
      <c r="L125" s="6"/>
      <c r="M125" s="6"/>
      <c r="N125" s="6">
        <f t="shared" si="18"/>
        <v>2472</v>
      </c>
      <c r="O125" s="6">
        <f t="shared" si="19"/>
        <v>270486.24</v>
      </c>
      <c r="P125" s="6">
        <v>52</v>
      </c>
      <c r="Q125" s="6">
        <v>5745</v>
      </c>
      <c r="R125" s="6">
        <f t="shared" si="20"/>
        <v>2113.4937759336099</v>
      </c>
      <c r="S125" s="6">
        <f t="shared" si="21"/>
        <v>231258.4889626556</v>
      </c>
      <c r="T125" s="37"/>
      <c r="U125" s="48"/>
    </row>
    <row r="126" spans="1:21" s="17" customFormat="1" ht="14.1" customHeight="1" collapsed="1" x14ac:dyDescent="0.2">
      <c r="A126" s="18" t="s">
        <v>1343</v>
      </c>
      <c r="B126" s="19"/>
      <c r="C126" s="19"/>
      <c r="D126" s="18">
        <v>86.8</v>
      </c>
      <c r="E126" s="18">
        <v>79.239999999999995</v>
      </c>
      <c r="F126" s="18">
        <f t="shared" ref="F126:R126" si="22">F4+F22+F46</f>
        <v>3061</v>
      </c>
      <c r="G126" s="18">
        <f t="shared" si="22"/>
        <v>802361.72</v>
      </c>
      <c r="H126" s="18">
        <f t="shared" si="22"/>
        <v>37636</v>
      </c>
      <c r="I126" s="18">
        <f t="shared" si="22"/>
        <v>9486374.8400000017</v>
      </c>
      <c r="J126" s="18">
        <f t="shared" si="22"/>
        <v>162252</v>
      </c>
      <c r="K126" s="18">
        <f t="shared" si="22"/>
        <v>30122449.259999998</v>
      </c>
      <c r="L126" s="18">
        <f t="shared" si="22"/>
        <v>271920</v>
      </c>
      <c r="M126" s="18">
        <f t="shared" si="22"/>
        <v>53996694.799999997</v>
      </c>
      <c r="N126" s="18">
        <f t="shared" si="22"/>
        <v>474869</v>
      </c>
      <c r="O126" s="18">
        <f t="shared" si="22"/>
        <v>94407880.620000005</v>
      </c>
      <c r="P126" s="18">
        <f t="shared" si="22"/>
        <v>72133</v>
      </c>
      <c r="Q126" s="18">
        <f t="shared" si="22"/>
        <v>14467942</v>
      </c>
      <c r="R126" s="18">
        <f t="shared" si="22"/>
        <v>35846.357264602164</v>
      </c>
      <c r="S126" s="18">
        <f t="shared" ref="S126" si="23">S4+S22+S46</f>
        <v>7804428.3667524485</v>
      </c>
      <c r="T126" s="50"/>
      <c r="U126" s="51"/>
    </row>
    <row r="128" spans="1:21" x14ac:dyDescent="0.25">
      <c r="K128" s="20" t="s">
        <v>1608</v>
      </c>
      <c r="L128" s="80" t="s">
        <v>1609</v>
      </c>
      <c r="M128" s="80"/>
      <c r="N128" s="81" t="s">
        <v>1610</v>
      </c>
      <c r="O128" s="81"/>
      <c r="P128" s="82" t="s">
        <v>1611</v>
      </c>
      <c r="Q128" s="82"/>
      <c r="R128" s="83" t="s">
        <v>1343</v>
      </c>
      <c r="S128" s="83"/>
    </row>
    <row r="129" spans="1:20" x14ac:dyDescent="0.25">
      <c r="K129" s="21">
        <v>46259</v>
      </c>
      <c r="L129" s="34">
        <v>1134046.7392165014</v>
      </c>
      <c r="M129" s="23">
        <f>L129/L130-1</f>
        <v>-0.29990991448227744</v>
      </c>
      <c r="N129" s="24">
        <v>3274879.4621415259</v>
      </c>
      <c r="O129" s="25">
        <f>N129/N130-1</f>
        <v>1.7838688267318705</v>
      </c>
      <c r="P129" s="26">
        <v>3395502.1653944207</v>
      </c>
      <c r="Q129" s="27">
        <f>P129/P130-1</f>
        <v>0.54876073737271458</v>
      </c>
      <c r="R129" s="28">
        <v>7804428.3667524485</v>
      </c>
      <c r="S129" s="29">
        <f>R129/R130-1</f>
        <v>0.5644417079079449</v>
      </c>
      <c r="T129" s="57">
        <f>N129+P129</f>
        <v>6670381.6275359467</v>
      </c>
    </row>
    <row r="130" spans="1:20" x14ac:dyDescent="0.25">
      <c r="K130" s="21">
        <v>46224</v>
      </c>
      <c r="L130" s="34">
        <v>1619858.3049178082</v>
      </c>
      <c r="M130" s="23"/>
      <c r="N130" s="24">
        <v>1176377.0730484016</v>
      </c>
      <c r="O130" s="25"/>
      <c r="P130" s="26">
        <v>2192399.4348891359</v>
      </c>
      <c r="Q130" s="27"/>
      <c r="R130" s="28">
        <v>4988634.8128553461</v>
      </c>
      <c r="S130" s="29"/>
      <c r="T130" s="57">
        <f>N130+P130</f>
        <v>3368776.5079375375</v>
      </c>
    </row>
    <row r="131" spans="1:20" ht="11.25" customHeight="1" x14ac:dyDescent="0.25">
      <c r="A131" s="38"/>
      <c r="B131" s="38"/>
      <c r="C131" s="38"/>
      <c r="D131" s="39"/>
      <c r="E131" s="39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</row>
    <row r="132" spans="1:20" x14ac:dyDescent="0.25">
      <c r="A132" s="40"/>
      <c r="B132" s="41" t="s">
        <v>1612</v>
      </c>
      <c r="C132" s="40"/>
      <c r="D132" s="42"/>
      <c r="E132" s="42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</row>
    <row r="133" spans="1:20" s="66" customFormat="1" ht="38.25" x14ac:dyDescent="0.25">
      <c r="A133" s="67" t="s">
        <v>0</v>
      </c>
      <c r="B133" s="67" t="s">
        <v>1</v>
      </c>
      <c r="C133" s="53" t="s">
        <v>1606</v>
      </c>
      <c r="D133" s="84" t="s">
        <v>1598</v>
      </c>
      <c r="E133" s="85"/>
      <c r="F133" s="36" t="s">
        <v>1604</v>
      </c>
      <c r="G133" s="36" t="s">
        <v>1605</v>
      </c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</row>
    <row r="134" spans="1:20" x14ac:dyDescent="0.25">
      <c r="A134" s="7" t="s">
        <v>1416</v>
      </c>
      <c r="B134" s="7" t="s">
        <v>1417</v>
      </c>
      <c r="C134" s="14">
        <v>255</v>
      </c>
      <c r="D134" s="6">
        <v>16104</v>
      </c>
      <c r="E134" s="6">
        <v>4106520</v>
      </c>
      <c r="F134" s="6">
        <v>7833.2855512440083</v>
      </c>
      <c r="G134" s="6">
        <v>1997487.8155672222</v>
      </c>
    </row>
    <row r="135" spans="1:20" x14ac:dyDescent="0.25">
      <c r="A135" s="7" t="s">
        <v>1418</v>
      </c>
      <c r="B135" s="7" t="s">
        <v>1419</v>
      </c>
      <c r="C135" s="14">
        <v>227</v>
      </c>
      <c r="D135" s="6">
        <v>8904</v>
      </c>
      <c r="E135" s="6">
        <v>2021208</v>
      </c>
      <c r="F135" s="6">
        <v>6736.3753364259719</v>
      </c>
      <c r="G135" s="6">
        <v>1529157.2013686956</v>
      </c>
    </row>
    <row r="136" spans="1:20" x14ac:dyDescent="0.25">
      <c r="A136" s="7" t="s">
        <v>1570</v>
      </c>
      <c r="B136" s="7" t="s">
        <v>1571</v>
      </c>
      <c r="C136" s="14">
        <v>951.81</v>
      </c>
      <c r="D136" s="6">
        <v>840</v>
      </c>
      <c r="E136" s="6">
        <v>799520.4</v>
      </c>
      <c r="F136" s="6">
        <v>756.15650785200955</v>
      </c>
      <c r="G136" s="6">
        <v>719717.32573862118</v>
      </c>
    </row>
    <row r="137" spans="1:20" x14ac:dyDescent="0.25">
      <c r="A137" s="7" t="s">
        <v>1393</v>
      </c>
      <c r="B137" s="7" t="s">
        <v>1394</v>
      </c>
      <c r="C137" s="14">
        <v>350</v>
      </c>
      <c r="D137" s="6">
        <v>1752</v>
      </c>
      <c r="E137" s="6">
        <v>613200</v>
      </c>
      <c r="F137" s="6">
        <v>1656.7135605511241</v>
      </c>
      <c r="G137" s="6">
        <v>579849.74619289348</v>
      </c>
    </row>
    <row r="138" spans="1:20" x14ac:dyDescent="0.25">
      <c r="A138" s="7" t="s">
        <v>1406</v>
      </c>
      <c r="B138" s="7" t="s">
        <v>1407</v>
      </c>
      <c r="C138" s="14">
        <v>260.64</v>
      </c>
      <c r="D138" s="6">
        <v>4176</v>
      </c>
      <c r="E138" s="6">
        <v>1088432.6399999999</v>
      </c>
      <c r="F138" s="6">
        <v>1791.4553817847286</v>
      </c>
      <c r="G138" s="6">
        <v>466924.93070837163</v>
      </c>
    </row>
    <row r="139" spans="1:20" x14ac:dyDescent="0.25">
      <c r="A139" s="7" t="s">
        <v>1381</v>
      </c>
      <c r="B139" s="7" t="s">
        <v>1382</v>
      </c>
      <c r="C139" s="14">
        <v>433.08</v>
      </c>
      <c r="D139" s="6">
        <v>1356</v>
      </c>
      <c r="E139" s="6">
        <v>587256.48</v>
      </c>
      <c r="F139" s="6">
        <v>1032.8693073501377</v>
      </c>
      <c r="G139" s="6">
        <v>447315.03962719761</v>
      </c>
    </row>
    <row r="140" spans="1:20" x14ac:dyDescent="0.25">
      <c r="A140" s="7" t="s">
        <v>1456</v>
      </c>
      <c r="B140" s="7" t="s">
        <v>1457</v>
      </c>
      <c r="C140" s="14">
        <v>97.3</v>
      </c>
      <c r="D140" s="6">
        <v>16320</v>
      </c>
      <c r="E140" s="6">
        <v>1587936</v>
      </c>
      <c r="F140" s="6">
        <v>3276.7533966788028</v>
      </c>
      <c r="G140" s="6">
        <v>318828.10549684748</v>
      </c>
    </row>
    <row r="141" spans="1:20" x14ac:dyDescent="0.25">
      <c r="A141" s="7" t="s">
        <v>1420</v>
      </c>
      <c r="B141" s="7" t="s">
        <v>1421</v>
      </c>
      <c r="C141" s="14">
        <v>240</v>
      </c>
      <c r="D141" s="6">
        <v>2268</v>
      </c>
      <c r="E141" s="6">
        <v>544320</v>
      </c>
      <c r="F141" s="6">
        <v>1300.3085310640718</v>
      </c>
      <c r="G141" s="6">
        <v>312074.04745537724</v>
      </c>
    </row>
    <row r="142" spans="1:20" x14ac:dyDescent="0.25">
      <c r="A142" s="7" t="s">
        <v>1576</v>
      </c>
      <c r="B142" s="7" t="s">
        <v>1577</v>
      </c>
      <c r="C142" s="14">
        <v>109.42</v>
      </c>
      <c r="D142" s="6">
        <v>2472</v>
      </c>
      <c r="E142" s="6">
        <v>270486.24</v>
      </c>
      <c r="F142" s="6">
        <v>2113.4937759336099</v>
      </c>
      <c r="G142" s="6">
        <v>231258.4889626556</v>
      </c>
    </row>
    <row r="143" spans="1:20" x14ac:dyDescent="0.25">
      <c r="A143" s="7" t="s">
        <v>1454</v>
      </c>
      <c r="B143" s="7" t="s">
        <v>1455</v>
      </c>
      <c r="C143" s="14">
        <v>97.3</v>
      </c>
      <c r="D143" s="6">
        <v>12960</v>
      </c>
      <c r="E143" s="6">
        <v>1261008</v>
      </c>
      <c r="F143" s="6">
        <v>2124.886205294938</v>
      </c>
      <c r="G143" s="6">
        <v>206751.42777519746</v>
      </c>
    </row>
    <row r="144" spans="1:20" x14ac:dyDescent="0.25">
      <c r="G144" s="4">
        <f>SUBTOTAL(9,G134:G143)</f>
        <v>6809364.1288930783</v>
      </c>
    </row>
    <row r="145" spans="1:7" x14ac:dyDescent="0.25">
      <c r="A145" s="40"/>
      <c r="B145" s="41" t="s">
        <v>1613</v>
      </c>
      <c r="C145" s="40"/>
      <c r="D145" s="42"/>
      <c r="E145" s="42"/>
      <c r="F145" s="40"/>
      <c r="G145" s="40"/>
    </row>
    <row r="146" spans="1:7" x14ac:dyDescent="0.25">
      <c r="A146" s="7" t="s">
        <v>1414</v>
      </c>
      <c r="B146" s="7" t="s">
        <v>1415</v>
      </c>
      <c r="C146" s="14">
        <v>295</v>
      </c>
      <c r="D146" s="6">
        <v>12</v>
      </c>
      <c r="E146" s="6">
        <v>3540</v>
      </c>
      <c r="F146" s="6"/>
      <c r="G146" s="6"/>
    </row>
    <row r="147" spans="1:7" x14ac:dyDescent="0.25">
      <c r="A147" s="7" t="s">
        <v>1381</v>
      </c>
      <c r="B147" s="7" t="s">
        <v>1382</v>
      </c>
      <c r="C147" s="14">
        <v>433.08</v>
      </c>
      <c r="D147" s="6">
        <v>1356</v>
      </c>
      <c r="E147" s="6">
        <v>587256.48</v>
      </c>
      <c r="F147" s="6"/>
      <c r="G147" s="6"/>
    </row>
    <row r="148" spans="1:7" x14ac:dyDescent="0.25">
      <c r="A148" s="7" t="s">
        <v>1450</v>
      </c>
      <c r="B148" s="7" t="s">
        <v>1451</v>
      </c>
      <c r="C148" s="14">
        <v>92.01</v>
      </c>
      <c r="D148" s="6">
        <v>561</v>
      </c>
      <c r="E148" s="6">
        <v>51617.61</v>
      </c>
      <c r="F148" s="6"/>
      <c r="G148" s="6"/>
    </row>
    <row r="149" spans="1:7" x14ac:dyDescent="0.25">
      <c r="A149" s="7" t="s">
        <v>1354</v>
      </c>
      <c r="B149" s="7" t="s">
        <v>1603</v>
      </c>
      <c r="C149" s="14">
        <v>135.37</v>
      </c>
      <c r="D149" s="6">
        <v>300</v>
      </c>
      <c r="E149" s="6">
        <v>40611</v>
      </c>
      <c r="F149" s="6"/>
      <c r="G149" s="6"/>
    </row>
    <row r="150" spans="1:7" x14ac:dyDescent="0.25">
      <c r="A150" s="7" t="s">
        <v>1436</v>
      </c>
      <c r="B150" s="7" t="s">
        <v>1437</v>
      </c>
      <c r="C150" s="14">
        <v>100.47</v>
      </c>
      <c r="D150" s="6">
        <v>372</v>
      </c>
      <c r="E150" s="6">
        <v>37374.839999999997</v>
      </c>
      <c r="F150" s="6"/>
      <c r="G150" s="6"/>
    </row>
    <row r="151" spans="1:7" x14ac:dyDescent="0.25">
      <c r="A151" s="7" t="s">
        <v>1352</v>
      </c>
      <c r="B151" s="7" t="s">
        <v>1353</v>
      </c>
      <c r="C151" s="14">
        <v>109.14</v>
      </c>
      <c r="D151" s="6">
        <v>288</v>
      </c>
      <c r="E151" s="6">
        <v>31432.32</v>
      </c>
      <c r="F151" s="6"/>
      <c r="G151" s="6"/>
    </row>
    <row r="152" spans="1:7" x14ac:dyDescent="0.25">
      <c r="A152" s="7" t="s">
        <v>1478</v>
      </c>
      <c r="B152" s="7" t="s">
        <v>1479</v>
      </c>
      <c r="C152" s="14">
        <v>26.44</v>
      </c>
      <c r="D152" s="6">
        <v>720</v>
      </c>
      <c r="E152" s="6">
        <v>19036.8</v>
      </c>
      <c r="F152" s="6"/>
      <c r="G152" s="6"/>
    </row>
    <row r="153" spans="1:7" x14ac:dyDescent="0.25">
      <c r="A153" s="7" t="s">
        <v>1566</v>
      </c>
      <c r="B153" s="7" t="s">
        <v>1567</v>
      </c>
      <c r="C153" s="14">
        <v>941.24</v>
      </c>
      <c r="D153" s="6">
        <v>69</v>
      </c>
      <c r="E153" s="6">
        <v>64945.56</v>
      </c>
      <c r="F153" s="6"/>
      <c r="G153" s="6"/>
    </row>
    <row r="154" spans="1:7" x14ac:dyDescent="0.25">
      <c r="A154" s="7" t="s">
        <v>1568</v>
      </c>
      <c r="B154" s="7" t="s">
        <v>1569</v>
      </c>
      <c r="C154" s="14">
        <v>153.35</v>
      </c>
      <c r="D154" s="6">
        <v>80</v>
      </c>
      <c r="E154" s="6">
        <v>12268</v>
      </c>
      <c r="F154" s="6"/>
      <c r="G154" s="6"/>
    </row>
    <row r="155" spans="1:7" x14ac:dyDescent="0.25">
      <c r="A155" s="7" t="s">
        <v>1496</v>
      </c>
      <c r="B155" s="7" t="s">
        <v>1497</v>
      </c>
      <c r="C155" s="14">
        <v>684.89</v>
      </c>
      <c r="D155" s="6">
        <v>12</v>
      </c>
      <c r="E155" s="6">
        <v>8218.68</v>
      </c>
      <c r="F155" s="6"/>
      <c r="G155" s="6"/>
    </row>
    <row r="156" spans="1:7" x14ac:dyDescent="0.25">
      <c r="A156" s="7" t="s">
        <v>1494</v>
      </c>
      <c r="B156" s="7" t="s">
        <v>1495</v>
      </c>
      <c r="C156" s="14">
        <v>713.73</v>
      </c>
      <c r="D156" s="6">
        <v>8</v>
      </c>
      <c r="E156" s="6">
        <v>5709.84</v>
      </c>
      <c r="F156" s="6"/>
      <c r="G156" s="6"/>
    </row>
    <row r="157" spans="1:7" x14ac:dyDescent="0.25">
      <c r="A157" s="7" t="s">
        <v>1492</v>
      </c>
      <c r="B157" s="7" t="s">
        <v>1493</v>
      </c>
      <c r="C157" s="14">
        <v>765.99</v>
      </c>
      <c r="D157" s="6">
        <v>12</v>
      </c>
      <c r="E157" s="6">
        <v>9191.8799999999992</v>
      </c>
      <c r="F157" s="6"/>
      <c r="G157" s="6"/>
    </row>
    <row r="158" spans="1:7" x14ac:dyDescent="0.25">
      <c r="A158" s="7" t="s">
        <v>1482</v>
      </c>
      <c r="B158" s="7" t="s">
        <v>1483</v>
      </c>
      <c r="C158" s="14">
        <v>542.15</v>
      </c>
      <c r="D158" s="6">
        <v>12</v>
      </c>
      <c r="E158" s="6">
        <v>6505.8</v>
      </c>
      <c r="F158" s="6"/>
      <c r="G158" s="6"/>
    </row>
    <row r="159" spans="1:7" x14ac:dyDescent="0.25">
      <c r="A159" s="7" t="s">
        <v>1367</v>
      </c>
      <c r="B159" s="7" t="s">
        <v>1368</v>
      </c>
      <c r="C159" s="14">
        <v>855.53</v>
      </c>
      <c r="D159" s="6">
        <v>12</v>
      </c>
      <c r="E159" s="6">
        <v>10266.36</v>
      </c>
      <c r="F159" s="6"/>
      <c r="G159" s="6"/>
    </row>
    <row r="160" spans="1:7" x14ac:dyDescent="0.25">
      <c r="A160" s="7" t="s">
        <v>1486</v>
      </c>
      <c r="B160" s="7" t="s">
        <v>1487</v>
      </c>
      <c r="C160" s="14">
        <v>796.63</v>
      </c>
      <c r="D160" s="6">
        <v>8</v>
      </c>
      <c r="E160" s="6">
        <v>6373.04</v>
      </c>
      <c r="F160" s="6"/>
      <c r="G160" s="6"/>
    </row>
    <row r="161" spans="1:7" x14ac:dyDescent="0.25">
      <c r="A161" s="7" t="s">
        <v>1572</v>
      </c>
      <c r="B161" s="7" t="s">
        <v>1573</v>
      </c>
      <c r="C161" s="14">
        <v>153.35</v>
      </c>
      <c r="D161" s="6">
        <v>80</v>
      </c>
      <c r="E161" s="6">
        <v>12268</v>
      </c>
      <c r="F161" s="6"/>
      <c r="G161" s="6"/>
    </row>
    <row r="162" spans="1:7" x14ac:dyDescent="0.25">
      <c r="A162" s="7" t="s">
        <v>1484</v>
      </c>
      <c r="B162" s="7" t="s">
        <v>1485</v>
      </c>
      <c r="C162" s="14">
        <v>681.74</v>
      </c>
      <c r="D162" s="6">
        <v>8</v>
      </c>
      <c r="E162" s="6">
        <v>5453.92</v>
      </c>
      <c r="F162" s="6"/>
      <c r="G162" s="6"/>
    </row>
    <row r="163" spans="1:7" x14ac:dyDescent="0.25">
      <c r="A163" s="7" t="s">
        <v>1363</v>
      </c>
      <c r="B163" s="7" t="s">
        <v>1364</v>
      </c>
      <c r="C163" s="14">
        <v>652.33000000000004</v>
      </c>
      <c r="D163" s="6">
        <v>12</v>
      </c>
      <c r="E163" s="6">
        <v>7827.96</v>
      </c>
      <c r="F163" s="6"/>
      <c r="G163" s="6"/>
    </row>
    <row r="164" spans="1:7" x14ac:dyDescent="0.25">
      <c r="A164" s="7" t="s">
        <v>1560</v>
      </c>
      <c r="B164" s="7" t="s">
        <v>1561</v>
      </c>
      <c r="C164" s="14">
        <v>153.35</v>
      </c>
      <c r="D164" s="6">
        <v>60</v>
      </c>
      <c r="E164" s="6">
        <v>9201</v>
      </c>
      <c r="F164" s="6"/>
      <c r="G164" s="6"/>
    </row>
    <row r="165" spans="1:7" x14ac:dyDescent="0.25">
      <c r="A165" s="7" t="s">
        <v>1490</v>
      </c>
      <c r="B165" s="7" t="s">
        <v>1491</v>
      </c>
      <c r="C165" s="14">
        <v>842.59</v>
      </c>
      <c r="D165" s="6">
        <v>8</v>
      </c>
      <c r="E165" s="6">
        <v>6740.72</v>
      </c>
      <c r="F165" s="6"/>
      <c r="G165" s="6"/>
    </row>
    <row r="166" spans="1:7" x14ac:dyDescent="0.25">
      <c r="A166" s="7" t="s">
        <v>1488</v>
      </c>
      <c r="B166" s="7" t="s">
        <v>1489</v>
      </c>
      <c r="C166" s="14">
        <v>785.15</v>
      </c>
      <c r="D166" s="6">
        <v>12</v>
      </c>
      <c r="E166" s="6">
        <v>9421.7999999999993</v>
      </c>
      <c r="F166" s="6"/>
      <c r="G166" s="6"/>
    </row>
    <row r="167" spans="1:7" x14ac:dyDescent="0.25">
      <c r="A167" s="7" t="s">
        <v>1369</v>
      </c>
      <c r="B167" s="7" t="s">
        <v>1370</v>
      </c>
      <c r="C167" s="14">
        <v>1036.05</v>
      </c>
      <c r="D167" s="6">
        <v>12</v>
      </c>
      <c r="E167" s="6">
        <v>12432.6</v>
      </c>
      <c r="F167" s="6"/>
      <c r="G167" s="6"/>
    </row>
    <row r="168" spans="1:7" x14ac:dyDescent="0.25">
      <c r="A168" s="7" t="s">
        <v>1564</v>
      </c>
      <c r="B168" s="7" t="s">
        <v>1565</v>
      </c>
      <c r="C168" s="14">
        <v>153.35</v>
      </c>
      <c r="D168" s="6">
        <v>80</v>
      </c>
      <c r="E168" s="6">
        <v>12268</v>
      </c>
      <c r="F168" s="6"/>
      <c r="G168" s="6"/>
    </row>
    <row r="169" spans="1:7" x14ac:dyDescent="0.25">
      <c r="A169" s="7" t="s">
        <v>1365</v>
      </c>
      <c r="B169" s="7" t="s">
        <v>1366</v>
      </c>
      <c r="C169" s="14">
        <v>745.19</v>
      </c>
      <c r="D169" s="6">
        <v>12</v>
      </c>
      <c r="E169" s="6">
        <v>8942.2800000000007</v>
      </c>
      <c r="F169" s="6"/>
      <c r="G169" s="6"/>
    </row>
    <row r="170" spans="1:7" x14ac:dyDescent="0.25">
      <c r="A170" s="7" t="s">
        <v>1371</v>
      </c>
      <c r="B170" s="7" t="s">
        <v>1372</v>
      </c>
      <c r="C170" s="14">
        <v>571.75</v>
      </c>
      <c r="D170" s="6">
        <v>12</v>
      </c>
      <c r="E170" s="6">
        <v>6861</v>
      </c>
      <c r="F170" s="6"/>
      <c r="G170" s="6"/>
    </row>
    <row r="171" spans="1:7" x14ac:dyDescent="0.25">
      <c r="E171" s="4">
        <f>SUBTOTAL(9,E146:E170)</f>
        <v>985765.49</v>
      </c>
    </row>
  </sheetData>
  <autoFilter ref="A3:S126" xr:uid="{31AAB9DB-4F03-4C7D-A7FE-EE6E27D622D6}"/>
  <mergeCells count="18">
    <mergeCell ref="S1:S2"/>
    <mergeCell ref="L128:M128"/>
    <mergeCell ref="N128:O128"/>
    <mergeCell ref="P128:Q128"/>
    <mergeCell ref="R128:S128"/>
    <mergeCell ref="P1:Q2"/>
    <mergeCell ref="R1:R2"/>
    <mergeCell ref="D133:E133"/>
    <mergeCell ref="H1:I2"/>
    <mergeCell ref="J1:K2"/>
    <mergeCell ref="L1:M2"/>
    <mergeCell ref="N1:O2"/>
    <mergeCell ref="F1:G2"/>
    <mergeCell ref="A1:A2"/>
    <mergeCell ref="B1:B2"/>
    <mergeCell ref="C1:C2"/>
    <mergeCell ref="D1:D2"/>
    <mergeCell ref="E1:E2"/>
  </mergeCells>
  <pageMargins left="0.7" right="0.7" top="0.75" bottom="0.75" header="0.3" footer="0.3"/>
  <ignoredErrors>
    <ignoredError sqref="N22:O22 N46:O4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9E85-DBDD-465D-8567-23923A5DDCD4}">
  <sheetPr>
    <outlinePr summaryBelow="0" summaryRight="0"/>
    <pageSetUpPr autoPageBreaks="0" fitToPage="1"/>
  </sheetPr>
  <dimension ref="A1:L101"/>
  <sheetViews>
    <sheetView workbookViewId="0">
      <selection activeCell="P15" sqref="P15"/>
    </sheetView>
  </sheetViews>
  <sheetFormatPr defaultColWidth="9" defaultRowHeight="11.45" customHeight="1" outlineLevelRow="3" x14ac:dyDescent="0.2"/>
  <cols>
    <col min="1" max="1" width="9" style="89" customWidth="1"/>
    <col min="2" max="2" width="3.140625" style="89" customWidth="1"/>
    <col min="3" max="3" width="17.85546875" style="89" customWidth="1"/>
    <col min="4" max="4" width="7.140625" style="89" customWidth="1"/>
    <col min="5" max="5" width="35.85546875" style="89" customWidth="1"/>
    <col min="6" max="6" width="2.140625" style="89" customWidth="1"/>
    <col min="7" max="7" width="8.7109375" style="89" customWidth="1"/>
    <col min="8" max="8" width="12" style="113" customWidth="1"/>
    <col min="9" max="9" width="8.85546875" style="113" customWidth="1"/>
    <col min="10" max="10" width="9.140625" style="113" customWidth="1"/>
    <col min="11" max="11" width="11.85546875" style="113" customWidth="1"/>
    <col min="12" max="12" width="10.140625" style="89" customWidth="1"/>
    <col min="13" max="16384" width="9" style="88"/>
  </cols>
  <sheetData>
    <row r="1" spans="1:12" s="89" customFormat="1" ht="9.9499999999999993" customHeight="1" x14ac:dyDescent="0.2">
      <c r="H1" s="113"/>
      <c r="I1" s="113"/>
      <c r="J1" s="113"/>
      <c r="K1" s="113"/>
    </row>
    <row r="2" spans="1:12" ht="24.95" customHeight="1" x14ac:dyDescent="0.2">
      <c r="A2" s="112" t="s">
        <v>1717</v>
      </c>
      <c r="B2" s="112"/>
      <c r="C2" s="112"/>
      <c r="D2" s="112"/>
      <c r="E2" s="112"/>
    </row>
    <row r="3" spans="1:12" s="89" customFormat="1" ht="9.9499999999999993" customHeight="1" collapsed="1" x14ac:dyDescent="0.2">
      <c r="H3" s="113"/>
      <c r="I3" s="113"/>
      <c r="J3" s="113"/>
      <c r="K3" s="113"/>
    </row>
    <row r="4" spans="1:12" ht="12.95" hidden="1" customHeight="1" outlineLevel="1" x14ac:dyDescent="0.2">
      <c r="A4" s="111" t="s">
        <v>1614</v>
      </c>
      <c r="B4" s="111"/>
      <c r="C4" s="111" t="s">
        <v>1839</v>
      </c>
      <c r="D4" s="111"/>
      <c r="E4" s="111"/>
      <c r="F4" s="111"/>
    </row>
    <row r="5" spans="1:12" ht="12.95" hidden="1" customHeight="1" outlineLevel="1" x14ac:dyDescent="0.2">
      <c r="C5" s="111" t="s">
        <v>1716</v>
      </c>
      <c r="D5" s="111"/>
      <c r="E5" s="111"/>
      <c r="F5" s="111"/>
    </row>
    <row r="6" spans="1:12" ht="12.95" hidden="1" customHeight="1" outlineLevel="1" x14ac:dyDescent="0.2">
      <c r="C6" s="111" t="s">
        <v>1715</v>
      </c>
      <c r="D6" s="111"/>
      <c r="E6" s="111"/>
      <c r="F6" s="111"/>
    </row>
    <row r="7" spans="1:12" ht="12.95" hidden="1" customHeight="1" outlineLevel="1" x14ac:dyDescent="0.2">
      <c r="C7" s="111" t="s">
        <v>1615</v>
      </c>
      <c r="D7" s="111"/>
      <c r="E7" s="111"/>
      <c r="F7" s="111"/>
    </row>
    <row r="8" spans="1:12" ht="12.95" hidden="1" customHeight="1" outlineLevel="1" x14ac:dyDescent="0.2">
      <c r="C8" s="111" t="s">
        <v>1714</v>
      </c>
      <c r="D8" s="111"/>
      <c r="E8" s="111"/>
      <c r="F8" s="111"/>
    </row>
    <row r="9" spans="1:12" ht="39.950000000000003" hidden="1" customHeight="1" outlineLevel="1" x14ac:dyDescent="0.2">
      <c r="A9" s="111" t="s">
        <v>1618</v>
      </c>
      <c r="B9" s="111"/>
      <c r="C9" s="109" t="s">
        <v>1734</v>
      </c>
      <c r="D9" s="110"/>
      <c r="E9" s="110"/>
      <c r="F9" s="110"/>
      <c r="G9" s="109"/>
      <c r="H9" s="109"/>
      <c r="I9" s="109"/>
      <c r="J9" s="109"/>
      <c r="K9" s="109"/>
      <c r="L9" s="109"/>
    </row>
    <row r="10" spans="1:12" s="89" customFormat="1" ht="9.9499999999999993" customHeight="1" x14ac:dyDescent="0.2">
      <c r="H10" s="113"/>
      <c r="I10" s="113"/>
      <c r="J10" s="113"/>
      <c r="K10" s="113"/>
    </row>
    <row r="11" spans="1:12" ht="18.95" customHeight="1" x14ac:dyDescent="0.2">
      <c r="A11" s="108" t="s">
        <v>1713</v>
      </c>
      <c r="B11" s="108"/>
      <c r="C11" s="108"/>
      <c r="D11" s="107" t="s">
        <v>1712</v>
      </c>
    </row>
    <row r="12" spans="1:12" s="89" customFormat="1" ht="9.9499999999999993" customHeight="1" x14ac:dyDescent="0.2">
      <c r="H12" s="113"/>
      <c r="I12" s="113"/>
      <c r="J12" s="113"/>
      <c r="K12" s="113"/>
    </row>
    <row r="13" spans="1:12" ht="12.95" customHeight="1" outlineLevel="1" x14ac:dyDescent="0.2">
      <c r="A13" s="105" t="s">
        <v>1711</v>
      </c>
      <c r="B13" s="105"/>
      <c r="C13" s="105"/>
      <c r="D13" s="105"/>
      <c r="E13" s="105"/>
      <c r="F13" s="105"/>
      <c r="G13" s="105"/>
      <c r="H13" s="105" t="s">
        <v>1710</v>
      </c>
      <c r="I13" s="105"/>
      <c r="J13" s="105"/>
      <c r="K13" s="105"/>
      <c r="L13" s="105"/>
    </row>
    <row r="14" spans="1:12" ht="12.95" customHeight="1" outlineLevel="1" x14ac:dyDescent="0.2">
      <c r="A14" s="105" t="s">
        <v>1</v>
      </c>
      <c r="B14" s="105"/>
      <c r="C14" s="105"/>
      <c r="D14" s="105"/>
      <c r="E14" s="105"/>
      <c r="F14" s="105"/>
      <c r="G14" s="104" t="s">
        <v>1709</v>
      </c>
      <c r="H14" s="114" t="s">
        <v>1619</v>
      </c>
      <c r="I14" s="114" t="s">
        <v>1616</v>
      </c>
      <c r="J14" s="114" t="s">
        <v>1708</v>
      </c>
      <c r="K14" s="114" t="s">
        <v>1707</v>
      </c>
      <c r="L14" s="106" t="s">
        <v>1706</v>
      </c>
    </row>
    <row r="15" spans="1:12" ht="26.1" customHeight="1" outlineLevel="1" x14ac:dyDescent="0.2">
      <c r="A15" s="105" t="s">
        <v>1705</v>
      </c>
      <c r="B15" s="105"/>
      <c r="C15" s="105"/>
      <c r="D15" s="105"/>
      <c r="E15" s="105"/>
      <c r="F15" s="105"/>
      <c r="G15" s="104" t="s">
        <v>1704</v>
      </c>
      <c r="H15" s="115"/>
      <c r="I15" s="115"/>
      <c r="J15" s="115"/>
      <c r="K15" s="115"/>
      <c r="L15" s="103"/>
    </row>
    <row r="16" spans="1:12" ht="11.1" customHeight="1" outlineLevel="1" x14ac:dyDescent="0.2">
      <c r="A16" s="102" t="s">
        <v>1733</v>
      </c>
      <c r="B16" s="102"/>
      <c r="C16" s="102"/>
      <c r="D16" s="102"/>
      <c r="E16" s="102"/>
      <c r="F16" s="102"/>
      <c r="G16" s="102"/>
      <c r="H16" s="116">
        <v>15094</v>
      </c>
      <c r="I16" s="116">
        <v>576</v>
      </c>
      <c r="J16" s="116">
        <v>733</v>
      </c>
      <c r="K16" s="116">
        <v>13785</v>
      </c>
      <c r="L16" s="101">
        <v>2.5</v>
      </c>
    </row>
    <row r="17" spans="1:12" s="89" customFormat="1" ht="11.1" customHeight="1" outlineLevel="2" x14ac:dyDescent="0.2">
      <c r="A17" s="97" t="s">
        <v>1345</v>
      </c>
      <c r="B17" s="97"/>
      <c r="C17" s="97"/>
      <c r="D17" s="97"/>
      <c r="E17" s="97"/>
      <c r="F17" s="97"/>
      <c r="G17" s="96" t="s">
        <v>1623</v>
      </c>
      <c r="H17" s="117"/>
      <c r="I17" s="117"/>
      <c r="J17" s="117"/>
      <c r="K17" s="117"/>
      <c r="L17" s="99"/>
    </row>
    <row r="18" spans="1:12" s="89" customFormat="1" ht="11.1" customHeight="1" outlineLevel="3" collapsed="1" x14ac:dyDescent="0.2">
      <c r="A18" s="100" t="s">
        <v>1821</v>
      </c>
      <c r="B18" s="100"/>
      <c r="C18" s="100"/>
      <c r="D18" s="100"/>
      <c r="E18" s="100"/>
      <c r="F18" s="100"/>
      <c r="G18" s="92" t="s">
        <v>1820</v>
      </c>
      <c r="H18" s="118">
        <v>384</v>
      </c>
      <c r="I18" s="118"/>
      <c r="J18" s="118"/>
      <c r="K18" s="118">
        <v>384</v>
      </c>
      <c r="L18" s="98">
        <v>2.2999999999999998</v>
      </c>
    </row>
    <row r="19" spans="1:12" s="89" customFormat="1" ht="11.1" customHeight="1" outlineLevel="2" x14ac:dyDescent="0.2">
      <c r="A19" s="97" t="s">
        <v>1353</v>
      </c>
      <c r="B19" s="97"/>
      <c r="C19" s="97"/>
      <c r="D19" s="97"/>
      <c r="E19" s="97"/>
      <c r="F19" s="97"/>
      <c r="G19" s="96" t="s">
        <v>1623</v>
      </c>
      <c r="H19" s="117"/>
      <c r="I19" s="117"/>
      <c r="J19" s="117"/>
      <c r="K19" s="117"/>
      <c r="L19" s="94"/>
    </row>
    <row r="20" spans="1:12" s="89" customFormat="1" ht="11.1" customHeight="1" outlineLevel="3" collapsed="1" x14ac:dyDescent="0.2">
      <c r="A20" s="93" t="s">
        <v>1674</v>
      </c>
      <c r="B20" s="93"/>
      <c r="C20" s="93"/>
      <c r="D20" s="93"/>
      <c r="E20" s="93"/>
      <c r="F20" s="93"/>
      <c r="G20" s="92" t="s">
        <v>1643</v>
      </c>
      <c r="H20" s="118">
        <v>288</v>
      </c>
      <c r="I20" s="118"/>
      <c r="J20" s="118"/>
      <c r="K20" s="118">
        <v>288</v>
      </c>
      <c r="L20" s="90" t="s">
        <v>1620</v>
      </c>
    </row>
    <row r="21" spans="1:12" s="89" customFormat="1" ht="11.1" customHeight="1" outlineLevel="2" x14ac:dyDescent="0.2">
      <c r="A21" s="97" t="s">
        <v>1603</v>
      </c>
      <c r="B21" s="97"/>
      <c r="C21" s="97"/>
      <c r="D21" s="97"/>
      <c r="E21" s="97"/>
      <c r="F21" s="97"/>
      <c r="G21" s="96" t="s">
        <v>1623</v>
      </c>
      <c r="H21" s="117"/>
      <c r="I21" s="117"/>
      <c r="J21" s="117"/>
      <c r="K21" s="117"/>
      <c r="L21" s="94"/>
    </row>
    <row r="22" spans="1:12" s="89" customFormat="1" ht="11.1" customHeight="1" outlineLevel="3" collapsed="1" x14ac:dyDescent="0.2">
      <c r="A22" s="93" t="s">
        <v>1661</v>
      </c>
      <c r="B22" s="93"/>
      <c r="C22" s="93"/>
      <c r="D22" s="93"/>
      <c r="E22" s="93"/>
      <c r="F22" s="93"/>
      <c r="G22" s="92" t="s">
        <v>1643</v>
      </c>
      <c r="H22" s="118">
        <v>300</v>
      </c>
      <c r="I22" s="118"/>
      <c r="J22" s="118"/>
      <c r="K22" s="118">
        <v>300</v>
      </c>
      <c r="L22" s="90" t="s">
        <v>1620</v>
      </c>
    </row>
    <row r="23" spans="1:12" s="89" customFormat="1" ht="11.1" customHeight="1" outlineLevel="2" x14ac:dyDescent="0.2">
      <c r="A23" s="97" t="s">
        <v>1356</v>
      </c>
      <c r="B23" s="97"/>
      <c r="C23" s="97"/>
      <c r="D23" s="97"/>
      <c r="E23" s="97"/>
      <c r="F23" s="97"/>
      <c r="G23" s="96" t="s">
        <v>1623</v>
      </c>
      <c r="H23" s="117"/>
      <c r="I23" s="117"/>
      <c r="J23" s="117"/>
      <c r="K23" s="117"/>
      <c r="L23" s="99"/>
    </row>
    <row r="24" spans="1:12" s="89" customFormat="1" ht="11.1" customHeight="1" outlineLevel="3" x14ac:dyDescent="0.2">
      <c r="A24" s="93" t="s">
        <v>1695</v>
      </c>
      <c r="B24" s="93"/>
      <c r="C24" s="93"/>
      <c r="D24" s="93"/>
      <c r="E24" s="93"/>
      <c r="F24" s="93"/>
      <c r="G24" s="92" t="s">
        <v>1694</v>
      </c>
      <c r="H24" s="118">
        <v>252</v>
      </c>
      <c r="I24" s="118"/>
      <c r="J24" s="118">
        <v>252</v>
      </c>
      <c r="K24" s="118"/>
      <c r="L24" s="90" t="s">
        <v>1620</v>
      </c>
    </row>
    <row r="25" spans="1:12" s="89" customFormat="1" ht="11.1" customHeight="1" outlineLevel="3" collapsed="1" x14ac:dyDescent="0.2">
      <c r="A25" s="100" t="s">
        <v>1838</v>
      </c>
      <c r="B25" s="100"/>
      <c r="C25" s="100"/>
      <c r="D25" s="100"/>
      <c r="E25" s="100"/>
      <c r="F25" s="100"/>
      <c r="G25" s="92" t="s">
        <v>1822</v>
      </c>
      <c r="H25" s="118">
        <v>24</v>
      </c>
      <c r="I25" s="118"/>
      <c r="J25" s="118"/>
      <c r="K25" s="118">
        <v>24</v>
      </c>
      <c r="L25" s="98">
        <v>0</v>
      </c>
    </row>
    <row r="26" spans="1:12" s="89" customFormat="1" ht="11.1" customHeight="1" outlineLevel="2" x14ac:dyDescent="0.2">
      <c r="A26" s="97" t="s">
        <v>1358</v>
      </c>
      <c r="B26" s="97"/>
      <c r="C26" s="97"/>
      <c r="D26" s="97"/>
      <c r="E26" s="97"/>
      <c r="F26" s="97"/>
      <c r="G26" s="96" t="s">
        <v>1623</v>
      </c>
      <c r="H26" s="117"/>
      <c r="I26" s="117"/>
      <c r="J26" s="117"/>
      <c r="K26" s="117"/>
      <c r="L26" s="99"/>
    </row>
    <row r="27" spans="1:12" s="89" customFormat="1" ht="11.1" customHeight="1" outlineLevel="3" x14ac:dyDescent="0.2">
      <c r="A27" s="93" t="s">
        <v>1673</v>
      </c>
      <c r="B27" s="93"/>
      <c r="C27" s="93"/>
      <c r="D27" s="93"/>
      <c r="E27" s="93"/>
      <c r="F27" s="93"/>
      <c r="G27" s="92" t="s">
        <v>1645</v>
      </c>
      <c r="H27" s="118">
        <v>12</v>
      </c>
      <c r="I27" s="118"/>
      <c r="J27" s="118"/>
      <c r="K27" s="118">
        <v>12</v>
      </c>
      <c r="L27" s="98">
        <v>3</v>
      </c>
    </row>
    <row r="28" spans="1:12" s="89" customFormat="1" ht="11.1" customHeight="1" outlineLevel="3" x14ac:dyDescent="0.2">
      <c r="A28" s="93" t="s">
        <v>1747</v>
      </c>
      <c r="B28" s="93"/>
      <c r="C28" s="93"/>
      <c r="D28" s="93"/>
      <c r="E28" s="93"/>
      <c r="F28" s="93"/>
      <c r="G28" s="92" t="s">
        <v>1744</v>
      </c>
      <c r="H28" s="118">
        <v>24</v>
      </c>
      <c r="I28" s="118"/>
      <c r="J28" s="118"/>
      <c r="K28" s="118">
        <v>24</v>
      </c>
      <c r="L28" s="98">
        <v>0</v>
      </c>
    </row>
    <row r="29" spans="1:12" s="89" customFormat="1" ht="11.1" customHeight="1" outlineLevel="3" collapsed="1" x14ac:dyDescent="0.2">
      <c r="A29" s="100" t="s">
        <v>1838</v>
      </c>
      <c r="B29" s="100"/>
      <c r="C29" s="100"/>
      <c r="D29" s="100"/>
      <c r="E29" s="100"/>
      <c r="F29" s="100"/>
      <c r="G29" s="92" t="s">
        <v>1822</v>
      </c>
      <c r="H29" s="118">
        <v>180</v>
      </c>
      <c r="I29" s="118"/>
      <c r="J29" s="118">
        <v>12</v>
      </c>
      <c r="K29" s="118">
        <v>168</v>
      </c>
      <c r="L29" s="98">
        <v>0.7</v>
      </c>
    </row>
    <row r="30" spans="1:12" s="89" customFormat="1" ht="11.1" customHeight="1" outlineLevel="2" x14ac:dyDescent="0.2">
      <c r="A30" s="97" t="s">
        <v>1360</v>
      </c>
      <c r="B30" s="97"/>
      <c r="C30" s="97"/>
      <c r="D30" s="97"/>
      <c r="E30" s="97"/>
      <c r="F30" s="97"/>
      <c r="G30" s="96" t="s">
        <v>1623</v>
      </c>
      <c r="H30" s="117"/>
      <c r="I30" s="117"/>
      <c r="J30" s="117"/>
      <c r="K30" s="117"/>
      <c r="L30" s="99"/>
    </row>
    <row r="31" spans="1:12" s="89" customFormat="1" ht="11.1" customHeight="1" outlineLevel="3" x14ac:dyDescent="0.2">
      <c r="A31" s="93" t="s">
        <v>1732</v>
      </c>
      <c r="B31" s="93"/>
      <c r="C31" s="93"/>
      <c r="D31" s="93"/>
      <c r="E31" s="93"/>
      <c r="F31" s="93"/>
      <c r="G31" s="92" t="s">
        <v>1731</v>
      </c>
      <c r="H31" s="118">
        <v>12</v>
      </c>
      <c r="I31" s="118"/>
      <c r="J31" s="118">
        <v>12</v>
      </c>
      <c r="K31" s="118"/>
      <c r="L31" s="90" t="s">
        <v>1620</v>
      </c>
    </row>
    <row r="32" spans="1:12" s="89" customFormat="1" ht="11.1" customHeight="1" outlineLevel="3" x14ac:dyDescent="0.2">
      <c r="A32" s="93" t="s">
        <v>1730</v>
      </c>
      <c r="B32" s="93"/>
      <c r="C32" s="93"/>
      <c r="D32" s="93"/>
      <c r="E32" s="93"/>
      <c r="F32" s="93"/>
      <c r="G32" s="92" t="s">
        <v>1651</v>
      </c>
      <c r="H32" s="118">
        <v>36</v>
      </c>
      <c r="I32" s="118"/>
      <c r="J32" s="118"/>
      <c r="K32" s="118">
        <v>36</v>
      </c>
      <c r="L32" s="98">
        <v>0.9</v>
      </c>
    </row>
    <row r="33" spans="1:12" s="89" customFormat="1" ht="11.1" customHeight="1" outlineLevel="3" x14ac:dyDescent="0.2">
      <c r="A33" s="100" t="s">
        <v>1812</v>
      </c>
      <c r="B33" s="100"/>
      <c r="C33" s="100"/>
      <c r="D33" s="100"/>
      <c r="E33" s="100"/>
      <c r="F33" s="100"/>
      <c r="G33" s="92" t="s">
        <v>1811</v>
      </c>
      <c r="H33" s="118">
        <v>12</v>
      </c>
      <c r="I33" s="118"/>
      <c r="J33" s="118"/>
      <c r="K33" s="118">
        <v>12</v>
      </c>
      <c r="L33" s="98">
        <v>0.1</v>
      </c>
    </row>
    <row r="34" spans="1:12" s="89" customFormat="1" ht="11.1" customHeight="1" outlineLevel="3" collapsed="1" x14ac:dyDescent="0.2">
      <c r="A34" s="100" t="s">
        <v>1837</v>
      </c>
      <c r="B34" s="100"/>
      <c r="C34" s="100"/>
      <c r="D34" s="100"/>
      <c r="E34" s="100"/>
      <c r="F34" s="100"/>
      <c r="G34" s="92" t="s">
        <v>1836</v>
      </c>
      <c r="H34" s="118">
        <v>480</v>
      </c>
      <c r="I34" s="118"/>
      <c r="J34" s="118"/>
      <c r="K34" s="118">
        <v>480</v>
      </c>
      <c r="L34" s="98">
        <v>2.6</v>
      </c>
    </row>
    <row r="35" spans="1:12" s="89" customFormat="1" ht="11.1" customHeight="1" outlineLevel="2" x14ac:dyDescent="0.2">
      <c r="A35" s="97" t="s">
        <v>1561</v>
      </c>
      <c r="B35" s="97"/>
      <c r="C35" s="97"/>
      <c r="D35" s="97"/>
      <c r="E35" s="97"/>
      <c r="F35" s="97"/>
      <c r="G35" s="96" t="s">
        <v>1623</v>
      </c>
      <c r="H35" s="117"/>
      <c r="I35" s="117"/>
      <c r="J35" s="117"/>
      <c r="K35" s="117"/>
      <c r="L35" s="94"/>
    </row>
    <row r="36" spans="1:12" s="89" customFormat="1" ht="11.1" customHeight="1" outlineLevel="3" collapsed="1" x14ac:dyDescent="0.2">
      <c r="A36" s="93" t="s">
        <v>1642</v>
      </c>
      <c r="B36" s="93"/>
      <c r="C36" s="93"/>
      <c r="D36" s="93"/>
      <c r="E36" s="93"/>
      <c r="F36" s="93"/>
      <c r="G36" s="92" t="s">
        <v>1641</v>
      </c>
      <c r="H36" s="118">
        <v>60</v>
      </c>
      <c r="I36" s="118"/>
      <c r="J36" s="118"/>
      <c r="K36" s="118">
        <v>60</v>
      </c>
      <c r="L36" s="90" t="s">
        <v>1620</v>
      </c>
    </row>
    <row r="37" spans="1:12" s="89" customFormat="1" ht="11.1" customHeight="1" outlineLevel="2" x14ac:dyDescent="0.2">
      <c r="A37" s="97" t="s">
        <v>1563</v>
      </c>
      <c r="B37" s="97"/>
      <c r="C37" s="97"/>
      <c r="D37" s="97"/>
      <c r="E37" s="97"/>
      <c r="F37" s="97"/>
      <c r="G37" s="96" t="s">
        <v>1623</v>
      </c>
      <c r="H37" s="117"/>
      <c r="I37" s="117"/>
      <c r="J37" s="117"/>
      <c r="K37" s="117"/>
      <c r="L37" s="99"/>
    </row>
    <row r="38" spans="1:12" s="89" customFormat="1" ht="11.1" customHeight="1" outlineLevel="3" collapsed="1" x14ac:dyDescent="0.2">
      <c r="A38" s="100" t="s">
        <v>1830</v>
      </c>
      <c r="B38" s="100"/>
      <c r="C38" s="100"/>
      <c r="D38" s="100"/>
      <c r="E38" s="100"/>
      <c r="F38" s="100"/>
      <c r="G38" s="92" t="s">
        <v>1829</v>
      </c>
      <c r="H38" s="118">
        <v>28</v>
      </c>
      <c r="I38" s="118"/>
      <c r="J38" s="118"/>
      <c r="K38" s="118">
        <v>28</v>
      </c>
      <c r="L38" s="98">
        <v>84</v>
      </c>
    </row>
    <row r="39" spans="1:12" s="89" customFormat="1" ht="11.1" customHeight="1" outlineLevel="2" x14ac:dyDescent="0.2">
      <c r="A39" s="97" t="s">
        <v>1565</v>
      </c>
      <c r="B39" s="97"/>
      <c r="C39" s="97"/>
      <c r="D39" s="97"/>
      <c r="E39" s="97"/>
      <c r="F39" s="97"/>
      <c r="G39" s="96" t="s">
        <v>1623</v>
      </c>
      <c r="H39" s="117"/>
      <c r="I39" s="117"/>
      <c r="J39" s="117"/>
      <c r="K39" s="117"/>
      <c r="L39" s="94"/>
    </row>
    <row r="40" spans="1:12" s="89" customFormat="1" ht="11.1" customHeight="1" outlineLevel="3" collapsed="1" x14ac:dyDescent="0.2">
      <c r="A40" s="93" t="s">
        <v>1642</v>
      </c>
      <c r="B40" s="93"/>
      <c r="C40" s="93"/>
      <c r="D40" s="93"/>
      <c r="E40" s="93"/>
      <c r="F40" s="93"/>
      <c r="G40" s="92" t="s">
        <v>1641</v>
      </c>
      <c r="H40" s="118">
        <v>80</v>
      </c>
      <c r="I40" s="118"/>
      <c r="J40" s="118"/>
      <c r="K40" s="118">
        <v>80</v>
      </c>
      <c r="L40" s="90" t="s">
        <v>1620</v>
      </c>
    </row>
    <row r="41" spans="1:12" s="89" customFormat="1" ht="11.1" customHeight="1" outlineLevel="2" x14ac:dyDescent="0.2">
      <c r="A41" s="97" t="s">
        <v>1567</v>
      </c>
      <c r="B41" s="97"/>
      <c r="C41" s="97"/>
      <c r="D41" s="97"/>
      <c r="E41" s="97"/>
      <c r="F41" s="97"/>
      <c r="G41" s="96" t="s">
        <v>1623</v>
      </c>
      <c r="H41" s="117"/>
      <c r="I41" s="117"/>
      <c r="J41" s="117"/>
      <c r="K41" s="117"/>
      <c r="L41" s="94"/>
    </row>
    <row r="42" spans="1:12" s="89" customFormat="1" ht="11.1" customHeight="1" outlineLevel="3" collapsed="1" x14ac:dyDescent="0.2">
      <c r="A42" s="93" t="s">
        <v>1642</v>
      </c>
      <c r="B42" s="93"/>
      <c r="C42" s="93"/>
      <c r="D42" s="93"/>
      <c r="E42" s="93"/>
      <c r="F42" s="93"/>
      <c r="G42" s="92" t="s">
        <v>1641</v>
      </c>
      <c r="H42" s="118">
        <v>69</v>
      </c>
      <c r="I42" s="118"/>
      <c r="J42" s="118"/>
      <c r="K42" s="118">
        <v>69</v>
      </c>
      <c r="L42" s="90" t="s">
        <v>1620</v>
      </c>
    </row>
    <row r="43" spans="1:12" s="89" customFormat="1" ht="11.1" customHeight="1" outlineLevel="2" x14ac:dyDescent="0.2">
      <c r="A43" s="97" t="s">
        <v>1569</v>
      </c>
      <c r="B43" s="97"/>
      <c r="C43" s="97"/>
      <c r="D43" s="97"/>
      <c r="E43" s="97"/>
      <c r="F43" s="97"/>
      <c r="G43" s="96" t="s">
        <v>1623</v>
      </c>
      <c r="H43" s="117"/>
      <c r="I43" s="117"/>
      <c r="J43" s="117"/>
      <c r="K43" s="117"/>
      <c r="L43" s="94"/>
    </row>
    <row r="44" spans="1:12" s="89" customFormat="1" ht="11.1" customHeight="1" outlineLevel="3" collapsed="1" x14ac:dyDescent="0.2">
      <c r="A44" s="93" t="s">
        <v>1642</v>
      </c>
      <c r="B44" s="93"/>
      <c r="C44" s="93"/>
      <c r="D44" s="93"/>
      <c r="E44" s="93"/>
      <c r="F44" s="93"/>
      <c r="G44" s="92" t="s">
        <v>1641</v>
      </c>
      <c r="H44" s="118">
        <v>80</v>
      </c>
      <c r="I44" s="118"/>
      <c r="J44" s="118"/>
      <c r="K44" s="118">
        <v>80</v>
      </c>
      <c r="L44" s="90" t="s">
        <v>1620</v>
      </c>
    </row>
    <row r="45" spans="1:12" s="89" customFormat="1" ht="11.1" customHeight="1" outlineLevel="2" x14ac:dyDescent="0.2">
      <c r="A45" s="97" t="s">
        <v>1571</v>
      </c>
      <c r="B45" s="97"/>
      <c r="C45" s="97"/>
      <c r="D45" s="97"/>
      <c r="E45" s="97"/>
      <c r="F45" s="97"/>
      <c r="G45" s="96" t="s">
        <v>1623</v>
      </c>
      <c r="H45" s="117"/>
      <c r="I45" s="117"/>
      <c r="J45" s="117"/>
      <c r="K45" s="117"/>
      <c r="L45" s="94"/>
    </row>
    <row r="46" spans="1:12" s="89" customFormat="1" ht="11.1" customHeight="1" outlineLevel="3" collapsed="1" x14ac:dyDescent="0.2">
      <c r="A46" s="100" t="s">
        <v>1835</v>
      </c>
      <c r="B46" s="100"/>
      <c r="C46" s="100"/>
      <c r="D46" s="100"/>
      <c r="E46" s="100"/>
      <c r="F46" s="100"/>
      <c r="G46" s="92" t="s">
        <v>1834</v>
      </c>
      <c r="H46" s="118">
        <v>7</v>
      </c>
      <c r="I46" s="118"/>
      <c r="J46" s="118"/>
      <c r="K46" s="118">
        <v>7</v>
      </c>
      <c r="L46" s="90" t="s">
        <v>1620</v>
      </c>
    </row>
    <row r="47" spans="1:12" s="89" customFormat="1" ht="11.1" customHeight="1" outlineLevel="2" x14ac:dyDescent="0.2">
      <c r="A47" s="97" t="s">
        <v>1573</v>
      </c>
      <c r="B47" s="97"/>
      <c r="C47" s="97"/>
      <c r="D47" s="97"/>
      <c r="E47" s="97"/>
      <c r="F47" s="97"/>
      <c r="G47" s="96" t="s">
        <v>1623</v>
      </c>
      <c r="H47" s="117"/>
      <c r="I47" s="117"/>
      <c r="J47" s="117"/>
      <c r="K47" s="117"/>
      <c r="L47" s="94"/>
    </row>
    <row r="48" spans="1:12" s="89" customFormat="1" ht="11.1" customHeight="1" outlineLevel="3" collapsed="1" x14ac:dyDescent="0.2">
      <c r="A48" s="93" t="s">
        <v>1642</v>
      </c>
      <c r="B48" s="93"/>
      <c r="C48" s="93"/>
      <c r="D48" s="93"/>
      <c r="E48" s="93"/>
      <c r="F48" s="93"/>
      <c r="G48" s="92" t="s">
        <v>1641</v>
      </c>
      <c r="H48" s="118">
        <v>80</v>
      </c>
      <c r="I48" s="118"/>
      <c r="J48" s="118"/>
      <c r="K48" s="118">
        <v>80</v>
      </c>
      <c r="L48" s="90" t="s">
        <v>1620</v>
      </c>
    </row>
    <row r="49" spans="1:12" s="89" customFormat="1" ht="11.1" customHeight="1" outlineLevel="2" x14ac:dyDescent="0.2">
      <c r="A49" s="97" t="s">
        <v>1575</v>
      </c>
      <c r="B49" s="97"/>
      <c r="C49" s="97"/>
      <c r="D49" s="97"/>
      <c r="E49" s="97"/>
      <c r="F49" s="97"/>
      <c r="G49" s="96" t="s">
        <v>1623</v>
      </c>
      <c r="H49" s="117"/>
      <c r="I49" s="117"/>
      <c r="J49" s="117"/>
      <c r="K49" s="117"/>
      <c r="L49" s="99"/>
    </row>
    <row r="50" spans="1:12" s="89" customFormat="1" ht="11.1" customHeight="1" outlineLevel="3" collapsed="1" x14ac:dyDescent="0.2">
      <c r="A50" s="93" t="s">
        <v>1642</v>
      </c>
      <c r="B50" s="93"/>
      <c r="C50" s="93"/>
      <c r="D50" s="93"/>
      <c r="E50" s="93"/>
      <c r="F50" s="93"/>
      <c r="G50" s="92" t="s">
        <v>1641</v>
      </c>
      <c r="H50" s="118">
        <v>7</v>
      </c>
      <c r="I50" s="118"/>
      <c r="J50" s="118"/>
      <c r="K50" s="118">
        <v>7</v>
      </c>
      <c r="L50" s="98">
        <v>0.3</v>
      </c>
    </row>
    <row r="51" spans="1:12" s="89" customFormat="1" ht="11.25" outlineLevel="2" x14ac:dyDescent="0.2">
      <c r="A51" s="97" t="s">
        <v>1378</v>
      </c>
      <c r="B51" s="97"/>
      <c r="C51" s="97"/>
      <c r="D51" s="97"/>
      <c r="E51" s="97"/>
      <c r="F51" s="97"/>
      <c r="G51" s="96" t="s">
        <v>1623</v>
      </c>
      <c r="H51" s="117"/>
      <c r="I51" s="117"/>
      <c r="J51" s="117"/>
      <c r="K51" s="117"/>
      <c r="L51" s="99"/>
    </row>
    <row r="52" spans="1:12" s="89" customFormat="1" ht="11.1" customHeight="1" outlineLevel="3" collapsed="1" x14ac:dyDescent="0.2">
      <c r="A52" s="100" t="s">
        <v>1821</v>
      </c>
      <c r="B52" s="100"/>
      <c r="C52" s="100"/>
      <c r="D52" s="100"/>
      <c r="E52" s="100"/>
      <c r="F52" s="100"/>
      <c r="G52" s="92" t="s">
        <v>1820</v>
      </c>
      <c r="H52" s="118">
        <v>24</v>
      </c>
      <c r="I52" s="118"/>
      <c r="J52" s="118"/>
      <c r="K52" s="118">
        <v>24</v>
      </c>
      <c r="L52" s="98">
        <v>0.1</v>
      </c>
    </row>
    <row r="53" spans="1:12" s="89" customFormat="1" ht="11.1" customHeight="1" outlineLevel="2" x14ac:dyDescent="0.2">
      <c r="A53" s="97" t="s">
        <v>1380</v>
      </c>
      <c r="B53" s="97"/>
      <c r="C53" s="97"/>
      <c r="D53" s="97"/>
      <c r="E53" s="97"/>
      <c r="F53" s="97"/>
      <c r="G53" s="96" t="s">
        <v>1623</v>
      </c>
      <c r="H53" s="117"/>
      <c r="I53" s="117"/>
      <c r="J53" s="117"/>
      <c r="K53" s="117"/>
      <c r="L53" s="99"/>
    </row>
    <row r="54" spans="1:12" s="89" customFormat="1" ht="11.1" customHeight="1" outlineLevel="3" x14ac:dyDescent="0.2">
      <c r="A54" s="100" t="s">
        <v>1833</v>
      </c>
      <c r="B54" s="100"/>
      <c r="C54" s="100"/>
      <c r="D54" s="100"/>
      <c r="E54" s="100"/>
      <c r="F54" s="100"/>
      <c r="G54" s="92" t="s">
        <v>1824</v>
      </c>
      <c r="H54" s="118">
        <v>288</v>
      </c>
      <c r="I54" s="118"/>
      <c r="J54" s="118"/>
      <c r="K54" s="118">
        <v>288</v>
      </c>
      <c r="L54" s="98">
        <v>1.1000000000000001</v>
      </c>
    </row>
    <row r="55" spans="1:12" s="89" customFormat="1" ht="11.1" customHeight="1" outlineLevel="3" collapsed="1" x14ac:dyDescent="0.2">
      <c r="A55" s="100" t="s">
        <v>1832</v>
      </c>
      <c r="B55" s="100"/>
      <c r="C55" s="100"/>
      <c r="D55" s="100"/>
      <c r="E55" s="100"/>
      <c r="F55" s="100"/>
      <c r="G55" s="92" t="s">
        <v>1822</v>
      </c>
      <c r="H55" s="118">
        <v>84</v>
      </c>
      <c r="I55" s="118"/>
      <c r="J55" s="118"/>
      <c r="K55" s="118">
        <v>84</v>
      </c>
      <c r="L55" s="98">
        <v>0.7</v>
      </c>
    </row>
    <row r="56" spans="1:12" s="89" customFormat="1" ht="11.1" customHeight="1" outlineLevel="2" x14ac:dyDescent="0.2">
      <c r="A56" s="97" t="s">
        <v>1382</v>
      </c>
      <c r="B56" s="97"/>
      <c r="C56" s="97"/>
      <c r="D56" s="97"/>
      <c r="E56" s="97"/>
      <c r="F56" s="97"/>
      <c r="G56" s="96" t="s">
        <v>1623</v>
      </c>
      <c r="H56" s="117"/>
      <c r="I56" s="117"/>
      <c r="J56" s="117"/>
      <c r="K56" s="117"/>
      <c r="L56" s="99"/>
    </row>
    <row r="57" spans="1:12" s="89" customFormat="1" ht="11.1" customHeight="1" outlineLevel="3" collapsed="1" x14ac:dyDescent="0.2">
      <c r="A57" s="100" t="s">
        <v>1831</v>
      </c>
      <c r="B57" s="100"/>
      <c r="C57" s="100"/>
      <c r="D57" s="100"/>
      <c r="E57" s="100"/>
      <c r="F57" s="100"/>
      <c r="G57" s="92" t="s">
        <v>1822</v>
      </c>
      <c r="H57" s="118">
        <v>1596</v>
      </c>
      <c r="I57" s="118">
        <v>240</v>
      </c>
      <c r="J57" s="118"/>
      <c r="K57" s="118">
        <v>1356</v>
      </c>
      <c r="L57" s="98">
        <v>16.100000000000001</v>
      </c>
    </row>
    <row r="58" spans="1:12" s="89" customFormat="1" ht="11.1" customHeight="1" outlineLevel="2" x14ac:dyDescent="0.2">
      <c r="A58" s="97" t="s">
        <v>1386</v>
      </c>
      <c r="B58" s="97"/>
      <c r="C58" s="97"/>
      <c r="D58" s="97"/>
      <c r="E58" s="97"/>
      <c r="F58" s="97"/>
      <c r="G58" s="96" t="s">
        <v>1623</v>
      </c>
      <c r="H58" s="117"/>
      <c r="I58" s="117"/>
      <c r="J58" s="117"/>
      <c r="K58" s="117"/>
      <c r="L58" s="99"/>
    </row>
    <row r="59" spans="1:12" s="89" customFormat="1" ht="11.1" customHeight="1" outlineLevel="3" collapsed="1" x14ac:dyDescent="0.2">
      <c r="A59" s="100" t="s">
        <v>1830</v>
      </c>
      <c r="B59" s="100"/>
      <c r="C59" s="100"/>
      <c r="D59" s="100"/>
      <c r="E59" s="100"/>
      <c r="F59" s="100"/>
      <c r="G59" s="92" t="s">
        <v>1829</v>
      </c>
      <c r="H59" s="118">
        <v>300</v>
      </c>
      <c r="I59" s="118"/>
      <c r="J59" s="118"/>
      <c r="K59" s="118">
        <v>300</v>
      </c>
      <c r="L59" s="98">
        <v>0.7</v>
      </c>
    </row>
    <row r="60" spans="1:12" s="89" customFormat="1" ht="11.1" customHeight="1" outlineLevel="2" x14ac:dyDescent="0.2">
      <c r="A60" s="97" t="s">
        <v>1390</v>
      </c>
      <c r="B60" s="97"/>
      <c r="C60" s="97"/>
      <c r="D60" s="97"/>
      <c r="E60" s="97"/>
      <c r="F60" s="97"/>
      <c r="G60" s="96" t="s">
        <v>1623</v>
      </c>
      <c r="H60" s="117"/>
      <c r="I60" s="117"/>
      <c r="J60" s="117"/>
      <c r="K60" s="117"/>
      <c r="L60" s="99"/>
    </row>
    <row r="61" spans="1:12" s="89" customFormat="1" ht="11.1" customHeight="1" outlineLevel="3" collapsed="1" x14ac:dyDescent="0.2">
      <c r="A61" s="100" t="s">
        <v>1830</v>
      </c>
      <c r="B61" s="100"/>
      <c r="C61" s="100"/>
      <c r="D61" s="100"/>
      <c r="E61" s="100"/>
      <c r="F61" s="100"/>
      <c r="G61" s="92" t="s">
        <v>1829</v>
      </c>
      <c r="H61" s="118">
        <v>940</v>
      </c>
      <c r="I61" s="118"/>
      <c r="J61" s="118"/>
      <c r="K61" s="118">
        <v>940</v>
      </c>
      <c r="L61" s="98">
        <v>47</v>
      </c>
    </row>
    <row r="62" spans="1:12" s="89" customFormat="1" ht="11.1" customHeight="1" outlineLevel="2" x14ac:dyDescent="0.2">
      <c r="A62" s="97" t="s">
        <v>1394</v>
      </c>
      <c r="B62" s="97"/>
      <c r="C62" s="97"/>
      <c r="D62" s="97"/>
      <c r="E62" s="97"/>
      <c r="F62" s="97"/>
      <c r="G62" s="96" t="s">
        <v>1623</v>
      </c>
      <c r="H62" s="117"/>
      <c r="I62" s="117"/>
      <c r="J62" s="117"/>
      <c r="K62" s="117"/>
      <c r="L62" s="99"/>
    </row>
    <row r="63" spans="1:12" s="89" customFormat="1" ht="11.1" customHeight="1" outlineLevel="3" x14ac:dyDescent="0.2">
      <c r="A63" s="93" t="s">
        <v>1728</v>
      </c>
      <c r="B63" s="93"/>
      <c r="C63" s="93"/>
      <c r="D63" s="93"/>
      <c r="E63" s="93"/>
      <c r="F63" s="93"/>
      <c r="G63" s="92" t="s">
        <v>1727</v>
      </c>
      <c r="H63" s="118">
        <v>12</v>
      </c>
      <c r="I63" s="118"/>
      <c r="J63" s="118">
        <v>12</v>
      </c>
      <c r="K63" s="118"/>
      <c r="L63" s="90" t="s">
        <v>1620</v>
      </c>
    </row>
    <row r="64" spans="1:12" s="89" customFormat="1" ht="11.1" customHeight="1" outlineLevel="3" collapsed="1" x14ac:dyDescent="0.2">
      <c r="A64" s="100" t="s">
        <v>1828</v>
      </c>
      <c r="B64" s="100"/>
      <c r="C64" s="100"/>
      <c r="D64" s="100"/>
      <c r="E64" s="100"/>
      <c r="F64" s="100"/>
      <c r="G64" s="92" t="s">
        <v>1824</v>
      </c>
      <c r="H64" s="118">
        <v>2088</v>
      </c>
      <c r="I64" s="118">
        <v>336</v>
      </c>
      <c r="J64" s="118"/>
      <c r="K64" s="118">
        <v>1752</v>
      </c>
      <c r="L64" s="98">
        <v>87.6</v>
      </c>
    </row>
    <row r="65" spans="1:12" s="89" customFormat="1" ht="11.1" customHeight="1" outlineLevel="2" x14ac:dyDescent="0.2">
      <c r="A65" s="97" t="s">
        <v>1402</v>
      </c>
      <c r="B65" s="97"/>
      <c r="C65" s="97"/>
      <c r="D65" s="97"/>
      <c r="E65" s="97"/>
      <c r="F65" s="97"/>
      <c r="G65" s="96" t="s">
        <v>1623</v>
      </c>
      <c r="H65" s="117"/>
      <c r="I65" s="117"/>
      <c r="J65" s="117"/>
      <c r="K65" s="117"/>
      <c r="L65" s="99"/>
    </row>
    <row r="66" spans="1:12" s="89" customFormat="1" ht="11.1" customHeight="1" outlineLevel="3" x14ac:dyDescent="0.2">
      <c r="A66" s="93" t="s">
        <v>1697</v>
      </c>
      <c r="B66" s="93"/>
      <c r="C66" s="93"/>
      <c r="D66" s="93"/>
      <c r="E66" s="93"/>
      <c r="F66" s="93"/>
      <c r="G66" s="92" t="s">
        <v>1693</v>
      </c>
      <c r="H66" s="118">
        <v>240</v>
      </c>
      <c r="I66" s="118"/>
      <c r="J66" s="118">
        <v>240</v>
      </c>
      <c r="K66" s="118"/>
      <c r="L66" s="90" t="s">
        <v>1620</v>
      </c>
    </row>
    <row r="67" spans="1:12" s="89" customFormat="1" ht="11.1" customHeight="1" outlineLevel="3" collapsed="1" x14ac:dyDescent="0.2">
      <c r="A67" s="93" t="s">
        <v>1644</v>
      </c>
      <c r="B67" s="93"/>
      <c r="C67" s="93"/>
      <c r="D67" s="93"/>
      <c r="E67" s="93"/>
      <c r="F67" s="93"/>
      <c r="G67" s="92" t="s">
        <v>1643</v>
      </c>
      <c r="H67" s="118">
        <v>432</v>
      </c>
      <c r="I67" s="118"/>
      <c r="J67" s="118"/>
      <c r="K67" s="118">
        <v>432</v>
      </c>
      <c r="L67" s="98">
        <v>54</v>
      </c>
    </row>
    <row r="68" spans="1:12" s="89" customFormat="1" ht="11.1" customHeight="1" outlineLevel="2" x14ac:dyDescent="0.2">
      <c r="A68" s="97" t="s">
        <v>1602</v>
      </c>
      <c r="B68" s="97"/>
      <c r="C68" s="97"/>
      <c r="D68" s="97"/>
      <c r="E68" s="97"/>
      <c r="F68" s="97"/>
      <c r="G68" s="96" t="s">
        <v>1623</v>
      </c>
      <c r="H68" s="117"/>
      <c r="I68" s="117"/>
      <c r="J68" s="117"/>
      <c r="K68" s="117"/>
      <c r="L68" s="99"/>
    </row>
    <row r="69" spans="1:12" s="89" customFormat="1" ht="11.1" customHeight="1" outlineLevel="3" collapsed="1" x14ac:dyDescent="0.2">
      <c r="A69" s="100" t="s">
        <v>1823</v>
      </c>
      <c r="B69" s="100"/>
      <c r="C69" s="100"/>
      <c r="D69" s="100"/>
      <c r="E69" s="100"/>
      <c r="F69" s="100"/>
      <c r="G69" s="92" t="s">
        <v>1822</v>
      </c>
      <c r="H69" s="118">
        <v>12</v>
      </c>
      <c r="I69" s="118"/>
      <c r="J69" s="118"/>
      <c r="K69" s="118">
        <v>12</v>
      </c>
      <c r="L69" s="98">
        <v>0.1</v>
      </c>
    </row>
    <row r="70" spans="1:12" s="89" customFormat="1" ht="11.1" customHeight="1" outlineLevel="2" x14ac:dyDescent="0.2">
      <c r="A70" s="97" t="s">
        <v>1407</v>
      </c>
      <c r="B70" s="97"/>
      <c r="C70" s="97"/>
      <c r="D70" s="97"/>
      <c r="E70" s="97"/>
      <c r="F70" s="97"/>
      <c r="G70" s="96" t="s">
        <v>1623</v>
      </c>
      <c r="H70" s="117"/>
      <c r="I70" s="117"/>
      <c r="J70" s="117"/>
      <c r="K70" s="117"/>
      <c r="L70" s="99"/>
    </row>
    <row r="71" spans="1:12" s="89" customFormat="1" ht="11.1" customHeight="1" outlineLevel="3" x14ac:dyDescent="0.2">
      <c r="A71" s="93" t="s">
        <v>1655</v>
      </c>
      <c r="B71" s="93"/>
      <c r="C71" s="93"/>
      <c r="D71" s="93"/>
      <c r="E71" s="93"/>
      <c r="F71" s="93"/>
      <c r="G71" s="92" t="s">
        <v>1651</v>
      </c>
      <c r="H71" s="118">
        <v>1140</v>
      </c>
      <c r="I71" s="118"/>
      <c r="J71" s="118"/>
      <c r="K71" s="118">
        <v>1140</v>
      </c>
      <c r="L71" s="98">
        <v>285</v>
      </c>
    </row>
    <row r="72" spans="1:12" s="89" customFormat="1" ht="11.1" customHeight="1" outlineLevel="3" x14ac:dyDescent="0.2">
      <c r="A72" s="93" t="s">
        <v>1745</v>
      </c>
      <c r="B72" s="93"/>
      <c r="C72" s="93"/>
      <c r="D72" s="93"/>
      <c r="E72" s="93"/>
      <c r="F72" s="93"/>
      <c r="G72" s="92" t="s">
        <v>1744</v>
      </c>
      <c r="H72" s="118">
        <v>144</v>
      </c>
      <c r="I72" s="118"/>
      <c r="J72" s="118"/>
      <c r="K72" s="118">
        <v>144</v>
      </c>
      <c r="L72" s="98">
        <v>0.6</v>
      </c>
    </row>
    <row r="73" spans="1:12" s="89" customFormat="1" ht="11.1" customHeight="1" outlineLevel="3" collapsed="1" x14ac:dyDescent="0.2">
      <c r="A73" s="93" t="s">
        <v>1654</v>
      </c>
      <c r="B73" s="93"/>
      <c r="C73" s="93"/>
      <c r="D73" s="93"/>
      <c r="E73" s="93"/>
      <c r="F73" s="93"/>
      <c r="G73" s="92" t="s">
        <v>1649</v>
      </c>
      <c r="H73" s="118">
        <v>96</v>
      </c>
      <c r="I73" s="118"/>
      <c r="J73" s="118"/>
      <c r="K73" s="118">
        <v>96</v>
      </c>
      <c r="L73" s="98">
        <v>12</v>
      </c>
    </row>
    <row r="74" spans="1:12" s="89" customFormat="1" ht="11.1" customHeight="1" outlineLevel="2" x14ac:dyDescent="0.2">
      <c r="A74" s="97" t="s">
        <v>1409</v>
      </c>
      <c r="B74" s="97"/>
      <c r="C74" s="97"/>
      <c r="D74" s="97"/>
      <c r="E74" s="97"/>
      <c r="F74" s="97"/>
      <c r="G74" s="96" t="s">
        <v>1623</v>
      </c>
      <c r="H74" s="117"/>
      <c r="I74" s="117"/>
      <c r="J74" s="117"/>
      <c r="K74" s="117"/>
      <c r="L74" s="99"/>
    </row>
    <row r="75" spans="1:12" s="89" customFormat="1" ht="11.1" customHeight="1" outlineLevel="3" collapsed="1" x14ac:dyDescent="0.2">
      <c r="A75" s="93" t="s">
        <v>1745</v>
      </c>
      <c r="B75" s="93"/>
      <c r="C75" s="93"/>
      <c r="D75" s="93"/>
      <c r="E75" s="93"/>
      <c r="F75" s="93"/>
      <c r="G75" s="92" t="s">
        <v>1744</v>
      </c>
      <c r="H75" s="118">
        <v>12</v>
      </c>
      <c r="I75" s="118"/>
      <c r="J75" s="118"/>
      <c r="K75" s="118">
        <v>12</v>
      </c>
      <c r="L75" s="98">
        <v>0.2</v>
      </c>
    </row>
    <row r="76" spans="1:12" s="89" customFormat="1" ht="11.1" customHeight="1" outlineLevel="2" x14ac:dyDescent="0.2">
      <c r="A76" s="97" t="s">
        <v>1411</v>
      </c>
      <c r="B76" s="97"/>
      <c r="C76" s="97"/>
      <c r="D76" s="97"/>
      <c r="E76" s="97"/>
      <c r="F76" s="97"/>
      <c r="G76" s="96" t="s">
        <v>1623</v>
      </c>
      <c r="H76" s="117"/>
      <c r="I76" s="117"/>
      <c r="J76" s="117"/>
      <c r="K76" s="117"/>
      <c r="L76" s="99"/>
    </row>
    <row r="77" spans="1:12" s="89" customFormat="1" ht="11.1" customHeight="1" outlineLevel="3" collapsed="1" x14ac:dyDescent="0.2">
      <c r="A77" s="100" t="s">
        <v>1827</v>
      </c>
      <c r="B77" s="100"/>
      <c r="C77" s="100"/>
      <c r="D77" s="100"/>
      <c r="E77" s="100"/>
      <c r="F77" s="100"/>
      <c r="G77" s="92" t="s">
        <v>1826</v>
      </c>
      <c r="H77" s="118">
        <v>3156</v>
      </c>
      <c r="I77" s="118"/>
      <c r="J77" s="118"/>
      <c r="K77" s="118">
        <v>3156</v>
      </c>
      <c r="L77" s="98">
        <v>4.9000000000000004</v>
      </c>
    </row>
    <row r="78" spans="1:12" s="89" customFormat="1" ht="11.1" customHeight="1" outlineLevel="2" x14ac:dyDescent="0.2">
      <c r="A78" s="97" t="s">
        <v>1413</v>
      </c>
      <c r="B78" s="97"/>
      <c r="C78" s="97"/>
      <c r="D78" s="97"/>
      <c r="E78" s="97"/>
      <c r="F78" s="97"/>
      <c r="G78" s="96" t="s">
        <v>1623</v>
      </c>
      <c r="H78" s="117"/>
      <c r="I78" s="117"/>
      <c r="J78" s="117"/>
      <c r="K78" s="117"/>
      <c r="L78" s="99"/>
    </row>
    <row r="79" spans="1:12" s="89" customFormat="1" ht="11.1" customHeight="1" outlineLevel="3" x14ac:dyDescent="0.2">
      <c r="A79" s="100" t="s">
        <v>1825</v>
      </c>
      <c r="B79" s="100"/>
      <c r="C79" s="100"/>
      <c r="D79" s="100"/>
      <c r="E79" s="100"/>
      <c r="F79" s="100"/>
      <c r="G79" s="92" t="s">
        <v>1824</v>
      </c>
      <c r="H79" s="118">
        <v>204</v>
      </c>
      <c r="I79" s="118"/>
      <c r="J79" s="118">
        <v>49</v>
      </c>
      <c r="K79" s="118">
        <v>155</v>
      </c>
      <c r="L79" s="98">
        <v>19.399999999999999</v>
      </c>
    </row>
    <row r="80" spans="1:12" s="89" customFormat="1" ht="11.1" customHeight="1" outlineLevel="3" collapsed="1" x14ac:dyDescent="0.2">
      <c r="A80" s="100" t="s">
        <v>1823</v>
      </c>
      <c r="B80" s="100"/>
      <c r="C80" s="100"/>
      <c r="D80" s="100"/>
      <c r="E80" s="100"/>
      <c r="F80" s="100"/>
      <c r="G80" s="92" t="s">
        <v>1822</v>
      </c>
      <c r="H80" s="118">
        <v>276</v>
      </c>
      <c r="I80" s="118"/>
      <c r="J80" s="118"/>
      <c r="K80" s="118">
        <v>276</v>
      </c>
      <c r="L80" s="98">
        <v>0.4</v>
      </c>
    </row>
    <row r="81" spans="1:12" s="89" customFormat="1" ht="11.1" customHeight="1" outlineLevel="2" x14ac:dyDescent="0.2">
      <c r="A81" s="97" t="s">
        <v>1415</v>
      </c>
      <c r="B81" s="97"/>
      <c r="C81" s="97"/>
      <c r="D81" s="97"/>
      <c r="E81" s="97"/>
      <c r="F81" s="97"/>
      <c r="G81" s="96" t="s">
        <v>1623</v>
      </c>
      <c r="H81" s="117"/>
      <c r="I81" s="117"/>
      <c r="J81" s="117"/>
      <c r="K81" s="117"/>
      <c r="L81" s="94"/>
    </row>
    <row r="82" spans="1:12" s="89" customFormat="1" ht="11.1" customHeight="1" outlineLevel="3" x14ac:dyDescent="0.2">
      <c r="A82" s="93" t="s">
        <v>1729</v>
      </c>
      <c r="B82" s="93"/>
      <c r="C82" s="93"/>
      <c r="D82" s="93"/>
      <c r="E82" s="93"/>
      <c r="F82" s="93"/>
      <c r="G82" s="92" t="s">
        <v>1692</v>
      </c>
      <c r="H82" s="118">
        <v>132</v>
      </c>
      <c r="I82" s="118"/>
      <c r="J82" s="118">
        <v>132</v>
      </c>
      <c r="K82" s="118"/>
      <c r="L82" s="90" t="s">
        <v>1620</v>
      </c>
    </row>
    <row r="83" spans="1:12" s="89" customFormat="1" ht="11.1" customHeight="1" outlineLevel="3" collapsed="1" x14ac:dyDescent="0.2">
      <c r="A83" s="100" t="s">
        <v>1743</v>
      </c>
      <c r="B83" s="100"/>
      <c r="C83" s="100"/>
      <c r="D83" s="100"/>
      <c r="E83" s="100"/>
      <c r="F83" s="100"/>
      <c r="G83" s="92" t="s">
        <v>1742</v>
      </c>
      <c r="H83" s="118">
        <v>12</v>
      </c>
      <c r="I83" s="118"/>
      <c r="J83" s="118"/>
      <c r="K83" s="118">
        <v>12</v>
      </c>
      <c r="L83" s="90" t="s">
        <v>1620</v>
      </c>
    </row>
    <row r="84" spans="1:12" s="89" customFormat="1" ht="11.1" customHeight="1" outlineLevel="2" x14ac:dyDescent="0.2">
      <c r="A84" s="97" t="s">
        <v>1417</v>
      </c>
      <c r="B84" s="97"/>
      <c r="C84" s="97"/>
      <c r="D84" s="97"/>
      <c r="E84" s="97"/>
      <c r="F84" s="97"/>
      <c r="G84" s="96" t="s">
        <v>1623</v>
      </c>
      <c r="H84" s="117"/>
      <c r="I84" s="117"/>
      <c r="J84" s="117"/>
      <c r="K84" s="117"/>
      <c r="L84" s="99"/>
    </row>
    <row r="85" spans="1:12" s="89" customFormat="1" ht="11.1" customHeight="1" outlineLevel="3" collapsed="1" x14ac:dyDescent="0.2">
      <c r="A85" s="93" t="s">
        <v>1650</v>
      </c>
      <c r="B85" s="93"/>
      <c r="C85" s="93"/>
      <c r="D85" s="93"/>
      <c r="E85" s="93"/>
      <c r="F85" s="93"/>
      <c r="G85" s="92" t="s">
        <v>1645</v>
      </c>
      <c r="H85" s="118">
        <v>24</v>
      </c>
      <c r="I85" s="118"/>
      <c r="J85" s="118"/>
      <c r="K85" s="118">
        <v>24</v>
      </c>
      <c r="L85" s="98">
        <v>0.3</v>
      </c>
    </row>
    <row r="86" spans="1:12" s="89" customFormat="1" ht="11.1" customHeight="1" outlineLevel="2" x14ac:dyDescent="0.2">
      <c r="A86" s="97" t="s">
        <v>1425</v>
      </c>
      <c r="B86" s="97"/>
      <c r="C86" s="97"/>
      <c r="D86" s="97"/>
      <c r="E86" s="97"/>
      <c r="F86" s="97"/>
      <c r="G86" s="96" t="s">
        <v>1623</v>
      </c>
      <c r="H86" s="117"/>
      <c r="I86" s="117"/>
      <c r="J86" s="117"/>
      <c r="K86" s="117"/>
      <c r="L86" s="94"/>
    </row>
    <row r="87" spans="1:12" s="89" customFormat="1" ht="11.1" customHeight="1" outlineLevel="3" collapsed="1" x14ac:dyDescent="0.2">
      <c r="A87" s="93" t="s">
        <v>1691</v>
      </c>
      <c r="B87" s="93"/>
      <c r="C87" s="93"/>
      <c r="D87" s="93"/>
      <c r="E87" s="93"/>
      <c r="F87" s="93"/>
      <c r="G87" s="92" t="s">
        <v>1690</v>
      </c>
      <c r="H87" s="118">
        <v>24</v>
      </c>
      <c r="I87" s="118"/>
      <c r="J87" s="118">
        <v>24</v>
      </c>
      <c r="K87" s="118"/>
      <c r="L87" s="90" t="s">
        <v>1620</v>
      </c>
    </row>
    <row r="88" spans="1:12" s="89" customFormat="1" ht="11.1" customHeight="1" outlineLevel="2" x14ac:dyDescent="0.2">
      <c r="A88" s="97" t="s">
        <v>1451</v>
      </c>
      <c r="B88" s="97"/>
      <c r="C88" s="97"/>
      <c r="D88" s="97"/>
      <c r="E88" s="97"/>
      <c r="F88" s="97"/>
      <c r="G88" s="96" t="s">
        <v>1623</v>
      </c>
      <c r="H88" s="117"/>
      <c r="I88" s="117"/>
      <c r="J88" s="117"/>
      <c r="K88" s="117"/>
      <c r="L88" s="99"/>
    </row>
    <row r="89" spans="1:12" s="89" customFormat="1" ht="11.1" customHeight="1" outlineLevel="3" x14ac:dyDescent="0.2">
      <c r="A89" s="93" t="s">
        <v>1685</v>
      </c>
      <c r="B89" s="93"/>
      <c r="C89" s="93"/>
      <c r="D89" s="93"/>
      <c r="E89" s="93"/>
      <c r="F89" s="93"/>
      <c r="G89" s="92" t="s">
        <v>1684</v>
      </c>
      <c r="H89" s="118">
        <v>9</v>
      </c>
      <c r="I89" s="118"/>
      <c r="J89" s="118"/>
      <c r="K89" s="118">
        <v>9</v>
      </c>
      <c r="L89" s="98">
        <v>0.1</v>
      </c>
    </row>
    <row r="90" spans="1:12" s="89" customFormat="1" ht="11.1" customHeight="1" outlineLevel="3" collapsed="1" x14ac:dyDescent="0.2">
      <c r="A90" s="93" t="s">
        <v>1703</v>
      </c>
      <c r="B90" s="93"/>
      <c r="C90" s="93"/>
      <c r="D90" s="93"/>
      <c r="E90" s="93"/>
      <c r="F90" s="93"/>
      <c r="G90" s="92" t="s">
        <v>1702</v>
      </c>
      <c r="H90" s="118">
        <v>72</v>
      </c>
      <c r="I90" s="118"/>
      <c r="J90" s="118"/>
      <c r="K90" s="118">
        <v>72</v>
      </c>
      <c r="L90" s="90" t="s">
        <v>1620</v>
      </c>
    </row>
    <row r="91" spans="1:12" s="89" customFormat="1" ht="11.1" customHeight="1" outlineLevel="2" x14ac:dyDescent="0.2">
      <c r="A91" s="97" t="s">
        <v>1453</v>
      </c>
      <c r="B91" s="97"/>
      <c r="C91" s="97"/>
      <c r="D91" s="97"/>
      <c r="E91" s="97"/>
      <c r="F91" s="97"/>
      <c r="G91" s="96" t="s">
        <v>1623</v>
      </c>
      <c r="H91" s="117"/>
      <c r="I91" s="117"/>
      <c r="J91" s="117"/>
      <c r="K91" s="117"/>
      <c r="L91" s="99"/>
    </row>
    <row r="92" spans="1:12" s="89" customFormat="1" ht="11.1" customHeight="1" outlineLevel="3" collapsed="1" x14ac:dyDescent="0.2">
      <c r="A92" s="100" t="s">
        <v>1821</v>
      </c>
      <c r="B92" s="100"/>
      <c r="C92" s="100"/>
      <c r="D92" s="100"/>
      <c r="E92" s="100"/>
      <c r="F92" s="100"/>
      <c r="G92" s="92" t="s">
        <v>1820</v>
      </c>
      <c r="H92" s="118">
        <v>120</v>
      </c>
      <c r="I92" s="118"/>
      <c r="J92" s="118"/>
      <c r="K92" s="118">
        <v>120</v>
      </c>
      <c r="L92" s="98">
        <v>3.8</v>
      </c>
    </row>
    <row r="93" spans="1:12" s="89" customFormat="1" ht="11.1" customHeight="1" outlineLevel="2" x14ac:dyDescent="0.2">
      <c r="A93" s="97" t="s">
        <v>1463</v>
      </c>
      <c r="B93" s="97"/>
      <c r="C93" s="97"/>
      <c r="D93" s="97"/>
      <c r="E93" s="97"/>
      <c r="F93" s="97"/>
      <c r="G93" s="96" t="s">
        <v>1623</v>
      </c>
      <c r="H93" s="117"/>
      <c r="I93" s="117"/>
      <c r="J93" s="117"/>
      <c r="K93" s="117"/>
      <c r="L93" s="94"/>
    </row>
    <row r="94" spans="1:12" s="89" customFormat="1" ht="11.1" customHeight="1" outlineLevel="3" collapsed="1" x14ac:dyDescent="0.2">
      <c r="A94" s="100" t="s">
        <v>1821</v>
      </c>
      <c r="B94" s="100"/>
      <c r="C94" s="100"/>
      <c r="D94" s="100"/>
      <c r="E94" s="100"/>
      <c r="F94" s="100"/>
      <c r="G94" s="92" t="s">
        <v>1820</v>
      </c>
      <c r="H94" s="118">
        <v>72</v>
      </c>
      <c r="I94" s="118"/>
      <c r="J94" s="118"/>
      <c r="K94" s="118">
        <v>72</v>
      </c>
      <c r="L94" s="90" t="s">
        <v>1620</v>
      </c>
    </row>
    <row r="95" spans="1:12" s="89" customFormat="1" ht="11.1" customHeight="1" outlineLevel="2" x14ac:dyDescent="0.2">
      <c r="A95" s="97" t="s">
        <v>1465</v>
      </c>
      <c r="B95" s="97"/>
      <c r="C95" s="97"/>
      <c r="D95" s="97"/>
      <c r="E95" s="97"/>
      <c r="F95" s="97"/>
      <c r="G95" s="96" t="s">
        <v>1623</v>
      </c>
      <c r="H95" s="117"/>
      <c r="I95" s="117"/>
      <c r="J95" s="117"/>
      <c r="K95" s="117"/>
      <c r="L95" s="94"/>
    </row>
    <row r="96" spans="1:12" s="89" customFormat="1" ht="11.1" customHeight="1" outlineLevel="3" collapsed="1" x14ac:dyDescent="0.2">
      <c r="A96" s="100" t="s">
        <v>1741</v>
      </c>
      <c r="B96" s="100"/>
      <c r="C96" s="100"/>
      <c r="D96" s="100"/>
      <c r="E96" s="100"/>
      <c r="F96" s="100"/>
      <c r="G96" s="92" t="s">
        <v>1740</v>
      </c>
      <c r="H96" s="118">
        <v>24</v>
      </c>
      <c r="I96" s="118"/>
      <c r="J96" s="118"/>
      <c r="K96" s="118">
        <v>24</v>
      </c>
      <c r="L96" s="90" t="s">
        <v>1620</v>
      </c>
    </row>
    <row r="97" spans="1:12" s="89" customFormat="1" ht="11.1" customHeight="1" outlineLevel="2" x14ac:dyDescent="0.2">
      <c r="A97" s="97" t="s">
        <v>1477</v>
      </c>
      <c r="B97" s="97"/>
      <c r="C97" s="97"/>
      <c r="D97" s="97"/>
      <c r="E97" s="97"/>
      <c r="F97" s="97"/>
      <c r="G97" s="96" t="s">
        <v>1623</v>
      </c>
      <c r="H97" s="117"/>
      <c r="I97" s="117"/>
      <c r="J97" s="117"/>
      <c r="K97" s="117"/>
      <c r="L97" s="99"/>
    </row>
    <row r="98" spans="1:12" s="89" customFormat="1" ht="11.1" customHeight="1" outlineLevel="3" collapsed="1" x14ac:dyDescent="0.2">
      <c r="A98" s="93" t="s">
        <v>1677</v>
      </c>
      <c r="B98" s="93"/>
      <c r="C98" s="93"/>
      <c r="D98" s="93"/>
      <c r="E98" s="93"/>
      <c r="F98" s="93"/>
      <c r="G98" s="92" t="s">
        <v>1676</v>
      </c>
      <c r="H98" s="118">
        <v>240</v>
      </c>
      <c r="I98" s="118"/>
      <c r="J98" s="118"/>
      <c r="K98" s="118">
        <v>240</v>
      </c>
      <c r="L98" s="98">
        <v>6</v>
      </c>
    </row>
    <row r="99" spans="1:12" s="89" customFormat="1" ht="11.1" customHeight="1" outlineLevel="2" x14ac:dyDescent="0.2">
      <c r="A99" s="97" t="s">
        <v>1479</v>
      </c>
      <c r="B99" s="97"/>
      <c r="C99" s="97"/>
      <c r="D99" s="97"/>
      <c r="E99" s="97"/>
      <c r="F99" s="97"/>
      <c r="G99" s="96" t="s">
        <v>1623</v>
      </c>
      <c r="H99" s="117"/>
      <c r="I99" s="117"/>
      <c r="J99" s="117"/>
      <c r="K99" s="117"/>
      <c r="L99" s="94"/>
    </row>
    <row r="100" spans="1:12" s="89" customFormat="1" ht="11.1" customHeight="1" outlineLevel="3" collapsed="1" x14ac:dyDescent="0.2">
      <c r="A100" s="93" t="s">
        <v>1626</v>
      </c>
      <c r="B100" s="93"/>
      <c r="C100" s="93"/>
      <c r="D100" s="93"/>
      <c r="E100" s="93"/>
      <c r="F100" s="93"/>
      <c r="G100" s="92" t="s">
        <v>1625</v>
      </c>
      <c r="H100" s="118">
        <v>720</v>
      </c>
      <c r="I100" s="118"/>
      <c r="J100" s="118"/>
      <c r="K100" s="118">
        <v>720</v>
      </c>
      <c r="L100" s="90" t="s">
        <v>1620</v>
      </c>
    </row>
    <row r="101" spans="1:12" s="89" customFormat="1" ht="9.9499999999999993" customHeight="1" outlineLevel="1" x14ac:dyDescent="0.2">
      <c r="H101" s="113"/>
      <c r="I101" s="113"/>
      <c r="J101" s="113"/>
      <c r="K101" s="113"/>
    </row>
  </sheetData>
  <mergeCells count="96">
    <mergeCell ref="L14:L15"/>
    <mergeCell ref="A15:F15"/>
    <mergeCell ref="A24:F24"/>
    <mergeCell ref="C9:L9"/>
    <mergeCell ref="A11:C11"/>
    <mergeCell ref="A13:G13"/>
    <mergeCell ref="H13:L13"/>
    <mergeCell ref="A14:F14"/>
    <mergeCell ref="H14:H15"/>
    <mergeCell ref="I14:I15"/>
    <mergeCell ref="J14:J15"/>
    <mergeCell ref="K14:K15"/>
    <mergeCell ref="A32:F32"/>
    <mergeCell ref="A33:F33"/>
    <mergeCell ref="A16:G16"/>
    <mergeCell ref="A17:F17"/>
    <mergeCell ref="A18:F18"/>
    <mergeCell ref="A19:F19"/>
    <mergeCell ref="A20:F20"/>
    <mergeCell ref="A21:F21"/>
    <mergeCell ref="A22:F22"/>
    <mergeCell ref="A23:F23"/>
    <mergeCell ref="A40:F40"/>
    <mergeCell ref="A41:F41"/>
    <mergeCell ref="A42:F42"/>
    <mergeCell ref="A25:F25"/>
    <mergeCell ref="A26:F26"/>
    <mergeCell ref="A27:F27"/>
    <mergeCell ref="A28:F28"/>
    <mergeCell ref="A29:F29"/>
    <mergeCell ref="A30:F30"/>
    <mergeCell ref="A31:F31"/>
    <mergeCell ref="A34:F34"/>
    <mergeCell ref="A35:F35"/>
    <mergeCell ref="A36:F36"/>
    <mergeCell ref="A37:F37"/>
    <mergeCell ref="A38:F38"/>
    <mergeCell ref="A39:F39"/>
    <mergeCell ref="A60:F60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68:F68"/>
    <mergeCell ref="A69:F69"/>
    <mergeCell ref="A52:F52"/>
    <mergeCell ref="A53:F53"/>
    <mergeCell ref="A54:F54"/>
    <mergeCell ref="A55:F55"/>
    <mergeCell ref="A56:F56"/>
    <mergeCell ref="A57:F57"/>
    <mergeCell ref="A58:F58"/>
    <mergeCell ref="A59:F59"/>
    <mergeCell ref="A76:F76"/>
    <mergeCell ref="A77:F77"/>
    <mergeCell ref="A78:F78"/>
    <mergeCell ref="A61:F61"/>
    <mergeCell ref="A62:F62"/>
    <mergeCell ref="A63:F63"/>
    <mergeCell ref="A64:F64"/>
    <mergeCell ref="A65:F65"/>
    <mergeCell ref="A66:F66"/>
    <mergeCell ref="A67:F67"/>
    <mergeCell ref="A70:F70"/>
    <mergeCell ref="A71:F71"/>
    <mergeCell ref="A72:F72"/>
    <mergeCell ref="A73:F73"/>
    <mergeCell ref="A74:F74"/>
    <mergeCell ref="A75:F75"/>
    <mergeCell ref="A96:F96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88:F88"/>
    <mergeCell ref="A89:F89"/>
    <mergeCell ref="A90:F90"/>
    <mergeCell ref="A91:F91"/>
    <mergeCell ref="A92:F92"/>
    <mergeCell ref="A93:F93"/>
    <mergeCell ref="A94:F94"/>
    <mergeCell ref="A95:F95"/>
    <mergeCell ref="A97:F97"/>
    <mergeCell ref="A98:F98"/>
    <mergeCell ref="A99:F99"/>
    <mergeCell ref="A100:F100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36DB-6C00-4A3C-9356-81842E443A2B}">
  <sheetPr>
    <outlinePr summaryBelow="0" summaryRight="0"/>
    <pageSetUpPr autoPageBreaks="0" fitToPage="1"/>
  </sheetPr>
  <dimension ref="A1:M296"/>
  <sheetViews>
    <sheetView zoomScaleNormal="100" workbookViewId="0">
      <selection activeCell="T19" sqref="T19"/>
    </sheetView>
  </sheetViews>
  <sheetFormatPr defaultColWidth="9" defaultRowHeight="11.45" customHeight="1" outlineLevelRow="3" x14ac:dyDescent="0.2"/>
  <cols>
    <col min="1" max="1" width="9" style="89" customWidth="1"/>
    <col min="2" max="2" width="3.140625" style="89" customWidth="1"/>
    <col min="3" max="3" width="17.85546875" style="89" customWidth="1"/>
    <col min="4" max="4" width="7.140625" style="89" customWidth="1"/>
    <col min="5" max="5" width="34.28515625" style="89" customWidth="1"/>
    <col min="6" max="6" width="2.140625" style="89" customWidth="1"/>
    <col min="7" max="7" width="8.7109375" style="89" customWidth="1"/>
    <col min="8" max="8" width="1.28515625" style="113" customWidth="1"/>
    <col min="9" max="9" width="10.7109375" style="113" customWidth="1"/>
    <col min="10" max="10" width="8.85546875" style="113" customWidth="1"/>
    <col min="11" max="11" width="9.140625" style="113" customWidth="1"/>
    <col min="12" max="12" width="11.85546875" style="113" customWidth="1"/>
    <col min="13" max="13" width="10.140625" style="89" customWidth="1"/>
    <col min="14" max="16384" width="9" style="88"/>
  </cols>
  <sheetData>
    <row r="1" spans="1:13" s="89" customFormat="1" ht="9.9499999999999993" customHeight="1" x14ac:dyDescent="0.2">
      <c r="H1" s="113"/>
      <c r="I1" s="113"/>
      <c r="J1" s="113"/>
      <c r="K1" s="113"/>
      <c r="L1" s="113"/>
    </row>
    <row r="2" spans="1:13" ht="24.95" customHeight="1" x14ac:dyDescent="0.2">
      <c r="A2" s="112" t="s">
        <v>1717</v>
      </c>
      <c r="B2" s="112"/>
      <c r="C2" s="112"/>
      <c r="D2" s="112"/>
      <c r="E2" s="112"/>
    </row>
    <row r="3" spans="1:13" s="89" customFormat="1" ht="9.9499999999999993" customHeight="1" collapsed="1" x14ac:dyDescent="0.2">
      <c r="H3" s="113"/>
      <c r="I3" s="113"/>
      <c r="J3" s="113"/>
      <c r="K3" s="113"/>
      <c r="L3" s="113"/>
    </row>
    <row r="4" spans="1:13" ht="12.95" hidden="1" customHeight="1" outlineLevel="1" x14ac:dyDescent="0.2">
      <c r="A4" s="111" t="s">
        <v>1614</v>
      </c>
      <c r="B4" s="111"/>
      <c r="C4" s="111" t="s">
        <v>1839</v>
      </c>
      <c r="D4" s="111"/>
      <c r="E4" s="111"/>
      <c r="F4" s="111"/>
      <c r="G4" s="111"/>
      <c r="H4" s="121"/>
    </row>
    <row r="5" spans="1:13" ht="12.95" hidden="1" customHeight="1" outlineLevel="1" x14ac:dyDescent="0.2">
      <c r="C5" s="111" t="s">
        <v>1716</v>
      </c>
      <c r="D5" s="111"/>
      <c r="E5" s="111"/>
      <c r="F5" s="111"/>
      <c r="G5" s="111"/>
      <c r="H5" s="121"/>
    </row>
    <row r="6" spans="1:13" ht="12.95" hidden="1" customHeight="1" outlineLevel="1" x14ac:dyDescent="0.2">
      <c r="C6" s="111" t="s">
        <v>1715</v>
      </c>
      <c r="D6" s="111"/>
      <c r="E6" s="111"/>
      <c r="F6" s="111"/>
      <c r="G6" s="111"/>
      <c r="H6" s="121"/>
    </row>
    <row r="7" spans="1:13" ht="12.95" hidden="1" customHeight="1" outlineLevel="1" x14ac:dyDescent="0.2">
      <c r="C7" s="111" t="s">
        <v>1615</v>
      </c>
      <c r="D7" s="111"/>
      <c r="E7" s="111"/>
      <c r="F7" s="111"/>
      <c r="G7" s="111"/>
      <c r="H7" s="121"/>
    </row>
    <row r="8" spans="1:13" ht="12.95" hidden="1" customHeight="1" outlineLevel="1" x14ac:dyDescent="0.2">
      <c r="C8" s="111" t="s">
        <v>1714</v>
      </c>
      <c r="D8" s="111"/>
      <c r="E8" s="111"/>
      <c r="F8" s="111"/>
      <c r="G8" s="111"/>
      <c r="H8" s="121"/>
    </row>
    <row r="9" spans="1:13" ht="39.950000000000003" hidden="1" customHeight="1" outlineLevel="1" x14ac:dyDescent="0.2">
      <c r="A9" s="111" t="s">
        <v>1618</v>
      </c>
      <c r="B9" s="111"/>
      <c r="C9" s="109" t="s">
        <v>1863</v>
      </c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s="89" customFormat="1" ht="9.9499999999999993" customHeight="1" x14ac:dyDescent="0.2">
      <c r="H10" s="113"/>
      <c r="I10" s="113"/>
      <c r="J10" s="113"/>
      <c r="K10" s="113"/>
      <c r="L10" s="113"/>
    </row>
    <row r="11" spans="1:13" ht="18.95" customHeight="1" x14ac:dyDescent="0.2">
      <c r="A11" s="108" t="s">
        <v>1713</v>
      </c>
      <c r="B11" s="108"/>
      <c r="C11" s="108"/>
      <c r="D11" s="107" t="s">
        <v>1712</v>
      </c>
    </row>
    <row r="12" spans="1:13" s="89" customFormat="1" ht="9.9499999999999993" customHeight="1" x14ac:dyDescent="0.2">
      <c r="H12" s="113"/>
      <c r="I12" s="113"/>
      <c r="J12" s="113"/>
      <c r="K12" s="113"/>
      <c r="L12" s="113"/>
    </row>
    <row r="13" spans="1:13" ht="12.95" customHeight="1" outlineLevel="1" x14ac:dyDescent="0.2">
      <c r="A13" s="105" t="s">
        <v>1711</v>
      </c>
      <c r="B13" s="105"/>
      <c r="C13" s="105"/>
      <c r="D13" s="105"/>
      <c r="E13" s="105"/>
      <c r="F13" s="105"/>
      <c r="G13" s="105"/>
      <c r="H13" s="105" t="s">
        <v>1710</v>
      </c>
      <c r="I13" s="105"/>
      <c r="J13" s="105"/>
      <c r="K13" s="105"/>
      <c r="L13" s="105"/>
      <c r="M13" s="105"/>
    </row>
    <row r="14" spans="1:13" ht="12.95" customHeight="1" outlineLevel="1" x14ac:dyDescent="0.2">
      <c r="A14" s="105" t="s">
        <v>1</v>
      </c>
      <c r="B14" s="105"/>
      <c r="C14" s="105"/>
      <c r="D14" s="105"/>
      <c r="E14" s="105"/>
      <c r="F14" s="105"/>
      <c r="G14" s="104" t="s">
        <v>1709</v>
      </c>
      <c r="H14" s="114" t="s">
        <v>1619</v>
      </c>
      <c r="I14" s="114"/>
      <c r="J14" s="114" t="s">
        <v>1616</v>
      </c>
      <c r="K14" s="114" t="s">
        <v>1708</v>
      </c>
      <c r="L14" s="114" t="s">
        <v>1707</v>
      </c>
      <c r="M14" s="106" t="s">
        <v>1706</v>
      </c>
    </row>
    <row r="15" spans="1:13" ht="26.1" customHeight="1" outlineLevel="1" x14ac:dyDescent="0.2">
      <c r="A15" s="105" t="s">
        <v>1705</v>
      </c>
      <c r="B15" s="105"/>
      <c r="C15" s="105"/>
      <c r="D15" s="105"/>
      <c r="E15" s="105"/>
      <c r="F15" s="105"/>
      <c r="G15" s="104" t="s">
        <v>1704</v>
      </c>
      <c r="H15" s="122"/>
      <c r="I15" s="123"/>
      <c r="J15" s="115"/>
      <c r="K15" s="115"/>
      <c r="L15" s="115"/>
      <c r="M15" s="103"/>
    </row>
    <row r="16" spans="1:13" ht="11.1" customHeight="1" outlineLevel="1" x14ac:dyDescent="0.2">
      <c r="A16" s="102" t="s">
        <v>1675</v>
      </c>
      <c r="B16" s="102"/>
      <c r="C16" s="102"/>
      <c r="D16" s="102"/>
      <c r="E16" s="102"/>
      <c r="F16" s="102"/>
      <c r="G16" s="102"/>
      <c r="H16" s="124"/>
      <c r="I16" s="124"/>
      <c r="J16" s="116"/>
      <c r="K16" s="116"/>
      <c r="L16" s="116"/>
      <c r="M16" s="101"/>
    </row>
    <row r="17" spans="1:13" s="89" customFormat="1" ht="11.1" customHeight="1" outlineLevel="2" x14ac:dyDescent="0.2">
      <c r="A17" s="97" t="s">
        <v>1345</v>
      </c>
      <c r="B17" s="97"/>
      <c r="C17" s="97"/>
      <c r="D17" s="97"/>
      <c r="E17" s="97"/>
      <c r="F17" s="97"/>
      <c r="G17" s="96" t="s">
        <v>1623</v>
      </c>
      <c r="H17" s="125"/>
      <c r="I17" s="125"/>
      <c r="J17" s="117"/>
      <c r="K17" s="117"/>
      <c r="L17" s="117"/>
      <c r="M17" s="94"/>
    </row>
    <row r="18" spans="1:13" s="89" customFormat="1" ht="11.1" customHeight="1" outlineLevel="3" collapsed="1" x14ac:dyDescent="0.2">
      <c r="A18" s="93" t="s">
        <v>1688</v>
      </c>
      <c r="B18" s="93"/>
      <c r="C18" s="93"/>
      <c r="D18" s="93"/>
      <c r="E18" s="93"/>
      <c r="F18" s="93"/>
      <c r="G18" s="92" t="s">
        <v>1687</v>
      </c>
      <c r="H18" s="126">
        <v>2</v>
      </c>
      <c r="I18" s="126"/>
      <c r="J18" s="118"/>
      <c r="K18" s="118"/>
      <c r="L18" s="118">
        <v>2</v>
      </c>
      <c r="M18" s="90" t="s">
        <v>1620</v>
      </c>
    </row>
    <row r="19" spans="1:13" s="89" customFormat="1" ht="11.1" customHeight="1" outlineLevel="2" x14ac:dyDescent="0.2">
      <c r="A19" s="97" t="s">
        <v>1347</v>
      </c>
      <c r="B19" s="97"/>
      <c r="C19" s="97"/>
      <c r="D19" s="97"/>
      <c r="E19" s="97"/>
      <c r="F19" s="97"/>
      <c r="G19" s="96" t="s">
        <v>1623</v>
      </c>
      <c r="H19" s="125"/>
      <c r="I19" s="125"/>
      <c r="J19" s="117"/>
      <c r="K19" s="117"/>
      <c r="L19" s="117"/>
      <c r="M19" s="99"/>
    </row>
    <row r="20" spans="1:13" s="89" customFormat="1" ht="11.1" customHeight="1" outlineLevel="3" x14ac:dyDescent="0.2">
      <c r="A20" s="93" t="s">
        <v>1768</v>
      </c>
      <c r="B20" s="93"/>
      <c r="C20" s="93"/>
      <c r="D20" s="93"/>
      <c r="E20" s="93"/>
      <c r="F20" s="93"/>
      <c r="G20" s="92" t="s">
        <v>1767</v>
      </c>
      <c r="H20" s="126">
        <v>20</v>
      </c>
      <c r="I20" s="126"/>
      <c r="J20" s="118"/>
      <c r="K20" s="118"/>
      <c r="L20" s="118">
        <v>20</v>
      </c>
      <c r="M20" s="90" t="s">
        <v>1620</v>
      </c>
    </row>
    <row r="21" spans="1:13" s="89" customFormat="1" ht="11.1" customHeight="1" outlineLevel="3" collapsed="1" x14ac:dyDescent="0.2">
      <c r="A21" s="100" t="s">
        <v>1746</v>
      </c>
      <c r="B21" s="100"/>
      <c r="C21" s="100"/>
      <c r="D21" s="100"/>
      <c r="E21" s="100"/>
      <c r="F21" s="100"/>
      <c r="G21" s="92" t="s">
        <v>1740</v>
      </c>
      <c r="H21" s="126">
        <v>280</v>
      </c>
      <c r="I21" s="126"/>
      <c r="J21" s="118"/>
      <c r="K21" s="118"/>
      <c r="L21" s="118">
        <v>280</v>
      </c>
      <c r="M21" s="98">
        <v>1</v>
      </c>
    </row>
    <row r="22" spans="1:13" s="89" customFormat="1" ht="11.1" customHeight="1" outlineLevel="2" x14ac:dyDescent="0.2">
      <c r="A22" s="97" t="s">
        <v>1353</v>
      </c>
      <c r="B22" s="97"/>
      <c r="C22" s="97"/>
      <c r="D22" s="97"/>
      <c r="E22" s="97"/>
      <c r="F22" s="97"/>
      <c r="G22" s="96" t="s">
        <v>1623</v>
      </c>
      <c r="H22" s="125"/>
      <c r="I22" s="125"/>
      <c r="J22" s="117"/>
      <c r="K22" s="117"/>
      <c r="L22" s="117"/>
      <c r="M22" s="99"/>
    </row>
    <row r="23" spans="1:13" s="89" customFormat="1" ht="11.1" customHeight="1" outlineLevel="3" collapsed="1" x14ac:dyDescent="0.2">
      <c r="A23" s="93" t="s">
        <v>1766</v>
      </c>
      <c r="B23" s="93"/>
      <c r="C23" s="93"/>
      <c r="D23" s="93"/>
      <c r="E23" s="93"/>
      <c r="F23" s="93"/>
      <c r="G23" s="92" t="s">
        <v>1765</v>
      </c>
      <c r="H23" s="126">
        <v>24</v>
      </c>
      <c r="I23" s="126"/>
      <c r="J23" s="118"/>
      <c r="K23" s="118"/>
      <c r="L23" s="118">
        <v>24</v>
      </c>
      <c r="M23" s="98">
        <v>0.2</v>
      </c>
    </row>
    <row r="24" spans="1:13" s="89" customFormat="1" ht="11.1" customHeight="1" outlineLevel="2" x14ac:dyDescent="0.2">
      <c r="A24" s="97" t="s">
        <v>1603</v>
      </c>
      <c r="B24" s="97"/>
      <c r="C24" s="97"/>
      <c r="D24" s="97"/>
      <c r="E24" s="97"/>
      <c r="F24" s="97"/>
      <c r="G24" s="96" t="s">
        <v>1623</v>
      </c>
      <c r="H24" s="125"/>
      <c r="I24" s="125"/>
      <c r="J24" s="117"/>
      <c r="K24" s="117"/>
      <c r="L24" s="117"/>
      <c r="M24" s="95"/>
    </row>
    <row r="25" spans="1:13" s="89" customFormat="1" ht="11.1" customHeight="1" outlineLevel="3" collapsed="1" x14ac:dyDescent="0.2">
      <c r="A25" s="93" t="s">
        <v>1661</v>
      </c>
      <c r="B25" s="93"/>
      <c r="C25" s="93"/>
      <c r="D25" s="93"/>
      <c r="E25" s="93"/>
      <c r="F25" s="93"/>
      <c r="G25" s="92" t="s">
        <v>1643</v>
      </c>
      <c r="H25" s="126">
        <v>444</v>
      </c>
      <c r="I25" s="126"/>
      <c r="J25" s="118">
        <v>444</v>
      </c>
      <c r="K25" s="118"/>
      <c r="L25" s="118"/>
      <c r="M25" s="91"/>
    </row>
    <row r="26" spans="1:13" s="89" customFormat="1" ht="11.1" customHeight="1" outlineLevel="2" x14ac:dyDescent="0.2">
      <c r="A26" s="97" t="s">
        <v>1356</v>
      </c>
      <c r="B26" s="97"/>
      <c r="C26" s="97"/>
      <c r="D26" s="97"/>
      <c r="E26" s="97"/>
      <c r="F26" s="97"/>
      <c r="G26" s="96" t="s">
        <v>1623</v>
      </c>
      <c r="H26" s="125"/>
      <c r="I26" s="125"/>
      <c r="J26" s="117"/>
      <c r="K26" s="117"/>
      <c r="L26" s="117"/>
      <c r="M26" s="99"/>
    </row>
    <row r="27" spans="1:13" s="89" customFormat="1" ht="11.1" customHeight="1" outlineLevel="3" collapsed="1" x14ac:dyDescent="0.2">
      <c r="A27" s="100" t="s">
        <v>1812</v>
      </c>
      <c r="B27" s="100"/>
      <c r="C27" s="100"/>
      <c r="D27" s="100"/>
      <c r="E27" s="100"/>
      <c r="F27" s="100"/>
      <c r="G27" s="92" t="s">
        <v>1811</v>
      </c>
      <c r="H27" s="126">
        <v>36</v>
      </c>
      <c r="I27" s="126"/>
      <c r="J27" s="118"/>
      <c r="K27" s="118"/>
      <c r="L27" s="118">
        <v>36</v>
      </c>
      <c r="M27" s="98">
        <v>0.9</v>
      </c>
    </row>
    <row r="28" spans="1:13" s="89" customFormat="1" ht="11.1" customHeight="1" outlineLevel="2" x14ac:dyDescent="0.2">
      <c r="A28" s="97" t="s">
        <v>1358</v>
      </c>
      <c r="B28" s="97"/>
      <c r="C28" s="97"/>
      <c r="D28" s="97"/>
      <c r="E28" s="97"/>
      <c r="F28" s="97"/>
      <c r="G28" s="96" t="s">
        <v>1623</v>
      </c>
      <c r="H28" s="125"/>
      <c r="I28" s="125"/>
      <c r="J28" s="117"/>
      <c r="K28" s="117"/>
      <c r="L28" s="117"/>
      <c r="M28" s="99"/>
    </row>
    <row r="29" spans="1:13" s="89" customFormat="1" ht="11.1" customHeight="1" outlineLevel="3" x14ac:dyDescent="0.2">
      <c r="A29" s="93" t="s">
        <v>1673</v>
      </c>
      <c r="B29" s="93"/>
      <c r="C29" s="93"/>
      <c r="D29" s="93"/>
      <c r="E29" s="93"/>
      <c r="F29" s="93"/>
      <c r="G29" s="92" t="s">
        <v>1645</v>
      </c>
      <c r="H29" s="126">
        <v>204</v>
      </c>
      <c r="I29" s="126"/>
      <c r="J29" s="118"/>
      <c r="K29" s="118"/>
      <c r="L29" s="118">
        <v>204</v>
      </c>
      <c r="M29" s="98">
        <v>5.0999999999999996</v>
      </c>
    </row>
    <row r="30" spans="1:13" s="89" customFormat="1" ht="11.1" customHeight="1" outlineLevel="3" collapsed="1" x14ac:dyDescent="0.2">
      <c r="A30" s="93" t="s">
        <v>1747</v>
      </c>
      <c r="B30" s="93"/>
      <c r="C30" s="93"/>
      <c r="D30" s="93"/>
      <c r="E30" s="93"/>
      <c r="F30" s="93"/>
      <c r="G30" s="92" t="s">
        <v>1744</v>
      </c>
      <c r="H30" s="126">
        <v>144</v>
      </c>
      <c r="I30" s="126"/>
      <c r="J30" s="118"/>
      <c r="K30" s="118"/>
      <c r="L30" s="118">
        <v>144</v>
      </c>
      <c r="M30" s="90" t="s">
        <v>1620</v>
      </c>
    </row>
    <row r="31" spans="1:13" s="89" customFormat="1" ht="11.1" customHeight="1" outlineLevel="2" x14ac:dyDescent="0.2">
      <c r="A31" s="97" t="s">
        <v>1360</v>
      </c>
      <c r="B31" s="97"/>
      <c r="C31" s="97"/>
      <c r="D31" s="97"/>
      <c r="E31" s="97"/>
      <c r="F31" s="97"/>
      <c r="G31" s="96" t="s">
        <v>1623</v>
      </c>
      <c r="H31" s="125"/>
      <c r="I31" s="125"/>
      <c r="J31" s="117"/>
      <c r="K31" s="117"/>
      <c r="L31" s="117"/>
      <c r="M31" s="99"/>
    </row>
    <row r="32" spans="1:13" s="89" customFormat="1" ht="11.1" customHeight="1" outlineLevel="3" x14ac:dyDescent="0.2">
      <c r="A32" s="93" t="s">
        <v>1862</v>
      </c>
      <c r="B32" s="93"/>
      <c r="C32" s="93"/>
      <c r="D32" s="93"/>
      <c r="E32" s="93"/>
      <c r="F32" s="93"/>
      <c r="G32" s="92" t="s">
        <v>1861</v>
      </c>
      <c r="H32" s="126">
        <v>24</v>
      </c>
      <c r="I32" s="126"/>
      <c r="J32" s="118"/>
      <c r="K32" s="118"/>
      <c r="L32" s="118">
        <v>24</v>
      </c>
      <c r="M32" s="90" t="s">
        <v>1620</v>
      </c>
    </row>
    <row r="33" spans="1:13" s="89" customFormat="1" ht="11.1" customHeight="1" outlineLevel="3" x14ac:dyDescent="0.2">
      <c r="A33" s="93" t="s">
        <v>1648</v>
      </c>
      <c r="B33" s="93"/>
      <c r="C33" s="93"/>
      <c r="D33" s="93"/>
      <c r="E33" s="93"/>
      <c r="F33" s="93"/>
      <c r="G33" s="92" t="s">
        <v>1647</v>
      </c>
      <c r="H33" s="126">
        <v>12</v>
      </c>
      <c r="I33" s="126"/>
      <c r="J33" s="118"/>
      <c r="K33" s="118"/>
      <c r="L33" s="118">
        <v>12</v>
      </c>
      <c r="M33" s="90" t="s">
        <v>1620</v>
      </c>
    </row>
    <row r="34" spans="1:13" s="89" customFormat="1" ht="11.1" customHeight="1" outlineLevel="3" collapsed="1" x14ac:dyDescent="0.2">
      <c r="A34" s="93" t="s">
        <v>1730</v>
      </c>
      <c r="B34" s="93"/>
      <c r="C34" s="93"/>
      <c r="D34" s="93"/>
      <c r="E34" s="93"/>
      <c r="F34" s="93"/>
      <c r="G34" s="92" t="s">
        <v>1651</v>
      </c>
      <c r="H34" s="126">
        <v>2136</v>
      </c>
      <c r="I34" s="126"/>
      <c r="J34" s="118"/>
      <c r="K34" s="118">
        <v>12</v>
      </c>
      <c r="L34" s="118">
        <v>2124</v>
      </c>
      <c r="M34" s="98">
        <v>4.4000000000000004</v>
      </c>
    </row>
    <row r="35" spans="1:13" s="89" customFormat="1" ht="11.1" customHeight="1" outlineLevel="2" x14ac:dyDescent="0.2">
      <c r="A35" s="97" t="s">
        <v>1565</v>
      </c>
      <c r="B35" s="97"/>
      <c r="C35" s="97"/>
      <c r="D35" s="97"/>
      <c r="E35" s="97"/>
      <c r="F35" s="97"/>
      <c r="G35" s="96" t="s">
        <v>1623</v>
      </c>
      <c r="H35" s="125"/>
      <c r="I35" s="125"/>
      <c r="J35" s="117"/>
      <c r="K35" s="117"/>
      <c r="L35" s="117"/>
      <c r="M35" s="99"/>
    </row>
    <row r="36" spans="1:13" s="89" customFormat="1" ht="11.1" customHeight="1" outlineLevel="3" collapsed="1" x14ac:dyDescent="0.2">
      <c r="A36" s="93" t="s">
        <v>1642</v>
      </c>
      <c r="B36" s="93"/>
      <c r="C36" s="93"/>
      <c r="D36" s="93"/>
      <c r="E36" s="93"/>
      <c r="F36" s="93"/>
      <c r="G36" s="92" t="s">
        <v>1641</v>
      </c>
      <c r="H36" s="126">
        <v>80</v>
      </c>
      <c r="I36" s="126"/>
      <c r="J36" s="118"/>
      <c r="K36" s="118"/>
      <c r="L36" s="118">
        <v>80</v>
      </c>
      <c r="M36" s="98">
        <v>2</v>
      </c>
    </row>
    <row r="37" spans="1:13" s="89" customFormat="1" ht="11.1" customHeight="1" outlineLevel="2" x14ac:dyDescent="0.2">
      <c r="A37" s="97" t="s">
        <v>1567</v>
      </c>
      <c r="B37" s="97"/>
      <c r="C37" s="97"/>
      <c r="D37" s="97"/>
      <c r="E37" s="97"/>
      <c r="F37" s="97"/>
      <c r="G37" s="96" t="s">
        <v>1623</v>
      </c>
      <c r="H37" s="125"/>
      <c r="I37" s="125"/>
      <c r="J37" s="117"/>
      <c r="K37" s="117"/>
      <c r="L37" s="117"/>
      <c r="M37" s="94"/>
    </row>
    <row r="38" spans="1:13" s="89" customFormat="1" ht="11.1" customHeight="1" outlineLevel="3" x14ac:dyDescent="0.2">
      <c r="A38" s="93" t="s">
        <v>1642</v>
      </c>
      <c r="B38" s="93"/>
      <c r="C38" s="93"/>
      <c r="D38" s="93"/>
      <c r="E38" s="93"/>
      <c r="F38" s="93"/>
      <c r="G38" s="92" t="s">
        <v>1641</v>
      </c>
      <c r="H38" s="126">
        <v>6</v>
      </c>
      <c r="I38" s="126"/>
      <c r="J38" s="118"/>
      <c r="K38" s="118"/>
      <c r="L38" s="118">
        <v>6</v>
      </c>
      <c r="M38" s="90" t="s">
        <v>1620</v>
      </c>
    </row>
    <row r="39" spans="1:13" s="89" customFormat="1" ht="11.1" customHeight="1" outlineLevel="3" collapsed="1" x14ac:dyDescent="0.2">
      <c r="A39" s="93" t="s">
        <v>1642</v>
      </c>
      <c r="B39" s="93"/>
      <c r="C39" s="93"/>
      <c r="D39" s="93"/>
      <c r="E39" s="93"/>
      <c r="F39" s="93"/>
      <c r="G39" s="92" t="s">
        <v>1641</v>
      </c>
      <c r="H39" s="126">
        <v>55</v>
      </c>
      <c r="I39" s="126"/>
      <c r="J39" s="118"/>
      <c r="K39" s="118"/>
      <c r="L39" s="118">
        <v>55</v>
      </c>
      <c r="M39" s="90" t="s">
        <v>1620</v>
      </c>
    </row>
    <row r="40" spans="1:13" s="89" customFormat="1" ht="11.1" customHeight="1" outlineLevel="2" x14ac:dyDescent="0.2">
      <c r="A40" s="97" t="s">
        <v>1575</v>
      </c>
      <c r="B40" s="97"/>
      <c r="C40" s="97"/>
      <c r="D40" s="97"/>
      <c r="E40" s="97"/>
      <c r="F40" s="97"/>
      <c r="G40" s="96" t="s">
        <v>1623</v>
      </c>
      <c r="H40" s="125"/>
      <c r="I40" s="125"/>
      <c r="J40" s="117"/>
      <c r="K40" s="117"/>
      <c r="L40" s="117"/>
      <c r="M40" s="99"/>
    </row>
    <row r="41" spans="1:13" s="89" customFormat="1" ht="11.1" customHeight="1" outlineLevel="3" collapsed="1" x14ac:dyDescent="0.2">
      <c r="A41" s="93" t="s">
        <v>1642</v>
      </c>
      <c r="B41" s="93"/>
      <c r="C41" s="93"/>
      <c r="D41" s="93"/>
      <c r="E41" s="93"/>
      <c r="F41" s="93"/>
      <c r="G41" s="92" t="s">
        <v>1641</v>
      </c>
      <c r="H41" s="126">
        <v>5</v>
      </c>
      <c r="I41" s="126"/>
      <c r="J41" s="118"/>
      <c r="K41" s="118"/>
      <c r="L41" s="118">
        <v>5</v>
      </c>
      <c r="M41" s="98">
        <v>1.5</v>
      </c>
    </row>
    <row r="42" spans="1:13" s="89" customFormat="1" ht="11.1" customHeight="1" outlineLevel="2" x14ac:dyDescent="0.2">
      <c r="A42" s="97" t="s">
        <v>1374</v>
      </c>
      <c r="B42" s="97"/>
      <c r="C42" s="97"/>
      <c r="D42" s="97"/>
      <c r="E42" s="97"/>
      <c r="F42" s="97"/>
      <c r="G42" s="96" t="s">
        <v>1623</v>
      </c>
      <c r="H42" s="125"/>
      <c r="I42" s="125"/>
      <c r="J42" s="117"/>
      <c r="K42" s="117"/>
      <c r="L42" s="117"/>
      <c r="M42" s="99"/>
    </row>
    <row r="43" spans="1:13" s="89" customFormat="1" ht="11.1" customHeight="1" outlineLevel="3" x14ac:dyDescent="0.2">
      <c r="A43" s="93" t="s">
        <v>1664</v>
      </c>
      <c r="B43" s="93"/>
      <c r="C43" s="93"/>
      <c r="D43" s="93"/>
      <c r="E43" s="93"/>
      <c r="F43" s="93"/>
      <c r="G43" s="92" t="s">
        <v>1641</v>
      </c>
      <c r="H43" s="126">
        <v>17</v>
      </c>
      <c r="I43" s="126"/>
      <c r="J43" s="118"/>
      <c r="K43" s="118"/>
      <c r="L43" s="118">
        <v>17</v>
      </c>
      <c r="M43" s="90" t="s">
        <v>1620</v>
      </c>
    </row>
    <row r="44" spans="1:13" s="89" customFormat="1" ht="11.1" customHeight="1" outlineLevel="3" x14ac:dyDescent="0.2">
      <c r="A44" s="93" t="s">
        <v>1764</v>
      </c>
      <c r="B44" s="93"/>
      <c r="C44" s="93"/>
      <c r="D44" s="93"/>
      <c r="E44" s="93"/>
      <c r="F44" s="93"/>
      <c r="G44" s="92" t="s">
        <v>1763</v>
      </c>
      <c r="H44" s="126">
        <v>7</v>
      </c>
      <c r="I44" s="126"/>
      <c r="J44" s="118"/>
      <c r="K44" s="118"/>
      <c r="L44" s="118">
        <v>7</v>
      </c>
      <c r="M44" s="90" t="s">
        <v>1620</v>
      </c>
    </row>
    <row r="45" spans="1:13" s="89" customFormat="1" ht="11.1" customHeight="1" outlineLevel="3" collapsed="1" x14ac:dyDescent="0.2">
      <c r="A45" s="100" t="s">
        <v>1821</v>
      </c>
      <c r="B45" s="100"/>
      <c r="C45" s="100"/>
      <c r="D45" s="100"/>
      <c r="E45" s="100"/>
      <c r="F45" s="100"/>
      <c r="G45" s="92" t="s">
        <v>1820</v>
      </c>
      <c r="H45" s="126">
        <v>216</v>
      </c>
      <c r="I45" s="126"/>
      <c r="J45" s="118"/>
      <c r="K45" s="118">
        <v>72</v>
      </c>
      <c r="L45" s="118">
        <v>144</v>
      </c>
      <c r="M45" s="98">
        <v>4.5</v>
      </c>
    </row>
    <row r="46" spans="1:13" s="89" customFormat="1" ht="11.1" customHeight="1" outlineLevel="2" x14ac:dyDescent="0.2">
      <c r="A46" s="97" t="s">
        <v>1376</v>
      </c>
      <c r="B46" s="97"/>
      <c r="C46" s="97"/>
      <c r="D46" s="97"/>
      <c r="E46" s="97"/>
      <c r="F46" s="97"/>
      <c r="G46" s="96" t="s">
        <v>1623</v>
      </c>
      <c r="H46" s="125"/>
      <c r="I46" s="125"/>
      <c r="J46" s="117"/>
      <c r="K46" s="117"/>
      <c r="L46" s="117"/>
      <c r="M46" s="99"/>
    </row>
    <row r="47" spans="1:13" s="89" customFormat="1" ht="11.1" customHeight="1" outlineLevel="3" x14ac:dyDescent="0.2">
      <c r="A47" s="93" t="s">
        <v>1664</v>
      </c>
      <c r="B47" s="93"/>
      <c r="C47" s="93"/>
      <c r="D47" s="93"/>
      <c r="E47" s="93"/>
      <c r="F47" s="93"/>
      <c r="G47" s="92" t="s">
        <v>1641</v>
      </c>
      <c r="H47" s="126">
        <v>19</v>
      </c>
      <c r="I47" s="126"/>
      <c r="J47" s="118"/>
      <c r="K47" s="118"/>
      <c r="L47" s="118">
        <v>19</v>
      </c>
      <c r="M47" s="98">
        <v>0.6</v>
      </c>
    </row>
    <row r="48" spans="1:13" s="89" customFormat="1" ht="11.1" customHeight="1" outlineLevel="3" x14ac:dyDescent="0.2">
      <c r="A48" s="93" t="s">
        <v>1764</v>
      </c>
      <c r="B48" s="93"/>
      <c r="C48" s="93"/>
      <c r="D48" s="93"/>
      <c r="E48" s="93"/>
      <c r="F48" s="93"/>
      <c r="G48" s="92" t="s">
        <v>1763</v>
      </c>
      <c r="H48" s="126">
        <v>72</v>
      </c>
      <c r="I48" s="126"/>
      <c r="J48" s="118"/>
      <c r="K48" s="118"/>
      <c r="L48" s="118">
        <v>72</v>
      </c>
      <c r="M48" s="98">
        <v>0.9</v>
      </c>
    </row>
    <row r="49" spans="1:13" s="89" customFormat="1" ht="11.1" customHeight="1" outlineLevel="3" collapsed="1" x14ac:dyDescent="0.2">
      <c r="A49" s="93" t="s">
        <v>1752</v>
      </c>
      <c r="B49" s="93"/>
      <c r="C49" s="93"/>
      <c r="D49" s="93"/>
      <c r="E49" s="93"/>
      <c r="F49" s="93"/>
      <c r="G49" s="92" t="s">
        <v>1751</v>
      </c>
      <c r="H49" s="126">
        <v>360</v>
      </c>
      <c r="I49" s="126"/>
      <c r="J49" s="118"/>
      <c r="K49" s="118"/>
      <c r="L49" s="118">
        <v>360</v>
      </c>
      <c r="M49" s="98">
        <v>0.5</v>
      </c>
    </row>
    <row r="50" spans="1:13" s="89" customFormat="1" ht="11.25" outlineLevel="2" x14ac:dyDescent="0.2">
      <c r="A50" s="97" t="s">
        <v>1378</v>
      </c>
      <c r="B50" s="97"/>
      <c r="C50" s="97"/>
      <c r="D50" s="97"/>
      <c r="E50" s="97"/>
      <c r="F50" s="97"/>
      <c r="G50" s="96" t="s">
        <v>1623</v>
      </c>
      <c r="H50" s="125"/>
      <c r="I50" s="125"/>
      <c r="J50" s="117"/>
      <c r="K50" s="117"/>
      <c r="L50" s="117"/>
      <c r="M50" s="99"/>
    </row>
    <row r="51" spans="1:13" s="89" customFormat="1" ht="11.1" customHeight="1" outlineLevel="3" x14ac:dyDescent="0.2">
      <c r="A51" s="93" t="s">
        <v>1764</v>
      </c>
      <c r="B51" s="93"/>
      <c r="C51" s="93"/>
      <c r="D51" s="93"/>
      <c r="E51" s="93"/>
      <c r="F51" s="93"/>
      <c r="G51" s="92" t="s">
        <v>1763</v>
      </c>
      <c r="H51" s="126">
        <v>144</v>
      </c>
      <c r="I51" s="126"/>
      <c r="J51" s="118"/>
      <c r="K51" s="118"/>
      <c r="L51" s="118">
        <v>144</v>
      </c>
      <c r="M51" s="98">
        <v>18</v>
      </c>
    </row>
    <row r="52" spans="1:13" s="89" customFormat="1" ht="11.1" customHeight="1" outlineLevel="3" collapsed="1" x14ac:dyDescent="0.2">
      <c r="A52" s="93" t="s">
        <v>1752</v>
      </c>
      <c r="B52" s="93"/>
      <c r="C52" s="93"/>
      <c r="D52" s="93"/>
      <c r="E52" s="93"/>
      <c r="F52" s="93"/>
      <c r="G52" s="92" t="s">
        <v>1751</v>
      </c>
      <c r="H52" s="126">
        <v>3384</v>
      </c>
      <c r="I52" s="126"/>
      <c r="J52" s="118"/>
      <c r="K52" s="118"/>
      <c r="L52" s="118">
        <v>3384</v>
      </c>
      <c r="M52" s="98">
        <v>7.2</v>
      </c>
    </row>
    <row r="53" spans="1:13" s="89" customFormat="1" ht="11.1" customHeight="1" outlineLevel="2" x14ac:dyDescent="0.2">
      <c r="A53" s="97" t="s">
        <v>1380</v>
      </c>
      <c r="B53" s="97"/>
      <c r="C53" s="97"/>
      <c r="D53" s="97"/>
      <c r="E53" s="97"/>
      <c r="F53" s="97"/>
      <c r="G53" s="96" t="s">
        <v>1623</v>
      </c>
      <c r="H53" s="125"/>
      <c r="I53" s="125"/>
      <c r="J53" s="117"/>
      <c r="K53" s="117"/>
      <c r="L53" s="117"/>
      <c r="M53" s="94"/>
    </row>
    <row r="54" spans="1:13" s="89" customFormat="1" ht="11.1" customHeight="1" outlineLevel="3" x14ac:dyDescent="0.2">
      <c r="A54" s="93" t="s">
        <v>1860</v>
      </c>
      <c r="B54" s="93"/>
      <c r="C54" s="93"/>
      <c r="D54" s="93"/>
      <c r="E54" s="93"/>
      <c r="F54" s="93"/>
      <c r="G54" s="92" t="s">
        <v>1744</v>
      </c>
      <c r="H54" s="126">
        <v>228</v>
      </c>
      <c r="I54" s="126"/>
      <c r="J54" s="118"/>
      <c r="K54" s="118"/>
      <c r="L54" s="118">
        <v>228</v>
      </c>
      <c r="M54" s="90" t="s">
        <v>1620</v>
      </c>
    </row>
    <row r="55" spans="1:13" s="89" customFormat="1" ht="11.1" customHeight="1" outlineLevel="3" collapsed="1" x14ac:dyDescent="0.2">
      <c r="A55" s="100" t="s">
        <v>1813</v>
      </c>
      <c r="B55" s="100"/>
      <c r="C55" s="100"/>
      <c r="D55" s="100"/>
      <c r="E55" s="100"/>
      <c r="F55" s="100"/>
      <c r="G55" s="92" t="s">
        <v>1811</v>
      </c>
      <c r="H55" s="126">
        <v>24</v>
      </c>
      <c r="I55" s="126"/>
      <c r="J55" s="118"/>
      <c r="K55" s="118"/>
      <c r="L55" s="118">
        <v>24</v>
      </c>
      <c r="M55" s="90" t="s">
        <v>1620</v>
      </c>
    </row>
    <row r="56" spans="1:13" s="89" customFormat="1" ht="11.1" customHeight="1" outlineLevel="2" x14ac:dyDescent="0.2">
      <c r="A56" s="97" t="s">
        <v>1382</v>
      </c>
      <c r="B56" s="97"/>
      <c r="C56" s="97"/>
      <c r="D56" s="97"/>
      <c r="E56" s="97"/>
      <c r="F56" s="97"/>
      <c r="G56" s="96" t="s">
        <v>1623</v>
      </c>
      <c r="H56" s="125"/>
      <c r="I56" s="125"/>
      <c r="J56" s="117"/>
      <c r="K56" s="117"/>
      <c r="L56" s="117"/>
      <c r="M56" s="99"/>
    </row>
    <row r="57" spans="1:13" s="89" customFormat="1" ht="11.1" customHeight="1" outlineLevel="3" collapsed="1" x14ac:dyDescent="0.2">
      <c r="A57" s="100" t="s">
        <v>1831</v>
      </c>
      <c r="B57" s="100"/>
      <c r="C57" s="100"/>
      <c r="D57" s="100"/>
      <c r="E57" s="100"/>
      <c r="F57" s="100"/>
      <c r="G57" s="92" t="s">
        <v>1822</v>
      </c>
      <c r="H57" s="126">
        <v>72</v>
      </c>
      <c r="I57" s="126"/>
      <c r="J57" s="118"/>
      <c r="K57" s="118"/>
      <c r="L57" s="118">
        <v>72</v>
      </c>
      <c r="M57" s="98">
        <v>9</v>
      </c>
    </row>
    <row r="58" spans="1:13" s="89" customFormat="1" ht="11.1" customHeight="1" outlineLevel="2" x14ac:dyDescent="0.2">
      <c r="A58" s="97" t="s">
        <v>1384</v>
      </c>
      <c r="B58" s="97"/>
      <c r="C58" s="97"/>
      <c r="D58" s="97"/>
      <c r="E58" s="97"/>
      <c r="F58" s="97"/>
      <c r="G58" s="96" t="s">
        <v>1623</v>
      </c>
      <c r="H58" s="125"/>
      <c r="I58" s="125"/>
      <c r="J58" s="117"/>
      <c r="K58" s="117"/>
      <c r="L58" s="117"/>
      <c r="M58" s="99"/>
    </row>
    <row r="59" spans="1:13" s="89" customFormat="1" ht="11.1" customHeight="1" outlineLevel="3" x14ac:dyDescent="0.2">
      <c r="A59" s="100" t="s">
        <v>1674</v>
      </c>
      <c r="B59" s="100"/>
      <c r="C59" s="100"/>
      <c r="D59" s="100"/>
      <c r="E59" s="100"/>
      <c r="F59" s="100"/>
      <c r="G59" s="92" t="s">
        <v>1739</v>
      </c>
      <c r="H59" s="126">
        <v>4</v>
      </c>
      <c r="I59" s="126"/>
      <c r="J59" s="118"/>
      <c r="K59" s="118"/>
      <c r="L59" s="118">
        <v>4</v>
      </c>
      <c r="M59" s="90" t="s">
        <v>1620</v>
      </c>
    </row>
    <row r="60" spans="1:13" s="89" customFormat="1" ht="11.1" customHeight="1" outlineLevel="3" collapsed="1" x14ac:dyDescent="0.2">
      <c r="A60" s="100" t="s">
        <v>1747</v>
      </c>
      <c r="B60" s="100"/>
      <c r="C60" s="100"/>
      <c r="D60" s="100"/>
      <c r="E60" s="100"/>
      <c r="F60" s="100"/>
      <c r="G60" s="92" t="s">
        <v>1859</v>
      </c>
      <c r="H60" s="126">
        <v>44</v>
      </c>
      <c r="I60" s="126"/>
      <c r="J60" s="118"/>
      <c r="K60" s="118"/>
      <c r="L60" s="118">
        <v>44</v>
      </c>
      <c r="M60" s="98">
        <v>2.2000000000000002</v>
      </c>
    </row>
    <row r="61" spans="1:13" s="89" customFormat="1" ht="11.1" customHeight="1" outlineLevel="2" x14ac:dyDescent="0.2">
      <c r="A61" s="97" t="s">
        <v>1386</v>
      </c>
      <c r="B61" s="97"/>
      <c r="C61" s="97"/>
      <c r="D61" s="97"/>
      <c r="E61" s="97"/>
      <c r="F61" s="97"/>
      <c r="G61" s="96" t="s">
        <v>1623</v>
      </c>
      <c r="H61" s="125"/>
      <c r="I61" s="125"/>
      <c r="J61" s="117"/>
      <c r="K61" s="117"/>
      <c r="L61" s="117"/>
      <c r="M61" s="94"/>
    </row>
    <row r="62" spans="1:13" s="89" customFormat="1" ht="11.1" customHeight="1" outlineLevel="3" collapsed="1" x14ac:dyDescent="0.2">
      <c r="A62" s="93" t="s">
        <v>1701</v>
      </c>
      <c r="B62" s="93"/>
      <c r="C62" s="93"/>
      <c r="D62" s="93"/>
      <c r="E62" s="93"/>
      <c r="F62" s="93"/>
      <c r="G62" s="92" t="s">
        <v>1700</v>
      </c>
      <c r="H62" s="126">
        <v>1</v>
      </c>
      <c r="I62" s="126"/>
      <c r="J62" s="118"/>
      <c r="K62" s="118"/>
      <c r="L62" s="118">
        <v>1</v>
      </c>
      <c r="M62" s="90" t="s">
        <v>1620</v>
      </c>
    </row>
    <row r="63" spans="1:13" s="89" customFormat="1" ht="11.1" customHeight="1" outlineLevel="2" x14ac:dyDescent="0.2">
      <c r="A63" s="97" t="s">
        <v>1617</v>
      </c>
      <c r="B63" s="97"/>
      <c r="C63" s="97"/>
      <c r="D63" s="97"/>
      <c r="E63" s="97"/>
      <c r="F63" s="97"/>
      <c r="G63" s="96" t="s">
        <v>1623</v>
      </c>
      <c r="H63" s="125"/>
      <c r="I63" s="125"/>
      <c r="J63" s="117"/>
      <c r="K63" s="117"/>
      <c r="L63" s="117"/>
      <c r="M63" s="99"/>
    </row>
    <row r="64" spans="1:13" s="89" customFormat="1" ht="11.1" customHeight="1" outlineLevel="3" x14ac:dyDescent="0.2">
      <c r="A64" s="100" t="s">
        <v>1762</v>
      </c>
      <c r="B64" s="100"/>
      <c r="C64" s="100"/>
      <c r="D64" s="100"/>
      <c r="E64" s="100"/>
      <c r="F64" s="100"/>
      <c r="G64" s="92" t="s">
        <v>1740</v>
      </c>
      <c r="H64" s="126">
        <v>13</v>
      </c>
      <c r="I64" s="126"/>
      <c r="J64" s="118"/>
      <c r="K64" s="118"/>
      <c r="L64" s="118">
        <v>13</v>
      </c>
      <c r="M64" s="90" t="s">
        <v>1620</v>
      </c>
    </row>
    <row r="65" spans="1:13" s="89" customFormat="1" ht="11.1" customHeight="1" outlineLevel="3" x14ac:dyDescent="0.2">
      <c r="A65" s="100" t="s">
        <v>1858</v>
      </c>
      <c r="B65" s="100"/>
      <c r="C65" s="100"/>
      <c r="D65" s="100"/>
      <c r="E65" s="100"/>
      <c r="F65" s="100"/>
      <c r="G65" s="92" t="s">
        <v>1857</v>
      </c>
      <c r="H65" s="126">
        <v>60</v>
      </c>
      <c r="I65" s="126"/>
      <c r="J65" s="118">
        <v>60</v>
      </c>
      <c r="K65" s="118"/>
      <c r="L65" s="118"/>
      <c r="M65" s="91"/>
    </row>
    <row r="66" spans="1:13" s="89" customFormat="1" ht="11.1" customHeight="1" outlineLevel="3" x14ac:dyDescent="0.2">
      <c r="A66" s="100" t="s">
        <v>1835</v>
      </c>
      <c r="B66" s="100"/>
      <c r="C66" s="100"/>
      <c r="D66" s="100"/>
      <c r="E66" s="100"/>
      <c r="F66" s="100"/>
      <c r="G66" s="92" t="s">
        <v>1834</v>
      </c>
      <c r="H66" s="126">
        <v>80</v>
      </c>
      <c r="I66" s="126"/>
      <c r="J66" s="118"/>
      <c r="K66" s="118">
        <v>80</v>
      </c>
      <c r="L66" s="118"/>
      <c r="M66" s="91"/>
    </row>
    <row r="67" spans="1:13" s="89" customFormat="1" ht="11.1" customHeight="1" outlineLevel="3" collapsed="1" x14ac:dyDescent="0.2">
      <c r="A67" s="100" t="s">
        <v>1840</v>
      </c>
      <c r="B67" s="100"/>
      <c r="C67" s="100"/>
      <c r="D67" s="100"/>
      <c r="E67" s="100"/>
      <c r="F67" s="100"/>
      <c r="G67" s="92" t="s">
        <v>1822</v>
      </c>
      <c r="H67" s="126">
        <v>1308</v>
      </c>
      <c r="I67" s="126"/>
      <c r="J67" s="118"/>
      <c r="K67" s="118">
        <v>400</v>
      </c>
      <c r="L67" s="118">
        <v>908</v>
      </c>
      <c r="M67" s="98">
        <v>45.4</v>
      </c>
    </row>
    <row r="68" spans="1:13" s="89" customFormat="1" ht="11.1" customHeight="1" outlineLevel="2" x14ac:dyDescent="0.2">
      <c r="A68" s="97" t="s">
        <v>1390</v>
      </c>
      <c r="B68" s="97"/>
      <c r="C68" s="97"/>
      <c r="D68" s="97"/>
      <c r="E68" s="97"/>
      <c r="F68" s="97"/>
      <c r="G68" s="96" t="s">
        <v>1623</v>
      </c>
      <c r="H68" s="125"/>
      <c r="I68" s="125"/>
      <c r="J68" s="117"/>
      <c r="K68" s="117"/>
      <c r="L68" s="117"/>
      <c r="M68" s="99"/>
    </row>
    <row r="69" spans="1:13" s="89" customFormat="1" ht="11.1" customHeight="1" outlineLevel="3" x14ac:dyDescent="0.2">
      <c r="A69" s="93" t="s">
        <v>1761</v>
      </c>
      <c r="B69" s="93"/>
      <c r="C69" s="93"/>
      <c r="D69" s="93"/>
      <c r="E69" s="93"/>
      <c r="F69" s="93"/>
      <c r="G69" s="92" t="s">
        <v>1760</v>
      </c>
      <c r="H69" s="126">
        <v>6</v>
      </c>
      <c r="I69" s="126"/>
      <c r="J69" s="118"/>
      <c r="K69" s="118"/>
      <c r="L69" s="118">
        <v>6</v>
      </c>
      <c r="M69" s="98">
        <v>0.1</v>
      </c>
    </row>
    <row r="70" spans="1:13" s="89" customFormat="1" ht="11.1" customHeight="1" outlineLevel="3" collapsed="1" x14ac:dyDescent="0.2">
      <c r="A70" s="100" t="s">
        <v>1840</v>
      </c>
      <c r="B70" s="100"/>
      <c r="C70" s="100"/>
      <c r="D70" s="100"/>
      <c r="E70" s="100"/>
      <c r="F70" s="100"/>
      <c r="G70" s="92" t="s">
        <v>1822</v>
      </c>
      <c r="H70" s="126">
        <v>140</v>
      </c>
      <c r="I70" s="126"/>
      <c r="J70" s="118"/>
      <c r="K70" s="118"/>
      <c r="L70" s="118">
        <v>140</v>
      </c>
      <c r="M70" s="98">
        <v>0.2</v>
      </c>
    </row>
    <row r="71" spans="1:13" s="89" customFormat="1" ht="11.1" customHeight="1" outlineLevel="2" x14ac:dyDescent="0.2">
      <c r="A71" s="97" t="s">
        <v>1392</v>
      </c>
      <c r="B71" s="97"/>
      <c r="C71" s="97"/>
      <c r="D71" s="97"/>
      <c r="E71" s="97"/>
      <c r="F71" s="97"/>
      <c r="G71" s="96" t="s">
        <v>1623</v>
      </c>
      <c r="H71" s="125"/>
      <c r="I71" s="125"/>
      <c r="J71" s="117"/>
      <c r="K71" s="117"/>
      <c r="L71" s="117"/>
      <c r="M71" s="99"/>
    </row>
    <row r="72" spans="1:13" s="89" customFormat="1" ht="11.1" customHeight="1" outlineLevel="3" x14ac:dyDescent="0.2">
      <c r="A72" s="93" t="s">
        <v>1696</v>
      </c>
      <c r="B72" s="93"/>
      <c r="C72" s="93"/>
      <c r="D72" s="93"/>
      <c r="E72" s="93"/>
      <c r="F72" s="93"/>
      <c r="G72" s="92" t="s">
        <v>1659</v>
      </c>
      <c r="H72" s="126">
        <v>48</v>
      </c>
      <c r="I72" s="126"/>
      <c r="J72" s="118"/>
      <c r="K72" s="118"/>
      <c r="L72" s="118">
        <v>48</v>
      </c>
      <c r="M72" s="98">
        <v>1.1000000000000001</v>
      </c>
    </row>
    <row r="73" spans="1:13" s="89" customFormat="1" ht="11.1" customHeight="1" outlineLevel="3" collapsed="1" x14ac:dyDescent="0.2">
      <c r="A73" s="100" t="s">
        <v>1837</v>
      </c>
      <c r="B73" s="100"/>
      <c r="C73" s="100"/>
      <c r="D73" s="100"/>
      <c r="E73" s="100"/>
      <c r="F73" s="100"/>
      <c r="G73" s="92" t="s">
        <v>1836</v>
      </c>
      <c r="H73" s="126">
        <v>24</v>
      </c>
      <c r="I73" s="126"/>
      <c r="J73" s="118"/>
      <c r="K73" s="118"/>
      <c r="L73" s="118">
        <v>24</v>
      </c>
      <c r="M73" s="90" t="s">
        <v>1620</v>
      </c>
    </row>
    <row r="74" spans="1:13" s="89" customFormat="1" ht="11.1" customHeight="1" outlineLevel="2" x14ac:dyDescent="0.2">
      <c r="A74" s="97" t="s">
        <v>1394</v>
      </c>
      <c r="B74" s="97"/>
      <c r="C74" s="97"/>
      <c r="D74" s="97"/>
      <c r="E74" s="97"/>
      <c r="F74" s="97"/>
      <c r="G74" s="96" t="s">
        <v>1623</v>
      </c>
      <c r="H74" s="125"/>
      <c r="I74" s="125"/>
      <c r="J74" s="117"/>
      <c r="K74" s="117"/>
      <c r="L74" s="117"/>
      <c r="M74" s="99"/>
    </row>
    <row r="75" spans="1:13" s="89" customFormat="1" ht="11.1" customHeight="1" outlineLevel="3" collapsed="1" x14ac:dyDescent="0.2">
      <c r="A75" s="100" t="s">
        <v>1828</v>
      </c>
      <c r="B75" s="100"/>
      <c r="C75" s="100"/>
      <c r="D75" s="100"/>
      <c r="E75" s="100"/>
      <c r="F75" s="100"/>
      <c r="G75" s="92" t="s">
        <v>1824</v>
      </c>
      <c r="H75" s="126">
        <v>972</v>
      </c>
      <c r="I75" s="126"/>
      <c r="J75" s="118"/>
      <c r="K75" s="118">
        <v>216</v>
      </c>
      <c r="L75" s="118">
        <v>756</v>
      </c>
      <c r="M75" s="98">
        <v>0.5</v>
      </c>
    </row>
    <row r="76" spans="1:13" s="89" customFormat="1" ht="11.1" customHeight="1" outlineLevel="2" x14ac:dyDescent="0.2">
      <c r="A76" s="97" t="s">
        <v>1396</v>
      </c>
      <c r="B76" s="97"/>
      <c r="C76" s="97"/>
      <c r="D76" s="97"/>
      <c r="E76" s="97"/>
      <c r="F76" s="97"/>
      <c r="G76" s="96" t="s">
        <v>1623</v>
      </c>
      <c r="H76" s="125"/>
      <c r="I76" s="125"/>
      <c r="J76" s="117"/>
      <c r="K76" s="117"/>
      <c r="L76" s="117"/>
      <c r="M76" s="99"/>
    </row>
    <row r="77" spans="1:13" s="89" customFormat="1" ht="11.1" customHeight="1" outlineLevel="3" x14ac:dyDescent="0.2">
      <c r="A77" s="93" t="s">
        <v>1672</v>
      </c>
      <c r="B77" s="93"/>
      <c r="C77" s="93"/>
      <c r="D77" s="93"/>
      <c r="E77" s="93"/>
      <c r="F77" s="93"/>
      <c r="G77" s="92" t="s">
        <v>1651</v>
      </c>
      <c r="H77" s="126">
        <v>238</v>
      </c>
      <c r="I77" s="126"/>
      <c r="J77" s="118"/>
      <c r="K77" s="118"/>
      <c r="L77" s="118">
        <v>238</v>
      </c>
      <c r="M77" s="98">
        <v>0.9</v>
      </c>
    </row>
    <row r="78" spans="1:13" s="89" customFormat="1" ht="11.1" customHeight="1" outlineLevel="3" x14ac:dyDescent="0.2">
      <c r="A78" s="93" t="s">
        <v>1663</v>
      </c>
      <c r="B78" s="93"/>
      <c r="C78" s="93"/>
      <c r="D78" s="93"/>
      <c r="E78" s="93"/>
      <c r="F78" s="93"/>
      <c r="G78" s="92" t="s">
        <v>1662</v>
      </c>
      <c r="H78" s="126">
        <v>16</v>
      </c>
      <c r="I78" s="126"/>
      <c r="J78" s="118"/>
      <c r="K78" s="118"/>
      <c r="L78" s="118">
        <v>16</v>
      </c>
      <c r="M78" s="98">
        <v>4</v>
      </c>
    </row>
    <row r="79" spans="1:13" s="89" customFormat="1" ht="11.1" customHeight="1" outlineLevel="3" collapsed="1" x14ac:dyDescent="0.2">
      <c r="A79" s="93" t="s">
        <v>1663</v>
      </c>
      <c r="B79" s="93"/>
      <c r="C79" s="93"/>
      <c r="D79" s="93"/>
      <c r="E79" s="93"/>
      <c r="F79" s="93"/>
      <c r="G79" s="92" t="s">
        <v>1662</v>
      </c>
      <c r="H79" s="126">
        <v>2065</v>
      </c>
      <c r="I79" s="126"/>
      <c r="J79" s="118"/>
      <c r="K79" s="118"/>
      <c r="L79" s="118">
        <v>2065</v>
      </c>
      <c r="M79" s="98">
        <v>1.9</v>
      </c>
    </row>
    <row r="80" spans="1:13" s="89" customFormat="1" ht="11.1" customHeight="1" outlineLevel="2" x14ac:dyDescent="0.2">
      <c r="A80" s="97" t="s">
        <v>1400</v>
      </c>
      <c r="B80" s="97"/>
      <c r="C80" s="97"/>
      <c r="D80" s="97"/>
      <c r="E80" s="97"/>
      <c r="F80" s="97"/>
      <c r="G80" s="96" t="s">
        <v>1623</v>
      </c>
      <c r="H80" s="125"/>
      <c r="I80" s="125"/>
      <c r="J80" s="117"/>
      <c r="K80" s="117"/>
      <c r="L80" s="117"/>
      <c r="M80" s="99"/>
    </row>
    <row r="81" spans="1:13" s="89" customFormat="1" ht="11.1" customHeight="1" outlineLevel="3" x14ac:dyDescent="0.2">
      <c r="A81" s="93" t="s">
        <v>1663</v>
      </c>
      <c r="B81" s="93"/>
      <c r="C81" s="93"/>
      <c r="D81" s="93"/>
      <c r="E81" s="93"/>
      <c r="F81" s="93"/>
      <c r="G81" s="92" t="s">
        <v>1662</v>
      </c>
      <c r="H81" s="126">
        <v>7</v>
      </c>
      <c r="I81" s="126"/>
      <c r="J81" s="118"/>
      <c r="K81" s="118"/>
      <c r="L81" s="118">
        <v>7</v>
      </c>
      <c r="M81" s="90" t="s">
        <v>1620</v>
      </c>
    </row>
    <row r="82" spans="1:13" s="89" customFormat="1" ht="11.1" customHeight="1" outlineLevel="3" collapsed="1" x14ac:dyDescent="0.2">
      <c r="A82" s="100" t="s">
        <v>1856</v>
      </c>
      <c r="B82" s="100"/>
      <c r="C82" s="100"/>
      <c r="D82" s="100"/>
      <c r="E82" s="100"/>
      <c r="F82" s="100"/>
      <c r="G82" s="92" t="s">
        <v>1829</v>
      </c>
      <c r="H82" s="126">
        <v>60</v>
      </c>
      <c r="I82" s="126"/>
      <c r="J82" s="118"/>
      <c r="K82" s="118">
        <v>60</v>
      </c>
      <c r="L82" s="118"/>
      <c r="M82" s="91"/>
    </row>
    <row r="83" spans="1:13" s="89" customFormat="1" ht="11.1" customHeight="1" outlineLevel="2" x14ac:dyDescent="0.2">
      <c r="A83" s="97" t="s">
        <v>1404</v>
      </c>
      <c r="B83" s="97"/>
      <c r="C83" s="97"/>
      <c r="D83" s="97"/>
      <c r="E83" s="97"/>
      <c r="F83" s="97"/>
      <c r="G83" s="96" t="s">
        <v>1623</v>
      </c>
      <c r="H83" s="125"/>
      <c r="I83" s="125"/>
      <c r="J83" s="117"/>
      <c r="K83" s="117"/>
      <c r="L83" s="117"/>
      <c r="M83" s="99"/>
    </row>
    <row r="84" spans="1:13" s="89" customFormat="1" ht="11.1" customHeight="1" outlineLevel="3" x14ac:dyDescent="0.2">
      <c r="A84" s="93" t="s">
        <v>1855</v>
      </c>
      <c r="B84" s="93"/>
      <c r="C84" s="93"/>
      <c r="D84" s="93"/>
      <c r="E84" s="93"/>
      <c r="F84" s="93"/>
      <c r="G84" s="92" t="s">
        <v>1692</v>
      </c>
      <c r="H84" s="126">
        <v>1</v>
      </c>
      <c r="I84" s="126"/>
      <c r="J84" s="118"/>
      <c r="K84" s="118"/>
      <c r="L84" s="118">
        <v>1</v>
      </c>
      <c r="M84" s="90" t="s">
        <v>1620</v>
      </c>
    </row>
    <row r="85" spans="1:13" s="89" customFormat="1" ht="11.1" customHeight="1" outlineLevel="3" x14ac:dyDescent="0.2">
      <c r="A85" s="93" t="s">
        <v>1854</v>
      </c>
      <c r="B85" s="93"/>
      <c r="C85" s="93"/>
      <c r="D85" s="93"/>
      <c r="E85" s="93"/>
      <c r="F85" s="93"/>
      <c r="G85" s="92" t="s">
        <v>1692</v>
      </c>
      <c r="H85" s="126">
        <v>12</v>
      </c>
      <c r="I85" s="126"/>
      <c r="J85" s="118"/>
      <c r="K85" s="118"/>
      <c r="L85" s="118">
        <v>12</v>
      </c>
      <c r="M85" s="90" t="s">
        <v>1620</v>
      </c>
    </row>
    <row r="86" spans="1:13" s="89" customFormat="1" ht="11.1" customHeight="1" outlineLevel="3" x14ac:dyDescent="0.2">
      <c r="A86" s="93" t="s">
        <v>1853</v>
      </c>
      <c r="B86" s="93"/>
      <c r="C86" s="93"/>
      <c r="D86" s="93"/>
      <c r="E86" s="93"/>
      <c r="F86" s="93"/>
      <c r="G86" s="92" t="s">
        <v>1656</v>
      </c>
      <c r="H86" s="126">
        <v>1224</v>
      </c>
      <c r="I86" s="126"/>
      <c r="J86" s="118"/>
      <c r="K86" s="118"/>
      <c r="L86" s="118">
        <v>1224</v>
      </c>
      <c r="M86" s="90" t="s">
        <v>1620</v>
      </c>
    </row>
    <row r="87" spans="1:13" s="89" customFormat="1" ht="11.1" customHeight="1" outlineLevel="3" x14ac:dyDescent="0.2">
      <c r="A87" s="100" t="s">
        <v>1852</v>
      </c>
      <c r="B87" s="100"/>
      <c r="C87" s="100"/>
      <c r="D87" s="100"/>
      <c r="E87" s="100"/>
      <c r="F87" s="100"/>
      <c r="G87" s="92" t="s">
        <v>1836</v>
      </c>
      <c r="H87" s="126">
        <v>114</v>
      </c>
      <c r="I87" s="126"/>
      <c r="J87" s="118"/>
      <c r="K87" s="118">
        <v>84</v>
      </c>
      <c r="L87" s="118">
        <v>30</v>
      </c>
      <c r="M87" s="98">
        <v>0.3</v>
      </c>
    </row>
    <row r="88" spans="1:13" s="89" customFormat="1" ht="11.1" customHeight="1" outlineLevel="3" x14ac:dyDescent="0.2">
      <c r="A88" s="100" t="s">
        <v>1851</v>
      </c>
      <c r="B88" s="100"/>
      <c r="C88" s="100"/>
      <c r="D88" s="100"/>
      <c r="E88" s="100"/>
      <c r="F88" s="100"/>
      <c r="G88" s="92" t="s">
        <v>1850</v>
      </c>
      <c r="H88" s="127">
        <v>-264</v>
      </c>
      <c r="I88" s="127"/>
      <c r="J88" s="118"/>
      <c r="K88" s="118"/>
      <c r="L88" s="118">
        <v>-264</v>
      </c>
      <c r="M88" s="98">
        <v>-3</v>
      </c>
    </row>
    <row r="89" spans="1:13" s="89" customFormat="1" ht="11.1" customHeight="1" outlineLevel="3" x14ac:dyDescent="0.2">
      <c r="A89" s="100" t="s">
        <v>1851</v>
      </c>
      <c r="B89" s="100"/>
      <c r="C89" s="100"/>
      <c r="D89" s="100"/>
      <c r="E89" s="100"/>
      <c r="F89" s="100"/>
      <c r="G89" s="92" t="s">
        <v>1850</v>
      </c>
      <c r="H89" s="126">
        <v>168</v>
      </c>
      <c r="I89" s="126"/>
      <c r="J89" s="118"/>
      <c r="K89" s="118">
        <v>156</v>
      </c>
      <c r="L89" s="118">
        <v>12</v>
      </c>
      <c r="M89" s="98">
        <v>0</v>
      </c>
    </row>
    <row r="90" spans="1:13" s="89" customFormat="1" ht="11.1" customHeight="1" outlineLevel="3" x14ac:dyDescent="0.2">
      <c r="A90" s="100" t="s">
        <v>1849</v>
      </c>
      <c r="B90" s="100"/>
      <c r="C90" s="100"/>
      <c r="D90" s="100"/>
      <c r="E90" s="100"/>
      <c r="F90" s="100"/>
      <c r="G90" s="92" t="s">
        <v>1822</v>
      </c>
      <c r="H90" s="126">
        <v>1416</v>
      </c>
      <c r="I90" s="126"/>
      <c r="J90" s="118">
        <v>1224</v>
      </c>
      <c r="K90" s="118">
        <v>60</v>
      </c>
      <c r="L90" s="118">
        <v>132</v>
      </c>
      <c r="M90" s="98">
        <v>0</v>
      </c>
    </row>
    <row r="91" spans="1:13" s="89" customFormat="1" ht="11.1" customHeight="1" outlineLevel="3" collapsed="1" x14ac:dyDescent="0.2">
      <c r="A91" s="100" t="s">
        <v>1841</v>
      </c>
      <c r="B91" s="100"/>
      <c r="C91" s="100"/>
      <c r="D91" s="100"/>
      <c r="E91" s="100"/>
      <c r="F91" s="100"/>
      <c r="G91" s="92" t="s">
        <v>1822</v>
      </c>
      <c r="H91" s="127">
        <v>-264</v>
      </c>
      <c r="I91" s="127"/>
      <c r="J91" s="118"/>
      <c r="K91" s="118"/>
      <c r="L91" s="118">
        <v>-264</v>
      </c>
      <c r="M91" s="98">
        <v>-0.4</v>
      </c>
    </row>
    <row r="92" spans="1:13" s="89" customFormat="1" ht="11.1" customHeight="1" outlineLevel="2" x14ac:dyDescent="0.2">
      <c r="A92" s="97" t="s">
        <v>1602</v>
      </c>
      <c r="B92" s="97"/>
      <c r="C92" s="97"/>
      <c r="D92" s="97"/>
      <c r="E92" s="97"/>
      <c r="F92" s="97"/>
      <c r="G92" s="96" t="s">
        <v>1623</v>
      </c>
      <c r="H92" s="125"/>
      <c r="I92" s="125"/>
      <c r="J92" s="117"/>
      <c r="K92" s="117"/>
      <c r="L92" s="117"/>
      <c r="M92" s="99"/>
    </row>
    <row r="93" spans="1:13" s="89" customFormat="1" ht="11.1" customHeight="1" outlineLevel="3" x14ac:dyDescent="0.2">
      <c r="A93" s="100" t="s">
        <v>1831</v>
      </c>
      <c r="B93" s="100"/>
      <c r="C93" s="100"/>
      <c r="D93" s="100"/>
      <c r="E93" s="100"/>
      <c r="F93" s="100"/>
      <c r="G93" s="92" t="s">
        <v>1822</v>
      </c>
      <c r="H93" s="126">
        <v>84</v>
      </c>
      <c r="I93" s="126"/>
      <c r="J93" s="118"/>
      <c r="K93" s="118">
        <v>84</v>
      </c>
      <c r="L93" s="118"/>
      <c r="M93" s="91"/>
    </row>
    <row r="94" spans="1:13" s="89" customFormat="1" ht="11.1" customHeight="1" outlineLevel="3" x14ac:dyDescent="0.2">
      <c r="A94" s="93" t="s">
        <v>1757</v>
      </c>
      <c r="B94" s="93"/>
      <c r="C94" s="93"/>
      <c r="D94" s="93"/>
      <c r="E94" s="93"/>
      <c r="F94" s="93"/>
      <c r="G94" s="92" t="s">
        <v>1744</v>
      </c>
      <c r="H94" s="126">
        <v>9</v>
      </c>
      <c r="I94" s="126"/>
      <c r="J94" s="118"/>
      <c r="K94" s="118"/>
      <c r="L94" s="118">
        <v>9</v>
      </c>
      <c r="M94" s="98">
        <v>27</v>
      </c>
    </row>
    <row r="95" spans="1:13" s="89" customFormat="1" ht="11.1" customHeight="1" outlineLevel="3" collapsed="1" x14ac:dyDescent="0.2">
      <c r="A95" s="100" t="s">
        <v>1823</v>
      </c>
      <c r="B95" s="100"/>
      <c r="C95" s="100"/>
      <c r="D95" s="100"/>
      <c r="E95" s="100"/>
      <c r="F95" s="100"/>
      <c r="G95" s="92" t="s">
        <v>1822</v>
      </c>
      <c r="H95" s="126">
        <v>324</v>
      </c>
      <c r="I95" s="126"/>
      <c r="J95" s="118">
        <v>24</v>
      </c>
      <c r="K95" s="118">
        <v>12</v>
      </c>
      <c r="L95" s="118">
        <v>288</v>
      </c>
      <c r="M95" s="98">
        <v>2.6</v>
      </c>
    </row>
    <row r="96" spans="1:13" s="89" customFormat="1" ht="11.1" customHeight="1" outlineLevel="2" x14ac:dyDescent="0.2">
      <c r="A96" s="97" t="s">
        <v>1407</v>
      </c>
      <c r="B96" s="97"/>
      <c r="C96" s="97"/>
      <c r="D96" s="97"/>
      <c r="E96" s="97"/>
      <c r="F96" s="97"/>
      <c r="G96" s="96" t="s">
        <v>1623</v>
      </c>
      <c r="H96" s="125"/>
      <c r="I96" s="125"/>
      <c r="J96" s="117"/>
      <c r="K96" s="117"/>
      <c r="L96" s="117"/>
      <c r="M96" s="94"/>
    </row>
    <row r="97" spans="1:13" s="89" customFormat="1" ht="11.1" customHeight="1" outlineLevel="3" collapsed="1" x14ac:dyDescent="0.2">
      <c r="A97" s="93" t="s">
        <v>1655</v>
      </c>
      <c r="B97" s="93"/>
      <c r="C97" s="93"/>
      <c r="D97" s="93"/>
      <c r="E97" s="93"/>
      <c r="F97" s="93"/>
      <c r="G97" s="92" t="s">
        <v>1651</v>
      </c>
      <c r="H97" s="126">
        <v>300</v>
      </c>
      <c r="I97" s="126"/>
      <c r="J97" s="118"/>
      <c r="K97" s="118"/>
      <c r="L97" s="118">
        <v>300</v>
      </c>
      <c r="M97" s="90" t="s">
        <v>1620</v>
      </c>
    </row>
    <row r="98" spans="1:13" s="89" customFormat="1" ht="11.1" customHeight="1" outlineLevel="2" x14ac:dyDescent="0.2">
      <c r="A98" s="97" t="s">
        <v>1409</v>
      </c>
      <c r="B98" s="97"/>
      <c r="C98" s="97"/>
      <c r="D98" s="97"/>
      <c r="E98" s="97"/>
      <c r="F98" s="97"/>
      <c r="G98" s="96" t="s">
        <v>1623</v>
      </c>
      <c r="H98" s="125"/>
      <c r="I98" s="125"/>
      <c r="J98" s="117"/>
      <c r="K98" s="117"/>
      <c r="L98" s="117"/>
      <c r="M98" s="99"/>
    </row>
    <row r="99" spans="1:13" s="89" customFormat="1" ht="11.1" customHeight="1" outlineLevel="3" collapsed="1" x14ac:dyDescent="0.2">
      <c r="A99" s="93" t="s">
        <v>1622</v>
      </c>
      <c r="B99" s="93"/>
      <c r="C99" s="93"/>
      <c r="D99" s="93"/>
      <c r="E99" s="93"/>
      <c r="F99" s="93"/>
      <c r="G99" s="92" t="s">
        <v>1621</v>
      </c>
      <c r="H99" s="126">
        <v>444</v>
      </c>
      <c r="I99" s="126"/>
      <c r="J99" s="118"/>
      <c r="K99" s="118"/>
      <c r="L99" s="118">
        <v>444</v>
      </c>
      <c r="M99" s="98">
        <v>1.5</v>
      </c>
    </row>
    <row r="100" spans="1:13" s="89" customFormat="1" ht="11.1" customHeight="1" outlineLevel="2" x14ac:dyDescent="0.2">
      <c r="A100" s="97" t="s">
        <v>1411</v>
      </c>
      <c r="B100" s="97"/>
      <c r="C100" s="97"/>
      <c r="D100" s="97"/>
      <c r="E100" s="97"/>
      <c r="F100" s="97"/>
      <c r="G100" s="96" t="s">
        <v>1623</v>
      </c>
      <c r="H100" s="125"/>
      <c r="I100" s="125"/>
      <c r="J100" s="117"/>
      <c r="K100" s="117"/>
      <c r="L100" s="117"/>
      <c r="M100" s="99"/>
    </row>
    <row r="101" spans="1:13" s="89" customFormat="1" ht="11.1" customHeight="1" outlineLevel="3" x14ac:dyDescent="0.2">
      <c r="A101" s="100" t="s">
        <v>1831</v>
      </c>
      <c r="B101" s="100"/>
      <c r="C101" s="100"/>
      <c r="D101" s="100"/>
      <c r="E101" s="100"/>
      <c r="F101" s="100"/>
      <c r="G101" s="92" t="s">
        <v>1822</v>
      </c>
      <c r="H101" s="126">
        <v>1260</v>
      </c>
      <c r="I101" s="126"/>
      <c r="J101" s="118">
        <v>36</v>
      </c>
      <c r="K101" s="118">
        <v>888</v>
      </c>
      <c r="L101" s="118">
        <v>336</v>
      </c>
      <c r="M101" s="98">
        <v>1</v>
      </c>
    </row>
    <row r="102" spans="1:13" s="89" customFormat="1" ht="11.1" customHeight="1" outlineLevel="3" x14ac:dyDescent="0.2">
      <c r="A102" s="100" t="s">
        <v>1833</v>
      </c>
      <c r="B102" s="100"/>
      <c r="C102" s="100"/>
      <c r="D102" s="100"/>
      <c r="E102" s="100"/>
      <c r="F102" s="100"/>
      <c r="G102" s="92" t="s">
        <v>1824</v>
      </c>
      <c r="H102" s="126">
        <v>60</v>
      </c>
      <c r="I102" s="126"/>
      <c r="J102" s="118"/>
      <c r="K102" s="118"/>
      <c r="L102" s="118">
        <v>60</v>
      </c>
      <c r="M102" s="98">
        <v>7.5</v>
      </c>
    </row>
    <row r="103" spans="1:13" s="89" customFormat="1" ht="11.1" customHeight="1" outlineLevel="3" collapsed="1" x14ac:dyDescent="0.2">
      <c r="A103" s="100" t="s">
        <v>1827</v>
      </c>
      <c r="B103" s="100"/>
      <c r="C103" s="100"/>
      <c r="D103" s="100"/>
      <c r="E103" s="100"/>
      <c r="F103" s="100"/>
      <c r="G103" s="92" t="s">
        <v>1826</v>
      </c>
      <c r="H103" s="128"/>
      <c r="I103" s="120"/>
      <c r="J103" s="118"/>
      <c r="K103" s="118"/>
      <c r="L103" s="118"/>
      <c r="M103" s="91"/>
    </row>
    <row r="104" spans="1:13" s="89" customFormat="1" ht="11.1" customHeight="1" outlineLevel="2" x14ac:dyDescent="0.2">
      <c r="A104" s="97" t="s">
        <v>1413</v>
      </c>
      <c r="B104" s="97"/>
      <c r="C104" s="97"/>
      <c r="D104" s="97"/>
      <c r="E104" s="97"/>
      <c r="F104" s="97"/>
      <c r="G104" s="96" t="s">
        <v>1623</v>
      </c>
      <c r="H104" s="125"/>
      <c r="I104" s="125"/>
      <c r="J104" s="117"/>
      <c r="K104" s="117"/>
      <c r="L104" s="117"/>
      <c r="M104" s="99"/>
    </row>
    <row r="105" spans="1:13" s="89" customFormat="1" ht="11.1" customHeight="1" outlineLevel="3" collapsed="1" x14ac:dyDescent="0.2">
      <c r="A105" s="100" t="s">
        <v>1823</v>
      </c>
      <c r="B105" s="100"/>
      <c r="C105" s="100"/>
      <c r="D105" s="100"/>
      <c r="E105" s="100"/>
      <c r="F105" s="100"/>
      <c r="G105" s="92" t="s">
        <v>1822</v>
      </c>
      <c r="H105" s="126">
        <v>408</v>
      </c>
      <c r="I105" s="126"/>
      <c r="J105" s="118"/>
      <c r="K105" s="118"/>
      <c r="L105" s="118">
        <v>408</v>
      </c>
      <c r="M105" s="98">
        <v>12.8</v>
      </c>
    </row>
    <row r="106" spans="1:13" s="89" customFormat="1" ht="11.1" customHeight="1" outlineLevel="2" x14ac:dyDescent="0.2">
      <c r="A106" s="97" t="s">
        <v>1415</v>
      </c>
      <c r="B106" s="97"/>
      <c r="C106" s="97"/>
      <c r="D106" s="97"/>
      <c r="E106" s="97"/>
      <c r="F106" s="97"/>
      <c r="G106" s="96" t="s">
        <v>1623</v>
      </c>
      <c r="H106" s="125"/>
      <c r="I106" s="125"/>
      <c r="J106" s="117"/>
      <c r="K106" s="117"/>
      <c r="L106" s="117"/>
      <c r="M106" s="99"/>
    </row>
    <row r="107" spans="1:13" s="89" customFormat="1" ht="11.1" customHeight="1" outlineLevel="3" x14ac:dyDescent="0.2">
      <c r="A107" s="100" t="s">
        <v>1813</v>
      </c>
      <c r="B107" s="100"/>
      <c r="C107" s="100"/>
      <c r="D107" s="100"/>
      <c r="E107" s="100"/>
      <c r="F107" s="100"/>
      <c r="G107" s="92" t="s">
        <v>1811</v>
      </c>
      <c r="H107" s="126">
        <v>60</v>
      </c>
      <c r="I107" s="126"/>
      <c r="J107" s="118"/>
      <c r="K107" s="118"/>
      <c r="L107" s="118">
        <v>60</v>
      </c>
      <c r="M107" s="90" t="s">
        <v>1620</v>
      </c>
    </row>
    <row r="108" spans="1:13" s="89" customFormat="1" ht="11.1" customHeight="1" outlineLevel="3" collapsed="1" x14ac:dyDescent="0.2">
      <c r="A108" s="100" t="s">
        <v>1833</v>
      </c>
      <c r="B108" s="100"/>
      <c r="C108" s="100"/>
      <c r="D108" s="100"/>
      <c r="E108" s="100"/>
      <c r="F108" s="100"/>
      <c r="G108" s="92" t="s">
        <v>1824</v>
      </c>
      <c r="H108" s="126">
        <v>696</v>
      </c>
      <c r="I108" s="126"/>
      <c r="J108" s="118"/>
      <c r="K108" s="118"/>
      <c r="L108" s="118">
        <v>696</v>
      </c>
      <c r="M108" s="98">
        <v>5.6</v>
      </c>
    </row>
    <row r="109" spans="1:13" s="89" customFormat="1" ht="11.1" customHeight="1" outlineLevel="2" x14ac:dyDescent="0.2">
      <c r="A109" s="97" t="s">
        <v>1417</v>
      </c>
      <c r="B109" s="97"/>
      <c r="C109" s="97"/>
      <c r="D109" s="97"/>
      <c r="E109" s="97"/>
      <c r="F109" s="97"/>
      <c r="G109" s="96" t="s">
        <v>1623</v>
      </c>
      <c r="H109" s="125"/>
      <c r="I109" s="125"/>
      <c r="J109" s="117"/>
      <c r="K109" s="117"/>
      <c r="L109" s="117"/>
      <c r="M109" s="99"/>
    </row>
    <row r="110" spans="1:13" s="89" customFormat="1" ht="11.1" customHeight="1" outlineLevel="3" collapsed="1" x14ac:dyDescent="0.2">
      <c r="A110" s="93" t="s">
        <v>1650</v>
      </c>
      <c r="B110" s="93"/>
      <c r="C110" s="93"/>
      <c r="D110" s="93"/>
      <c r="E110" s="93"/>
      <c r="F110" s="93"/>
      <c r="G110" s="92" t="s">
        <v>1645</v>
      </c>
      <c r="H110" s="126">
        <v>276</v>
      </c>
      <c r="I110" s="126"/>
      <c r="J110" s="118"/>
      <c r="K110" s="118"/>
      <c r="L110" s="118">
        <v>276</v>
      </c>
      <c r="M110" s="98">
        <v>0.5</v>
      </c>
    </row>
    <row r="111" spans="1:13" s="89" customFormat="1" ht="11.1" customHeight="1" outlineLevel="2" x14ac:dyDescent="0.2">
      <c r="A111" s="97" t="s">
        <v>1419</v>
      </c>
      <c r="B111" s="97"/>
      <c r="C111" s="97"/>
      <c r="D111" s="97"/>
      <c r="E111" s="97"/>
      <c r="F111" s="97"/>
      <c r="G111" s="96" t="s">
        <v>1623</v>
      </c>
      <c r="H111" s="125"/>
      <c r="I111" s="125"/>
      <c r="J111" s="117"/>
      <c r="K111" s="117"/>
      <c r="L111" s="117"/>
      <c r="M111" s="94"/>
    </row>
    <row r="112" spans="1:13" s="89" customFormat="1" ht="11.1" customHeight="1" outlineLevel="3" collapsed="1" x14ac:dyDescent="0.2">
      <c r="A112" s="93" t="s">
        <v>1646</v>
      </c>
      <c r="B112" s="93"/>
      <c r="C112" s="93"/>
      <c r="D112" s="93"/>
      <c r="E112" s="93"/>
      <c r="F112" s="93"/>
      <c r="G112" s="92" t="s">
        <v>1645</v>
      </c>
      <c r="H112" s="126">
        <v>2208</v>
      </c>
      <c r="I112" s="126"/>
      <c r="J112" s="118"/>
      <c r="K112" s="118"/>
      <c r="L112" s="118">
        <v>2208</v>
      </c>
      <c r="M112" s="90" t="s">
        <v>1620</v>
      </c>
    </row>
    <row r="113" spans="1:13" s="89" customFormat="1" ht="11.1" customHeight="1" outlineLevel="2" x14ac:dyDescent="0.2">
      <c r="A113" s="97" t="s">
        <v>1423</v>
      </c>
      <c r="B113" s="97"/>
      <c r="C113" s="97"/>
      <c r="D113" s="97"/>
      <c r="E113" s="97"/>
      <c r="F113" s="97"/>
      <c r="G113" s="96" t="s">
        <v>1623</v>
      </c>
      <c r="H113" s="125"/>
      <c r="I113" s="125"/>
      <c r="J113" s="117"/>
      <c r="K113" s="117"/>
      <c r="L113" s="117"/>
      <c r="M113" s="99"/>
    </row>
    <row r="114" spans="1:13" s="89" customFormat="1" ht="11.1" customHeight="1" outlineLevel="3" x14ac:dyDescent="0.2">
      <c r="A114" s="93" t="s">
        <v>1769</v>
      </c>
      <c r="B114" s="93"/>
      <c r="C114" s="93"/>
      <c r="D114" s="93"/>
      <c r="E114" s="93"/>
      <c r="F114" s="93"/>
      <c r="G114" s="92" t="s">
        <v>1753</v>
      </c>
      <c r="H114" s="126">
        <v>12</v>
      </c>
      <c r="I114" s="126"/>
      <c r="J114" s="118"/>
      <c r="K114" s="118"/>
      <c r="L114" s="118">
        <v>12</v>
      </c>
      <c r="M114" s="98">
        <v>0.6</v>
      </c>
    </row>
    <row r="115" spans="1:13" s="89" customFormat="1" ht="11.1" customHeight="1" outlineLevel="3" x14ac:dyDescent="0.2">
      <c r="A115" s="93" t="s">
        <v>1754</v>
      </c>
      <c r="B115" s="93"/>
      <c r="C115" s="93"/>
      <c r="D115" s="93"/>
      <c r="E115" s="93"/>
      <c r="F115" s="93"/>
      <c r="G115" s="92" t="s">
        <v>1753</v>
      </c>
      <c r="H115" s="126">
        <v>4</v>
      </c>
      <c r="I115" s="126"/>
      <c r="J115" s="118"/>
      <c r="K115" s="118"/>
      <c r="L115" s="118">
        <v>4</v>
      </c>
      <c r="M115" s="98">
        <v>0.2</v>
      </c>
    </row>
    <row r="116" spans="1:13" s="89" customFormat="1" ht="11.1" customHeight="1" outlineLevel="3" collapsed="1" x14ac:dyDescent="0.2">
      <c r="A116" s="100" t="s">
        <v>1848</v>
      </c>
      <c r="B116" s="100"/>
      <c r="C116" s="100"/>
      <c r="D116" s="100"/>
      <c r="E116" s="100"/>
      <c r="F116" s="100"/>
      <c r="G116" s="92" t="s">
        <v>1847</v>
      </c>
      <c r="H116" s="126">
        <v>32</v>
      </c>
      <c r="I116" s="126"/>
      <c r="J116" s="118"/>
      <c r="K116" s="118"/>
      <c r="L116" s="118">
        <v>32</v>
      </c>
      <c r="M116" s="98">
        <v>0.6</v>
      </c>
    </row>
    <row r="117" spans="1:13" s="89" customFormat="1" ht="11.1" customHeight="1" outlineLevel="2" x14ac:dyDescent="0.2">
      <c r="A117" s="97" t="s">
        <v>1425</v>
      </c>
      <c r="B117" s="97"/>
      <c r="C117" s="97"/>
      <c r="D117" s="97"/>
      <c r="E117" s="97"/>
      <c r="F117" s="97"/>
      <c r="G117" s="96" t="s">
        <v>1623</v>
      </c>
      <c r="H117" s="125"/>
      <c r="I117" s="125"/>
      <c r="J117" s="117"/>
      <c r="K117" s="117"/>
      <c r="L117" s="117"/>
      <c r="M117" s="99"/>
    </row>
    <row r="118" spans="1:13" s="89" customFormat="1" ht="11.1" customHeight="1" outlineLevel="3" x14ac:dyDescent="0.2">
      <c r="A118" s="93" t="s">
        <v>1691</v>
      </c>
      <c r="B118" s="93"/>
      <c r="C118" s="93"/>
      <c r="D118" s="93"/>
      <c r="E118" s="93"/>
      <c r="F118" s="93"/>
      <c r="G118" s="92" t="s">
        <v>1690</v>
      </c>
      <c r="H118" s="126">
        <v>108</v>
      </c>
      <c r="I118" s="126"/>
      <c r="J118" s="118"/>
      <c r="K118" s="118"/>
      <c r="L118" s="118">
        <v>108</v>
      </c>
      <c r="M118" s="98">
        <v>3.9</v>
      </c>
    </row>
    <row r="119" spans="1:13" s="89" customFormat="1" ht="11.1" customHeight="1" outlineLevel="3" x14ac:dyDescent="0.2">
      <c r="A119" s="93" t="s">
        <v>1644</v>
      </c>
      <c r="B119" s="93"/>
      <c r="C119" s="93"/>
      <c r="D119" s="93"/>
      <c r="E119" s="93"/>
      <c r="F119" s="93"/>
      <c r="G119" s="92" t="s">
        <v>1643</v>
      </c>
      <c r="H119" s="126">
        <v>226</v>
      </c>
      <c r="I119" s="126"/>
      <c r="J119" s="118"/>
      <c r="K119" s="118"/>
      <c r="L119" s="118">
        <v>226</v>
      </c>
      <c r="M119" s="98">
        <v>13.6</v>
      </c>
    </row>
    <row r="120" spans="1:13" s="89" customFormat="1" ht="11.1" customHeight="1" outlineLevel="3" collapsed="1" x14ac:dyDescent="0.2">
      <c r="A120" s="100" t="s">
        <v>1828</v>
      </c>
      <c r="B120" s="100"/>
      <c r="C120" s="100"/>
      <c r="D120" s="100"/>
      <c r="E120" s="100"/>
      <c r="F120" s="100"/>
      <c r="G120" s="92" t="s">
        <v>1824</v>
      </c>
      <c r="H120" s="126">
        <v>12</v>
      </c>
      <c r="I120" s="126"/>
      <c r="J120" s="118"/>
      <c r="K120" s="118">
        <v>12</v>
      </c>
      <c r="L120" s="118"/>
      <c r="M120" s="91"/>
    </row>
    <row r="121" spans="1:13" s="89" customFormat="1" ht="11.1" customHeight="1" outlineLevel="2" x14ac:dyDescent="0.2">
      <c r="A121" s="97" t="s">
        <v>1435</v>
      </c>
      <c r="B121" s="97"/>
      <c r="C121" s="97"/>
      <c r="D121" s="97"/>
      <c r="E121" s="97"/>
      <c r="F121" s="97"/>
      <c r="G121" s="96" t="s">
        <v>1623</v>
      </c>
      <c r="H121" s="125"/>
      <c r="I121" s="125"/>
      <c r="J121" s="117"/>
      <c r="K121" s="117"/>
      <c r="L121" s="117"/>
      <c r="M121" s="99"/>
    </row>
    <row r="122" spans="1:13" s="89" customFormat="1" ht="11.1" customHeight="1" outlineLevel="3" collapsed="1" x14ac:dyDescent="0.2">
      <c r="A122" s="93" t="s">
        <v>1671</v>
      </c>
      <c r="B122" s="93"/>
      <c r="C122" s="93"/>
      <c r="D122" s="93"/>
      <c r="E122" s="93"/>
      <c r="F122" s="93"/>
      <c r="G122" s="92" t="s">
        <v>1629</v>
      </c>
      <c r="H122" s="126">
        <v>1434</v>
      </c>
      <c r="I122" s="126"/>
      <c r="J122" s="118"/>
      <c r="K122" s="118">
        <v>480</v>
      </c>
      <c r="L122" s="118">
        <v>954</v>
      </c>
      <c r="M122" s="98">
        <v>2.2000000000000002</v>
      </c>
    </row>
    <row r="123" spans="1:13" s="89" customFormat="1" ht="11.25" outlineLevel="2" x14ac:dyDescent="0.2">
      <c r="A123" s="97" t="s">
        <v>1581</v>
      </c>
      <c r="B123" s="97"/>
      <c r="C123" s="97"/>
      <c r="D123" s="97"/>
      <c r="E123" s="97"/>
      <c r="F123" s="97"/>
      <c r="G123" s="96" t="s">
        <v>1623</v>
      </c>
      <c r="H123" s="125"/>
      <c r="I123" s="125"/>
      <c r="J123" s="117"/>
      <c r="K123" s="117"/>
      <c r="L123" s="117"/>
      <c r="M123" s="94"/>
    </row>
    <row r="124" spans="1:13" s="89" customFormat="1" ht="11.1" customHeight="1" outlineLevel="3" collapsed="1" x14ac:dyDescent="0.2">
      <c r="A124" s="93" t="s">
        <v>1664</v>
      </c>
      <c r="B124" s="93"/>
      <c r="C124" s="93"/>
      <c r="D124" s="93"/>
      <c r="E124" s="93"/>
      <c r="F124" s="93"/>
      <c r="G124" s="92" t="s">
        <v>1641</v>
      </c>
      <c r="H124" s="126">
        <v>12</v>
      </c>
      <c r="I124" s="126"/>
      <c r="J124" s="118"/>
      <c r="K124" s="118"/>
      <c r="L124" s="118">
        <v>12</v>
      </c>
      <c r="M124" s="90" t="s">
        <v>1620</v>
      </c>
    </row>
    <row r="125" spans="1:13" s="89" customFormat="1" ht="11.1" customHeight="1" outlineLevel="2" x14ac:dyDescent="0.2">
      <c r="A125" s="97" t="s">
        <v>1439</v>
      </c>
      <c r="B125" s="97"/>
      <c r="C125" s="97"/>
      <c r="D125" s="97"/>
      <c r="E125" s="97"/>
      <c r="F125" s="97"/>
      <c r="G125" s="96" t="s">
        <v>1623</v>
      </c>
      <c r="H125" s="125"/>
      <c r="I125" s="125"/>
      <c r="J125" s="117"/>
      <c r="K125" s="117"/>
      <c r="L125" s="117"/>
      <c r="M125" s="94"/>
    </row>
    <row r="126" spans="1:13" s="89" customFormat="1" ht="11.1" customHeight="1" outlineLevel="3" collapsed="1" x14ac:dyDescent="0.2">
      <c r="A126" s="93" t="s">
        <v>1736</v>
      </c>
      <c r="B126" s="93"/>
      <c r="C126" s="93"/>
      <c r="D126" s="93"/>
      <c r="E126" s="93"/>
      <c r="F126" s="93"/>
      <c r="G126" s="92" t="s">
        <v>1735</v>
      </c>
      <c r="H126" s="126">
        <v>48</v>
      </c>
      <c r="I126" s="126"/>
      <c r="J126" s="118"/>
      <c r="K126" s="118"/>
      <c r="L126" s="118">
        <v>48</v>
      </c>
      <c r="M126" s="90" t="s">
        <v>1620</v>
      </c>
    </row>
    <row r="127" spans="1:13" s="89" customFormat="1" ht="11.1" customHeight="1" outlineLevel="2" x14ac:dyDescent="0.2">
      <c r="A127" s="97" t="s">
        <v>1441</v>
      </c>
      <c r="B127" s="97"/>
      <c r="C127" s="97"/>
      <c r="D127" s="97"/>
      <c r="E127" s="97"/>
      <c r="F127" s="97"/>
      <c r="G127" s="96" t="s">
        <v>1623</v>
      </c>
      <c r="H127" s="125"/>
      <c r="I127" s="125"/>
      <c r="J127" s="117"/>
      <c r="K127" s="117"/>
      <c r="L127" s="117"/>
      <c r="M127" s="94"/>
    </row>
    <row r="128" spans="1:13" s="89" customFormat="1" ht="11.1" customHeight="1" outlineLevel="3" collapsed="1" x14ac:dyDescent="0.2">
      <c r="A128" s="93" t="s">
        <v>1736</v>
      </c>
      <c r="B128" s="93"/>
      <c r="C128" s="93"/>
      <c r="D128" s="93"/>
      <c r="E128" s="93"/>
      <c r="F128" s="93"/>
      <c r="G128" s="92" t="s">
        <v>1735</v>
      </c>
      <c r="H128" s="126">
        <v>24</v>
      </c>
      <c r="I128" s="126"/>
      <c r="J128" s="118"/>
      <c r="K128" s="118"/>
      <c r="L128" s="118">
        <v>24</v>
      </c>
      <c r="M128" s="90" t="s">
        <v>1620</v>
      </c>
    </row>
    <row r="129" spans="1:13" s="89" customFormat="1" ht="11.1" customHeight="1" outlineLevel="2" x14ac:dyDescent="0.2">
      <c r="A129" s="97" t="s">
        <v>1445</v>
      </c>
      <c r="B129" s="97"/>
      <c r="C129" s="97"/>
      <c r="D129" s="97"/>
      <c r="E129" s="97"/>
      <c r="F129" s="97"/>
      <c r="G129" s="96" t="s">
        <v>1623</v>
      </c>
      <c r="H129" s="125"/>
      <c r="I129" s="125"/>
      <c r="J129" s="117"/>
      <c r="K129" s="117"/>
      <c r="L129" s="117"/>
      <c r="M129" s="94"/>
    </row>
    <row r="130" spans="1:13" s="89" customFormat="1" ht="11.1" customHeight="1" outlineLevel="3" collapsed="1" x14ac:dyDescent="0.2">
      <c r="A130" s="93" t="s">
        <v>1736</v>
      </c>
      <c r="B130" s="93"/>
      <c r="C130" s="93"/>
      <c r="D130" s="93"/>
      <c r="E130" s="93"/>
      <c r="F130" s="93"/>
      <c r="G130" s="92" t="s">
        <v>1735</v>
      </c>
      <c r="H130" s="126">
        <v>72</v>
      </c>
      <c r="I130" s="126"/>
      <c r="J130" s="118"/>
      <c r="K130" s="118"/>
      <c r="L130" s="118">
        <v>72</v>
      </c>
      <c r="M130" s="90" t="s">
        <v>1620</v>
      </c>
    </row>
    <row r="131" spans="1:13" s="89" customFormat="1" ht="11.1" customHeight="1" outlineLevel="2" x14ac:dyDescent="0.2">
      <c r="A131" s="97" t="s">
        <v>1447</v>
      </c>
      <c r="B131" s="97"/>
      <c r="C131" s="97"/>
      <c r="D131" s="97"/>
      <c r="E131" s="97"/>
      <c r="F131" s="97"/>
      <c r="G131" s="96" t="s">
        <v>1623</v>
      </c>
      <c r="H131" s="125"/>
      <c r="I131" s="125"/>
      <c r="J131" s="117"/>
      <c r="K131" s="117"/>
      <c r="L131" s="117"/>
      <c r="M131" s="99"/>
    </row>
    <row r="132" spans="1:13" s="89" customFormat="1" ht="11.1" customHeight="1" outlineLevel="3" collapsed="1" x14ac:dyDescent="0.2">
      <c r="A132" s="93" t="s">
        <v>1759</v>
      </c>
      <c r="B132" s="93"/>
      <c r="C132" s="93"/>
      <c r="D132" s="93"/>
      <c r="E132" s="93"/>
      <c r="F132" s="93"/>
      <c r="G132" s="92" t="s">
        <v>1670</v>
      </c>
      <c r="H132" s="126">
        <v>24</v>
      </c>
      <c r="I132" s="126"/>
      <c r="J132" s="118"/>
      <c r="K132" s="118"/>
      <c r="L132" s="118">
        <v>24</v>
      </c>
      <c r="M132" s="98">
        <v>0.4</v>
      </c>
    </row>
    <row r="133" spans="1:13" s="89" customFormat="1" ht="11.1" customHeight="1" outlineLevel="2" x14ac:dyDescent="0.2">
      <c r="A133" s="97" t="s">
        <v>1449</v>
      </c>
      <c r="B133" s="97"/>
      <c r="C133" s="97"/>
      <c r="D133" s="97"/>
      <c r="E133" s="97"/>
      <c r="F133" s="97"/>
      <c r="G133" s="96" t="s">
        <v>1623</v>
      </c>
      <c r="H133" s="125"/>
      <c r="I133" s="125"/>
      <c r="J133" s="117"/>
      <c r="K133" s="117"/>
      <c r="L133" s="117"/>
      <c r="M133" s="99"/>
    </row>
    <row r="134" spans="1:13" s="89" customFormat="1" ht="11.1" customHeight="1" outlineLevel="3" collapsed="1" x14ac:dyDescent="0.2">
      <c r="A134" s="93" t="s">
        <v>1752</v>
      </c>
      <c r="B134" s="93"/>
      <c r="C134" s="93"/>
      <c r="D134" s="93"/>
      <c r="E134" s="93"/>
      <c r="F134" s="93"/>
      <c r="G134" s="92" t="s">
        <v>1751</v>
      </c>
      <c r="H134" s="126">
        <v>40</v>
      </c>
      <c r="I134" s="126"/>
      <c r="J134" s="118"/>
      <c r="K134" s="118"/>
      <c r="L134" s="118">
        <v>40</v>
      </c>
      <c r="M134" s="98">
        <v>0.9</v>
      </c>
    </row>
    <row r="135" spans="1:13" s="89" customFormat="1" ht="11.1" customHeight="1" outlineLevel="2" x14ac:dyDescent="0.2">
      <c r="A135" s="97" t="s">
        <v>1455</v>
      </c>
      <c r="B135" s="97"/>
      <c r="C135" s="97"/>
      <c r="D135" s="97"/>
      <c r="E135" s="97"/>
      <c r="F135" s="97"/>
      <c r="G135" s="96" t="s">
        <v>1623</v>
      </c>
      <c r="H135" s="125"/>
      <c r="I135" s="125"/>
      <c r="J135" s="117"/>
      <c r="K135" s="117"/>
      <c r="L135" s="117"/>
      <c r="M135" s="99"/>
    </row>
    <row r="136" spans="1:13" s="89" customFormat="1" ht="11.1" customHeight="1" outlineLevel="3" collapsed="1" x14ac:dyDescent="0.2">
      <c r="A136" s="93" t="s">
        <v>1634</v>
      </c>
      <c r="B136" s="93"/>
      <c r="C136" s="93"/>
      <c r="D136" s="93"/>
      <c r="E136" s="93"/>
      <c r="F136" s="93"/>
      <c r="G136" s="92" t="s">
        <v>1629</v>
      </c>
      <c r="H136" s="126">
        <v>5517</v>
      </c>
      <c r="I136" s="126"/>
      <c r="J136" s="118"/>
      <c r="K136" s="118"/>
      <c r="L136" s="118">
        <v>5517</v>
      </c>
      <c r="M136" s="98">
        <v>98.5</v>
      </c>
    </row>
    <row r="137" spans="1:13" s="89" customFormat="1" ht="11.1" customHeight="1" outlineLevel="2" x14ac:dyDescent="0.2">
      <c r="A137" s="97" t="s">
        <v>1457</v>
      </c>
      <c r="B137" s="97"/>
      <c r="C137" s="97"/>
      <c r="D137" s="97"/>
      <c r="E137" s="97"/>
      <c r="F137" s="97"/>
      <c r="G137" s="96" t="s">
        <v>1623</v>
      </c>
      <c r="H137" s="125"/>
      <c r="I137" s="125"/>
      <c r="J137" s="117"/>
      <c r="K137" s="117"/>
      <c r="L137" s="117"/>
      <c r="M137" s="99"/>
    </row>
    <row r="138" spans="1:13" s="89" customFormat="1" ht="11.1" customHeight="1" outlineLevel="3" x14ac:dyDescent="0.2">
      <c r="A138" s="93" t="s">
        <v>1683</v>
      </c>
      <c r="B138" s="93"/>
      <c r="C138" s="93"/>
      <c r="D138" s="93"/>
      <c r="E138" s="93"/>
      <c r="F138" s="93"/>
      <c r="G138" s="92" t="s">
        <v>1629</v>
      </c>
      <c r="H138" s="126">
        <v>144</v>
      </c>
      <c r="I138" s="126"/>
      <c r="J138" s="118"/>
      <c r="K138" s="118"/>
      <c r="L138" s="118">
        <v>144</v>
      </c>
      <c r="M138" s="90" t="s">
        <v>1620</v>
      </c>
    </row>
    <row r="139" spans="1:13" s="89" customFormat="1" ht="11.1" customHeight="1" outlineLevel="3" collapsed="1" x14ac:dyDescent="0.2">
      <c r="A139" s="100" t="s">
        <v>1835</v>
      </c>
      <c r="B139" s="100"/>
      <c r="C139" s="100"/>
      <c r="D139" s="100"/>
      <c r="E139" s="100"/>
      <c r="F139" s="100"/>
      <c r="G139" s="92" t="s">
        <v>1834</v>
      </c>
      <c r="H139" s="126">
        <v>96</v>
      </c>
      <c r="I139" s="126"/>
      <c r="J139" s="118"/>
      <c r="K139" s="118"/>
      <c r="L139" s="118">
        <v>96</v>
      </c>
      <c r="M139" s="98">
        <v>0.6</v>
      </c>
    </row>
    <row r="140" spans="1:13" s="89" customFormat="1" ht="11.1" customHeight="1" outlineLevel="2" x14ac:dyDescent="0.2">
      <c r="A140" s="97" t="s">
        <v>1461</v>
      </c>
      <c r="B140" s="97"/>
      <c r="C140" s="97"/>
      <c r="D140" s="97"/>
      <c r="E140" s="97"/>
      <c r="F140" s="97"/>
      <c r="G140" s="96" t="s">
        <v>1623</v>
      </c>
      <c r="H140" s="125"/>
      <c r="I140" s="125"/>
      <c r="J140" s="117"/>
      <c r="K140" s="117"/>
      <c r="L140" s="117"/>
      <c r="M140" s="94"/>
    </row>
    <row r="141" spans="1:13" s="89" customFormat="1" ht="11.1" customHeight="1" outlineLevel="3" collapsed="1" x14ac:dyDescent="0.2">
      <c r="A141" s="93" t="s">
        <v>1752</v>
      </c>
      <c r="B141" s="93"/>
      <c r="C141" s="93"/>
      <c r="D141" s="93"/>
      <c r="E141" s="93"/>
      <c r="F141" s="93"/>
      <c r="G141" s="92" t="s">
        <v>1751</v>
      </c>
      <c r="H141" s="126">
        <v>72</v>
      </c>
      <c r="I141" s="126"/>
      <c r="J141" s="118">
        <v>72</v>
      </c>
      <c r="K141" s="118"/>
      <c r="L141" s="118"/>
      <c r="M141" s="90" t="s">
        <v>1620</v>
      </c>
    </row>
    <row r="142" spans="1:13" s="89" customFormat="1" ht="11.1" customHeight="1" outlineLevel="2" x14ac:dyDescent="0.2">
      <c r="A142" s="97" t="s">
        <v>1463</v>
      </c>
      <c r="B142" s="97"/>
      <c r="C142" s="97"/>
      <c r="D142" s="97"/>
      <c r="E142" s="97"/>
      <c r="F142" s="97"/>
      <c r="G142" s="96" t="s">
        <v>1623</v>
      </c>
      <c r="H142" s="125"/>
      <c r="I142" s="125"/>
      <c r="J142" s="117"/>
      <c r="K142" s="117"/>
      <c r="L142" s="117"/>
      <c r="M142" s="99"/>
    </row>
    <row r="143" spans="1:13" s="89" customFormat="1" ht="11.1" customHeight="1" outlineLevel="3" x14ac:dyDescent="0.2">
      <c r="A143" s="93" t="s">
        <v>1738</v>
      </c>
      <c r="B143" s="93"/>
      <c r="C143" s="93"/>
      <c r="D143" s="93"/>
      <c r="E143" s="93"/>
      <c r="F143" s="93"/>
      <c r="G143" s="92" t="s">
        <v>1737</v>
      </c>
      <c r="H143" s="126">
        <v>99</v>
      </c>
      <c r="I143" s="126"/>
      <c r="J143" s="118"/>
      <c r="K143" s="118"/>
      <c r="L143" s="118">
        <v>99</v>
      </c>
      <c r="M143" s="98">
        <v>14.1</v>
      </c>
    </row>
    <row r="144" spans="1:13" s="89" customFormat="1" ht="11.1" customHeight="1" outlineLevel="3" collapsed="1" x14ac:dyDescent="0.2">
      <c r="A144" s="93" t="s">
        <v>1752</v>
      </c>
      <c r="B144" s="93"/>
      <c r="C144" s="93"/>
      <c r="D144" s="93"/>
      <c r="E144" s="93"/>
      <c r="F144" s="93"/>
      <c r="G144" s="92" t="s">
        <v>1751</v>
      </c>
      <c r="H144" s="126">
        <v>360</v>
      </c>
      <c r="I144" s="126"/>
      <c r="J144" s="118"/>
      <c r="K144" s="118"/>
      <c r="L144" s="118">
        <v>360</v>
      </c>
      <c r="M144" s="90" t="s">
        <v>1620</v>
      </c>
    </row>
    <row r="145" spans="1:13" s="89" customFormat="1" ht="11.1" customHeight="1" outlineLevel="2" x14ac:dyDescent="0.2">
      <c r="A145" s="97" t="s">
        <v>1473</v>
      </c>
      <c r="B145" s="97"/>
      <c r="C145" s="97"/>
      <c r="D145" s="97"/>
      <c r="E145" s="97"/>
      <c r="F145" s="97"/>
      <c r="G145" s="96" t="s">
        <v>1623</v>
      </c>
      <c r="H145" s="125"/>
      <c r="I145" s="125"/>
      <c r="J145" s="117"/>
      <c r="K145" s="117"/>
      <c r="L145" s="117"/>
      <c r="M145" s="99"/>
    </row>
    <row r="146" spans="1:13" s="89" customFormat="1" ht="11.1" customHeight="1" outlineLevel="3" collapsed="1" x14ac:dyDescent="0.2">
      <c r="A146" s="93" t="s">
        <v>1738</v>
      </c>
      <c r="B146" s="93"/>
      <c r="C146" s="93"/>
      <c r="D146" s="93"/>
      <c r="E146" s="93"/>
      <c r="F146" s="93"/>
      <c r="G146" s="92" t="s">
        <v>1737</v>
      </c>
      <c r="H146" s="126">
        <v>144</v>
      </c>
      <c r="I146" s="126"/>
      <c r="J146" s="118"/>
      <c r="K146" s="118"/>
      <c r="L146" s="118">
        <v>144</v>
      </c>
      <c r="M146" s="98">
        <v>1.5</v>
      </c>
    </row>
    <row r="147" spans="1:13" s="89" customFormat="1" ht="11.1" customHeight="1" outlineLevel="2" x14ac:dyDescent="0.2">
      <c r="A147" s="97" t="s">
        <v>1477</v>
      </c>
      <c r="B147" s="97"/>
      <c r="C147" s="97"/>
      <c r="D147" s="97"/>
      <c r="E147" s="97"/>
      <c r="F147" s="97"/>
      <c r="G147" s="96" t="s">
        <v>1623</v>
      </c>
      <c r="H147" s="125"/>
      <c r="I147" s="125"/>
      <c r="J147" s="117"/>
      <c r="K147" s="117"/>
      <c r="L147" s="117"/>
      <c r="M147" s="99"/>
    </row>
    <row r="148" spans="1:13" s="89" customFormat="1" ht="11.1" customHeight="1" outlineLevel="3" collapsed="1" x14ac:dyDescent="0.2">
      <c r="A148" s="93" t="s">
        <v>1677</v>
      </c>
      <c r="B148" s="93"/>
      <c r="C148" s="93"/>
      <c r="D148" s="93"/>
      <c r="E148" s="93"/>
      <c r="F148" s="93"/>
      <c r="G148" s="92" t="s">
        <v>1676</v>
      </c>
      <c r="H148" s="126">
        <v>810</v>
      </c>
      <c r="I148" s="126"/>
      <c r="J148" s="118">
        <v>60</v>
      </c>
      <c r="K148" s="118"/>
      <c r="L148" s="118">
        <v>750</v>
      </c>
      <c r="M148" s="98">
        <v>12.5</v>
      </c>
    </row>
    <row r="149" spans="1:13" s="89" customFormat="1" ht="11.1" customHeight="1" outlineLevel="2" x14ac:dyDescent="0.2">
      <c r="A149" s="97" t="s">
        <v>1479</v>
      </c>
      <c r="B149" s="97"/>
      <c r="C149" s="97"/>
      <c r="D149" s="97"/>
      <c r="E149" s="97"/>
      <c r="F149" s="97"/>
      <c r="G149" s="96" t="s">
        <v>1623</v>
      </c>
      <c r="H149" s="125"/>
      <c r="I149" s="125"/>
      <c r="J149" s="117"/>
      <c r="K149" s="117"/>
      <c r="L149" s="117"/>
      <c r="M149" s="99"/>
    </row>
    <row r="150" spans="1:13" s="89" customFormat="1" ht="11.1" customHeight="1" outlineLevel="3" x14ac:dyDescent="0.2">
      <c r="A150" s="93" t="s">
        <v>1640</v>
      </c>
      <c r="B150" s="93"/>
      <c r="C150" s="93"/>
      <c r="D150" s="93"/>
      <c r="E150" s="93"/>
      <c r="F150" s="93"/>
      <c r="G150" s="92" t="s">
        <v>1639</v>
      </c>
      <c r="H150" s="126">
        <v>124</v>
      </c>
      <c r="I150" s="126"/>
      <c r="J150" s="118"/>
      <c r="K150" s="118"/>
      <c r="L150" s="118">
        <v>124</v>
      </c>
      <c r="M150" s="98">
        <v>15.5</v>
      </c>
    </row>
    <row r="151" spans="1:13" s="89" customFormat="1" ht="11.1" customHeight="1" outlineLevel="3" collapsed="1" x14ac:dyDescent="0.2">
      <c r="A151" s="93" t="s">
        <v>1667</v>
      </c>
      <c r="B151" s="93"/>
      <c r="C151" s="93"/>
      <c r="D151" s="93"/>
      <c r="E151" s="93"/>
      <c r="F151" s="93"/>
      <c r="G151" s="92" t="s">
        <v>1666</v>
      </c>
      <c r="H151" s="126">
        <v>5424</v>
      </c>
      <c r="I151" s="126"/>
      <c r="J151" s="118"/>
      <c r="K151" s="118"/>
      <c r="L151" s="118">
        <v>5424</v>
      </c>
      <c r="M151" s="98">
        <v>21.9</v>
      </c>
    </row>
    <row r="152" spans="1:13" ht="11.1" customHeight="1" outlineLevel="1" x14ac:dyDescent="0.2">
      <c r="A152" s="102" t="s">
        <v>1846</v>
      </c>
      <c r="B152" s="102"/>
      <c r="C152" s="102"/>
      <c r="D152" s="102"/>
      <c r="E152" s="102"/>
      <c r="F152" s="102"/>
      <c r="G152" s="102"/>
      <c r="H152" s="124"/>
      <c r="I152" s="124"/>
      <c r="J152" s="116"/>
      <c r="K152" s="116"/>
      <c r="L152" s="116"/>
      <c r="M152" s="119"/>
    </row>
    <row r="153" spans="1:13" s="89" customFormat="1" ht="11.1" customHeight="1" outlineLevel="2" x14ac:dyDescent="0.2">
      <c r="A153" s="97" t="s">
        <v>1356</v>
      </c>
      <c r="B153" s="97"/>
      <c r="C153" s="97"/>
      <c r="D153" s="97"/>
      <c r="E153" s="97"/>
      <c r="F153" s="97"/>
      <c r="G153" s="96" t="s">
        <v>1623</v>
      </c>
      <c r="H153" s="125"/>
      <c r="I153" s="125"/>
      <c r="J153" s="117"/>
      <c r="K153" s="117"/>
      <c r="L153" s="117"/>
      <c r="M153" s="94"/>
    </row>
    <row r="154" spans="1:13" s="89" customFormat="1" ht="11.1" customHeight="1" outlineLevel="3" x14ac:dyDescent="0.2">
      <c r="A154" s="93" t="s">
        <v>1845</v>
      </c>
      <c r="B154" s="93"/>
      <c r="C154" s="93"/>
      <c r="D154" s="93"/>
      <c r="E154" s="93"/>
      <c r="F154" s="93"/>
      <c r="G154" s="92" t="s">
        <v>1815</v>
      </c>
      <c r="H154" s="126">
        <v>12780</v>
      </c>
      <c r="I154" s="126"/>
      <c r="J154" s="118"/>
      <c r="K154" s="118"/>
      <c r="L154" s="118">
        <v>12780</v>
      </c>
      <c r="M154" s="90" t="s">
        <v>1620</v>
      </c>
    </row>
    <row r="155" spans="1:13" ht="11.1" customHeight="1" outlineLevel="1" x14ac:dyDescent="0.2">
      <c r="A155" s="102" t="s">
        <v>1665</v>
      </c>
      <c r="B155" s="102"/>
      <c r="C155" s="102"/>
      <c r="D155" s="102"/>
      <c r="E155" s="102"/>
      <c r="F155" s="102"/>
      <c r="G155" s="102"/>
      <c r="H155" s="124"/>
      <c r="I155" s="124"/>
      <c r="J155" s="116"/>
      <c r="K155" s="116"/>
      <c r="L155" s="116"/>
      <c r="M155" s="101"/>
    </row>
    <row r="156" spans="1:13" s="89" customFormat="1" ht="11.1" customHeight="1" outlineLevel="2" x14ac:dyDescent="0.2">
      <c r="A156" s="97" t="s">
        <v>1345</v>
      </c>
      <c r="B156" s="97"/>
      <c r="C156" s="97"/>
      <c r="D156" s="97"/>
      <c r="E156" s="97"/>
      <c r="F156" s="97"/>
      <c r="G156" s="96" t="s">
        <v>1623</v>
      </c>
      <c r="H156" s="125"/>
      <c r="I156" s="125"/>
      <c r="J156" s="117"/>
      <c r="K156" s="117"/>
      <c r="L156" s="117"/>
      <c r="M156" s="94"/>
    </row>
    <row r="157" spans="1:13" s="89" customFormat="1" ht="11.1" customHeight="1" outlineLevel="3" x14ac:dyDescent="0.2">
      <c r="A157" s="93" t="s">
        <v>1764</v>
      </c>
      <c r="B157" s="93"/>
      <c r="C157" s="93"/>
      <c r="D157" s="93"/>
      <c r="E157" s="93"/>
      <c r="F157" s="93"/>
      <c r="G157" s="92" t="s">
        <v>1763</v>
      </c>
      <c r="H157" s="126">
        <v>168</v>
      </c>
      <c r="I157" s="126"/>
      <c r="J157" s="118"/>
      <c r="K157" s="118"/>
      <c r="L157" s="118">
        <v>168</v>
      </c>
      <c r="M157" s="90" t="s">
        <v>1620</v>
      </c>
    </row>
    <row r="158" spans="1:13" s="89" customFormat="1" ht="11.1" customHeight="1" outlineLevel="3" collapsed="1" x14ac:dyDescent="0.2">
      <c r="A158" s="93" t="s">
        <v>1752</v>
      </c>
      <c r="B158" s="93"/>
      <c r="C158" s="93"/>
      <c r="D158" s="93"/>
      <c r="E158" s="93"/>
      <c r="F158" s="93"/>
      <c r="G158" s="92" t="s">
        <v>1751</v>
      </c>
      <c r="H158" s="126">
        <v>12</v>
      </c>
      <c r="I158" s="126"/>
      <c r="J158" s="118"/>
      <c r="K158" s="118"/>
      <c r="L158" s="118">
        <v>12</v>
      </c>
      <c r="M158" s="90" t="s">
        <v>1620</v>
      </c>
    </row>
    <row r="159" spans="1:13" s="89" customFormat="1" ht="11.1" customHeight="1" outlineLevel="2" x14ac:dyDescent="0.2">
      <c r="A159" s="97" t="s">
        <v>1347</v>
      </c>
      <c r="B159" s="97"/>
      <c r="C159" s="97"/>
      <c r="D159" s="97"/>
      <c r="E159" s="97"/>
      <c r="F159" s="97"/>
      <c r="G159" s="96" t="s">
        <v>1623</v>
      </c>
      <c r="H159" s="125"/>
      <c r="I159" s="125"/>
      <c r="J159" s="117"/>
      <c r="K159" s="117"/>
      <c r="L159" s="117"/>
      <c r="M159" s="99"/>
    </row>
    <row r="160" spans="1:13" s="89" customFormat="1" ht="11.1" customHeight="1" outlineLevel="3" collapsed="1" x14ac:dyDescent="0.2">
      <c r="A160" s="100" t="s">
        <v>1840</v>
      </c>
      <c r="B160" s="100"/>
      <c r="C160" s="100"/>
      <c r="D160" s="100"/>
      <c r="E160" s="100"/>
      <c r="F160" s="100"/>
      <c r="G160" s="92" t="s">
        <v>1822</v>
      </c>
      <c r="H160" s="126">
        <v>60</v>
      </c>
      <c r="I160" s="126"/>
      <c r="J160" s="118"/>
      <c r="K160" s="118"/>
      <c r="L160" s="118">
        <v>60</v>
      </c>
      <c r="M160" s="98">
        <v>0.3</v>
      </c>
    </row>
    <row r="161" spans="1:13" s="89" customFormat="1" ht="11.1" customHeight="1" outlineLevel="2" x14ac:dyDescent="0.2">
      <c r="A161" s="97" t="s">
        <v>1358</v>
      </c>
      <c r="B161" s="97"/>
      <c r="C161" s="97"/>
      <c r="D161" s="97"/>
      <c r="E161" s="97"/>
      <c r="F161" s="97"/>
      <c r="G161" s="96" t="s">
        <v>1623</v>
      </c>
      <c r="H161" s="125"/>
      <c r="I161" s="125"/>
      <c r="J161" s="117"/>
      <c r="K161" s="117"/>
      <c r="L161" s="117"/>
      <c r="M161" s="99"/>
    </row>
    <row r="162" spans="1:13" s="89" customFormat="1" ht="11.1" customHeight="1" outlineLevel="3" collapsed="1" x14ac:dyDescent="0.2">
      <c r="A162" s="93" t="s">
        <v>1747</v>
      </c>
      <c r="B162" s="93"/>
      <c r="C162" s="93"/>
      <c r="D162" s="93"/>
      <c r="E162" s="93"/>
      <c r="F162" s="93"/>
      <c r="G162" s="92" t="s">
        <v>1744</v>
      </c>
      <c r="H162" s="126">
        <v>12</v>
      </c>
      <c r="I162" s="126"/>
      <c r="J162" s="118"/>
      <c r="K162" s="118"/>
      <c r="L162" s="118">
        <v>12</v>
      </c>
      <c r="M162" s="98">
        <v>0</v>
      </c>
    </row>
    <row r="163" spans="1:13" s="89" customFormat="1" ht="11.1" customHeight="1" outlineLevel="2" x14ac:dyDescent="0.2">
      <c r="A163" s="97" t="s">
        <v>1360</v>
      </c>
      <c r="B163" s="97"/>
      <c r="C163" s="97"/>
      <c r="D163" s="97"/>
      <c r="E163" s="97"/>
      <c r="F163" s="97"/>
      <c r="G163" s="96" t="s">
        <v>1623</v>
      </c>
      <c r="H163" s="125"/>
      <c r="I163" s="125"/>
      <c r="J163" s="117"/>
      <c r="K163" s="117"/>
      <c r="L163" s="117"/>
      <c r="M163" s="99"/>
    </row>
    <row r="164" spans="1:13" s="89" customFormat="1" ht="11.1" customHeight="1" outlineLevel="3" x14ac:dyDescent="0.2">
      <c r="A164" s="93" t="s">
        <v>1844</v>
      </c>
      <c r="B164" s="93"/>
      <c r="C164" s="93"/>
      <c r="D164" s="93"/>
      <c r="E164" s="93"/>
      <c r="F164" s="93"/>
      <c r="G164" s="92" t="s">
        <v>1843</v>
      </c>
      <c r="H164" s="126">
        <v>96</v>
      </c>
      <c r="I164" s="126"/>
      <c r="J164" s="118"/>
      <c r="K164" s="118"/>
      <c r="L164" s="118">
        <v>96</v>
      </c>
      <c r="M164" s="90" t="s">
        <v>1620</v>
      </c>
    </row>
    <row r="165" spans="1:13" s="89" customFormat="1" ht="11.1" customHeight="1" outlineLevel="3" collapsed="1" x14ac:dyDescent="0.2">
      <c r="A165" s="100" t="s">
        <v>1825</v>
      </c>
      <c r="B165" s="100"/>
      <c r="C165" s="100"/>
      <c r="D165" s="100"/>
      <c r="E165" s="100"/>
      <c r="F165" s="100"/>
      <c r="G165" s="92" t="s">
        <v>1824</v>
      </c>
      <c r="H165" s="126">
        <v>1248</v>
      </c>
      <c r="I165" s="126"/>
      <c r="J165" s="118"/>
      <c r="K165" s="118">
        <v>12</v>
      </c>
      <c r="L165" s="118">
        <v>1236</v>
      </c>
      <c r="M165" s="98">
        <v>1.1000000000000001</v>
      </c>
    </row>
    <row r="166" spans="1:13" s="89" customFormat="1" ht="11.1" customHeight="1" outlineLevel="2" x14ac:dyDescent="0.2">
      <c r="A166" s="97" t="s">
        <v>1565</v>
      </c>
      <c r="B166" s="97"/>
      <c r="C166" s="97"/>
      <c r="D166" s="97"/>
      <c r="E166" s="97"/>
      <c r="F166" s="97"/>
      <c r="G166" s="96" t="s">
        <v>1623</v>
      </c>
      <c r="H166" s="125"/>
      <c r="I166" s="125"/>
      <c r="J166" s="117"/>
      <c r="K166" s="117"/>
      <c r="L166" s="117"/>
      <c r="M166" s="99"/>
    </row>
    <row r="167" spans="1:13" s="89" customFormat="1" ht="11.1" customHeight="1" outlineLevel="3" x14ac:dyDescent="0.2">
      <c r="A167" s="93" t="s">
        <v>1642</v>
      </c>
      <c r="B167" s="93"/>
      <c r="C167" s="93"/>
      <c r="D167" s="93"/>
      <c r="E167" s="93"/>
      <c r="F167" s="93"/>
      <c r="G167" s="92" t="s">
        <v>1641</v>
      </c>
      <c r="H167" s="126">
        <v>10</v>
      </c>
      <c r="I167" s="126"/>
      <c r="J167" s="118"/>
      <c r="K167" s="118"/>
      <c r="L167" s="118">
        <v>10</v>
      </c>
      <c r="M167" s="90" t="s">
        <v>1620</v>
      </c>
    </row>
    <row r="168" spans="1:13" s="89" customFormat="1" ht="11.1" customHeight="1" outlineLevel="3" collapsed="1" x14ac:dyDescent="0.2">
      <c r="A168" s="100" t="s">
        <v>1830</v>
      </c>
      <c r="B168" s="100"/>
      <c r="C168" s="100"/>
      <c r="D168" s="100"/>
      <c r="E168" s="100"/>
      <c r="F168" s="100"/>
      <c r="G168" s="92" t="s">
        <v>1829</v>
      </c>
      <c r="H168" s="126">
        <v>80</v>
      </c>
      <c r="I168" s="126"/>
      <c r="J168" s="118"/>
      <c r="K168" s="118"/>
      <c r="L168" s="118">
        <v>80</v>
      </c>
      <c r="M168" s="98">
        <v>0.2</v>
      </c>
    </row>
    <row r="169" spans="1:13" s="89" customFormat="1" ht="11.1" customHeight="1" outlineLevel="2" x14ac:dyDescent="0.2">
      <c r="A169" s="97" t="s">
        <v>1567</v>
      </c>
      <c r="B169" s="97"/>
      <c r="C169" s="97"/>
      <c r="D169" s="97"/>
      <c r="E169" s="97"/>
      <c r="F169" s="97"/>
      <c r="G169" s="96" t="s">
        <v>1623</v>
      </c>
      <c r="H169" s="125"/>
      <c r="I169" s="125"/>
      <c r="J169" s="117"/>
      <c r="K169" s="117"/>
      <c r="L169" s="117"/>
      <c r="M169" s="99"/>
    </row>
    <row r="170" spans="1:13" s="89" customFormat="1" ht="11.1" customHeight="1" outlineLevel="3" collapsed="1" x14ac:dyDescent="0.2">
      <c r="A170" s="100" t="s">
        <v>1830</v>
      </c>
      <c r="B170" s="100"/>
      <c r="C170" s="100"/>
      <c r="D170" s="100"/>
      <c r="E170" s="100"/>
      <c r="F170" s="100"/>
      <c r="G170" s="92" t="s">
        <v>1829</v>
      </c>
      <c r="H170" s="126">
        <v>25</v>
      </c>
      <c r="I170" s="126"/>
      <c r="J170" s="118"/>
      <c r="K170" s="118">
        <v>2</v>
      </c>
      <c r="L170" s="118">
        <v>23</v>
      </c>
      <c r="M170" s="98">
        <v>2.8</v>
      </c>
    </row>
    <row r="171" spans="1:13" s="89" customFormat="1" ht="11.1" customHeight="1" outlineLevel="2" x14ac:dyDescent="0.2">
      <c r="A171" s="97" t="s">
        <v>1569</v>
      </c>
      <c r="B171" s="97"/>
      <c r="C171" s="97"/>
      <c r="D171" s="97"/>
      <c r="E171" s="97"/>
      <c r="F171" s="97"/>
      <c r="G171" s="96" t="s">
        <v>1623</v>
      </c>
      <c r="H171" s="125"/>
      <c r="I171" s="125"/>
      <c r="J171" s="117"/>
      <c r="K171" s="117"/>
      <c r="L171" s="117"/>
      <c r="M171" s="99"/>
    </row>
    <row r="172" spans="1:13" s="89" customFormat="1" ht="11.1" customHeight="1" outlineLevel="3" collapsed="1" x14ac:dyDescent="0.2">
      <c r="A172" s="100" t="s">
        <v>1830</v>
      </c>
      <c r="B172" s="100"/>
      <c r="C172" s="100"/>
      <c r="D172" s="100"/>
      <c r="E172" s="100"/>
      <c r="F172" s="100"/>
      <c r="G172" s="92" t="s">
        <v>1829</v>
      </c>
      <c r="H172" s="126">
        <v>180</v>
      </c>
      <c r="I172" s="126"/>
      <c r="J172" s="118"/>
      <c r="K172" s="118">
        <v>120</v>
      </c>
      <c r="L172" s="118">
        <v>60</v>
      </c>
      <c r="M172" s="98">
        <v>0.2</v>
      </c>
    </row>
    <row r="173" spans="1:13" s="89" customFormat="1" ht="11.1" customHeight="1" outlineLevel="2" x14ac:dyDescent="0.2">
      <c r="A173" s="97" t="s">
        <v>1571</v>
      </c>
      <c r="B173" s="97"/>
      <c r="C173" s="97"/>
      <c r="D173" s="97"/>
      <c r="E173" s="97"/>
      <c r="F173" s="97"/>
      <c r="G173" s="96" t="s">
        <v>1623</v>
      </c>
      <c r="H173" s="125"/>
      <c r="I173" s="125"/>
      <c r="J173" s="117"/>
      <c r="K173" s="117"/>
      <c r="L173" s="117"/>
      <c r="M173" s="99"/>
    </row>
    <row r="174" spans="1:13" s="89" customFormat="1" ht="11.1" customHeight="1" outlineLevel="3" collapsed="1" x14ac:dyDescent="0.2">
      <c r="A174" s="93" t="s">
        <v>1642</v>
      </c>
      <c r="B174" s="93"/>
      <c r="C174" s="93"/>
      <c r="D174" s="93"/>
      <c r="E174" s="93"/>
      <c r="F174" s="93"/>
      <c r="G174" s="92" t="s">
        <v>1641</v>
      </c>
      <c r="H174" s="126">
        <v>21</v>
      </c>
      <c r="I174" s="126"/>
      <c r="J174" s="118"/>
      <c r="K174" s="118"/>
      <c r="L174" s="118">
        <v>21</v>
      </c>
      <c r="M174" s="98">
        <v>1</v>
      </c>
    </row>
    <row r="175" spans="1:13" s="89" customFormat="1" ht="11.1" customHeight="1" outlineLevel="2" x14ac:dyDescent="0.2">
      <c r="A175" s="97" t="s">
        <v>1573</v>
      </c>
      <c r="B175" s="97"/>
      <c r="C175" s="97"/>
      <c r="D175" s="97"/>
      <c r="E175" s="97"/>
      <c r="F175" s="97"/>
      <c r="G175" s="96" t="s">
        <v>1623</v>
      </c>
      <c r="H175" s="125"/>
      <c r="I175" s="125"/>
      <c r="J175" s="117"/>
      <c r="K175" s="117"/>
      <c r="L175" s="117"/>
      <c r="M175" s="95"/>
    </row>
    <row r="176" spans="1:13" s="89" customFormat="1" ht="11.1" customHeight="1" outlineLevel="3" collapsed="1" x14ac:dyDescent="0.2">
      <c r="A176" s="100" t="s">
        <v>1830</v>
      </c>
      <c r="B176" s="100"/>
      <c r="C176" s="100"/>
      <c r="D176" s="100"/>
      <c r="E176" s="100"/>
      <c r="F176" s="100"/>
      <c r="G176" s="92" t="s">
        <v>1829</v>
      </c>
      <c r="H176" s="126">
        <v>380</v>
      </c>
      <c r="I176" s="126"/>
      <c r="J176" s="118"/>
      <c r="K176" s="118">
        <v>380</v>
      </c>
      <c r="L176" s="118"/>
      <c r="M176" s="91"/>
    </row>
    <row r="177" spans="1:13" s="89" customFormat="1" ht="11.25" outlineLevel="2" x14ac:dyDescent="0.2">
      <c r="A177" s="97" t="s">
        <v>1378</v>
      </c>
      <c r="B177" s="97"/>
      <c r="C177" s="97"/>
      <c r="D177" s="97"/>
      <c r="E177" s="97"/>
      <c r="F177" s="97"/>
      <c r="G177" s="96" t="s">
        <v>1623</v>
      </c>
      <c r="H177" s="125"/>
      <c r="I177" s="125"/>
      <c r="J177" s="117"/>
      <c r="K177" s="117"/>
      <c r="L177" s="117"/>
      <c r="M177" s="94"/>
    </row>
    <row r="178" spans="1:13" s="89" customFormat="1" ht="11.1" customHeight="1" outlineLevel="3" collapsed="1" x14ac:dyDescent="0.2">
      <c r="A178" s="100" t="s">
        <v>1821</v>
      </c>
      <c r="B178" s="100"/>
      <c r="C178" s="100"/>
      <c r="D178" s="100"/>
      <c r="E178" s="100"/>
      <c r="F178" s="100"/>
      <c r="G178" s="92" t="s">
        <v>1820</v>
      </c>
      <c r="H178" s="126">
        <v>24</v>
      </c>
      <c r="I178" s="126"/>
      <c r="J178" s="118"/>
      <c r="K178" s="118"/>
      <c r="L178" s="118">
        <v>24</v>
      </c>
      <c r="M178" s="90" t="s">
        <v>1620</v>
      </c>
    </row>
    <row r="179" spans="1:13" s="89" customFormat="1" ht="11.1" customHeight="1" outlineLevel="2" x14ac:dyDescent="0.2">
      <c r="A179" s="97" t="s">
        <v>1384</v>
      </c>
      <c r="B179" s="97"/>
      <c r="C179" s="97"/>
      <c r="D179" s="97"/>
      <c r="E179" s="97"/>
      <c r="F179" s="97"/>
      <c r="G179" s="96" t="s">
        <v>1623</v>
      </c>
      <c r="H179" s="125"/>
      <c r="I179" s="125"/>
      <c r="J179" s="117"/>
      <c r="K179" s="117"/>
      <c r="L179" s="117"/>
      <c r="M179" s="94"/>
    </row>
    <row r="180" spans="1:13" s="89" customFormat="1" ht="11.1" customHeight="1" outlineLevel="3" collapsed="1" x14ac:dyDescent="0.2">
      <c r="A180" s="100" t="s">
        <v>1766</v>
      </c>
      <c r="B180" s="100"/>
      <c r="C180" s="100"/>
      <c r="D180" s="100"/>
      <c r="E180" s="100"/>
      <c r="F180" s="100"/>
      <c r="G180" s="92" t="s">
        <v>1842</v>
      </c>
      <c r="H180" s="126">
        <v>60</v>
      </c>
      <c r="I180" s="126"/>
      <c r="J180" s="118"/>
      <c r="K180" s="118"/>
      <c r="L180" s="118">
        <v>60</v>
      </c>
      <c r="M180" s="90" t="s">
        <v>1620</v>
      </c>
    </row>
    <row r="181" spans="1:13" s="89" customFormat="1" ht="11.1" customHeight="1" outlineLevel="2" x14ac:dyDescent="0.2">
      <c r="A181" s="97" t="s">
        <v>1394</v>
      </c>
      <c r="B181" s="97"/>
      <c r="C181" s="97"/>
      <c r="D181" s="97"/>
      <c r="E181" s="97"/>
      <c r="F181" s="97"/>
      <c r="G181" s="96" t="s">
        <v>1623</v>
      </c>
      <c r="H181" s="125"/>
      <c r="I181" s="125"/>
      <c r="J181" s="117"/>
      <c r="K181" s="117"/>
      <c r="L181" s="117"/>
      <c r="M181" s="99"/>
    </row>
    <row r="182" spans="1:13" s="89" customFormat="1" ht="11.1" customHeight="1" outlineLevel="3" collapsed="1" x14ac:dyDescent="0.2">
      <c r="A182" s="100" t="s">
        <v>1828</v>
      </c>
      <c r="B182" s="100"/>
      <c r="C182" s="100"/>
      <c r="D182" s="100"/>
      <c r="E182" s="100"/>
      <c r="F182" s="100"/>
      <c r="G182" s="92" t="s">
        <v>1824</v>
      </c>
      <c r="H182" s="126">
        <v>48</v>
      </c>
      <c r="I182" s="126"/>
      <c r="J182" s="118"/>
      <c r="K182" s="118"/>
      <c r="L182" s="118">
        <v>48</v>
      </c>
      <c r="M182" s="98">
        <v>0</v>
      </c>
    </row>
    <row r="183" spans="1:13" s="89" customFormat="1" ht="11.1" customHeight="1" outlineLevel="2" x14ac:dyDescent="0.2">
      <c r="A183" s="97" t="s">
        <v>1400</v>
      </c>
      <c r="B183" s="97"/>
      <c r="C183" s="97"/>
      <c r="D183" s="97"/>
      <c r="E183" s="97"/>
      <c r="F183" s="97"/>
      <c r="G183" s="96" t="s">
        <v>1623</v>
      </c>
      <c r="H183" s="125"/>
      <c r="I183" s="125"/>
      <c r="J183" s="117"/>
      <c r="K183" s="117"/>
      <c r="L183" s="117"/>
      <c r="M183" s="99"/>
    </row>
    <row r="184" spans="1:13" s="89" customFormat="1" ht="11.1" customHeight="1" outlineLevel="3" x14ac:dyDescent="0.2">
      <c r="A184" s="93" t="s">
        <v>1663</v>
      </c>
      <c r="B184" s="93"/>
      <c r="C184" s="93"/>
      <c r="D184" s="93"/>
      <c r="E184" s="93"/>
      <c r="F184" s="93"/>
      <c r="G184" s="92" t="s">
        <v>1662</v>
      </c>
      <c r="H184" s="126">
        <v>84</v>
      </c>
      <c r="I184" s="126"/>
      <c r="J184" s="118"/>
      <c r="K184" s="118">
        <v>36</v>
      </c>
      <c r="L184" s="118">
        <v>48</v>
      </c>
      <c r="M184" s="90" t="s">
        <v>1620</v>
      </c>
    </row>
    <row r="185" spans="1:13" s="89" customFormat="1" ht="11.1" customHeight="1" outlineLevel="3" x14ac:dyDescent="0.2">
      <c r="A185" s="93" t="s">
        <v>1653</v>
      </c>
      <c r="B185" s="93"/>
      <c r="C185" s="93"/>
      <c r="D185" s="93"/>
      <c r="E185" s="93"/>
      <c r="F185" s="93"/>
      <c r="G185" s="92" t="s">
        <v>1652</v>
      </c>
      <c r="H185" s="126">
        <v>205</v>
      </c>
      <c r="I185" s="126"/>
      <c r="J185" s="118"/>
      <c r="K185" s="118">
        <v>204</v>
      </c>
      <c r="L185" s="118">
        <v>1</v>
      </c>
      <c r="M185" s="98">
        <v>0.3</v>
      </c>
    </row>
    <row r="186" spans="1:13" s="89" customFormat="1" ht="11.1" customHeight="1" outlineLevel="3" x14ac:dyDescent="0.2">
      <c r="A186" s="93" t="s">
        <v>1745</v>
      </c>
      <c r="B186" s="93"/>
      <c r="C186" s="93"/>
      <c r="D186" s="93"/>
      <c r="E186" s="93"/>
      <c r="F186" s="93"/>
      <c r="G186" s="92" t="s">
        <v>1744</v>
      </c>
      <c r="H186" s="126">
        <v>600</v>
      </c>
      <c r="I186" s="126"/>
      <c r="J186" s="118"/>
      <c r="K186" s="118">
        <v>600</v>
      </c>
      <c r="L186" s="118"/>
      <c r="M186" s="90" t="s">
        <v>1620</v>
      </c>
    </row>
    <row r="187" spans="1:13" s="89" customFormat="1" ht="11.1" customHeight="1" outlineLevel="3" collapsed="1" x14ac:dyDescent="0.2">
      <c r="A187" s="100" t="s">
        <v>1825</v>
      </c>
      <c r="B187" s="100"/>
      <c r="C187" s="100"/>
      <c r="D187" s="100"/>
      <c r="E187" s="100"/>
      <c r="F187" s="100"/>
      <c r="G187" s="92" t="s">
        <v>1824</v>
      </c>
      <c r="H187" s="126">
        <v>149</v>
      </c>
      <c r="I187" s="126"/>
      <c r="J187" s="118"/>
      <c r="K187" s="118"/>
      <c r="L187" s="118">
        <v>149</v>
      </c>
      <c r="M187" s="98">
        <v>0.6</v>
      </c>
    </row>
    <row r="188" spans="1:13" s="89" customFormat="1" ht="11.1" customHeight="1" outlineLevel="2" x14ac:dyDescent="0.2">
      <c r="A188" s="97" t="s">
        <v>1404</v>
      </c>
      <c r="B188" s="97"/>
      <c r="C188" s="97"/>
      <c r="D188" s="97"/>
      <c r="E188" s="97"/>
      <c r="F188" s="97"/>
      <c r="G188" s="96" t="s">
        <v>1623</v>
      </c>
      <c r="H188" s="125"/>
      <c r="I188" s="125"/>
      <c r="J188" s="117"/>
      <c r="K188" s="117"/>
      <c r="L188" s="117"/>
      <c r="M188" s="99"/>
    </row>
    <row r="189" spans="1:13" s="89" customFormat="1" ht="11.1" customHeight="1" outlineLevel="3" x14ac:dyDescent="0.2">
      <c r="A189" s="93" t="s">
        <v>1661</v>
      </c>
      <c r="B189" s="93"/>
      <c r="C189" s="93"/>
      <c r="D189" s="93"/>
      <c r="E189" s="93"/>
      <c r="F189" s="93"/>
      <c r="G189" s="92" t="s">
        <v>1643</v>
      </c>
      <c r="H189" s="126">
        <v>22</v>
      </c>
      <c r="I189" s="126"/>
      <c r="J189" s="118"/>
      <c r="K189" s="118"/>
      <c r="L189" s="118">
        <v>22</v>
      </c>
      <c r="M189" s="98">
        <v>33</v>
      </c>
    </row>
    <row r="190" spans="1:13" s="89" customFormat="1" ht="11.1" customHeight="1" outlineLevel="3" x14ac:dyDescent="0.2">
      <c r="A190" s="93" t="s">
        <v>1660</v>
      </c>
      <c r="B190" s="93"/>
      <c r="C190" s="93"/>
      <c r="D190" s="93"/>
      <c r="E190" s="93"/>
      <c r="F190" s="93"/>
      <c r="G190" s="92" t="s">
        <v>1659</v>
      </c>
      <c r="H190" s="126">
        <v>12</v>
      </c>
      <c r="I190" s="126"/>
      <c r="J190" s="118"/>
      <c r="K190" s="118"/>
      <c r="L190" s="118">
        <v>12</v>
      </c>
      <c r="M190" s="90" t="s">
        <v>1620</v>
      </c>
    </row>
    <row r="191" spans="1:13" s="89" customFormat="1" ht="11.1" customHeight="1" outlineLevel="3" x14ac:dyDescent="0.2">
      <c r="A191" s="93" t="s">
        <v>1658</v>
      </c>
      <c r="B191" s="93"/>
      <c r="C191" s="93"/>
      <c r="D191" s="93"/>
      <c r="E191" s="93"/>
      <c r="F191" s="93"/>
      <c r="G191" s="92" t="s">
        <v>1652</v>
      </c>
      <c r="H191" s="126">
        <v>72</v>
      </c>
      <c r="I191" s="126"/>
      <c r="J191" s="118"/>
      <c r="K191" s="118"/>
      <c r="L191" s="118">
        <v>72</v>
      </c>
      <c r="M191" s="90" t="s">
        <v>1620</v>
      </c>
    </row>
    <row r="192" spans="1:13" s="89" customFormat="1" ht="11.1" customHeight="1" outlineLevel="3" x14ac:dyDescent="0.2">
      <c r="A192" s="93" t="s">
        <v>1657</v>
      </c>
      <c r="B192" s="93"/>
      <c r="C192" s="93"/>
      <c r="D192" s="93"/>
      <c r="E192" s="93"/>
      <c r="F192" s="93"/>
      <c r="G192" s="92" t="s">
        <v>1656</v>
      </c>
      <c r="H192" s="126">
        <v>553</v>
      </c>
      <c r="I192" s="126"/>
      <c r="J192" s="118"/>
      <c r="K192" s="118"/>
      <c r="L192" s="118">
        <v>553</v>
      </c>
      <c r="M192" s="98">
        <v>150.80000000000001</v>
      </c>
    </row>
    <row r="193" spans="1:13" s="89" customFormat="1" ht="11.1" customHeight="1" outlineLevel="3" x14ac:dyDescent="0.2">
      <c r="A193" s="100" t="s">
        <v>1819</v>
      </c>
      <c r="B193" s="100"/>
      <c r="C193" s="100"/>
      <c r="D193" s="100"/>
      <c r="E193" s="100"/>
      <c r="F193" s="100"/>
      <c r="G193" s="92" t="s">
        <v>1818</v>
      </c>
      <c r="H193" s="126">
        <v>36</v>
      </c>
      <c r="I193" s="126"/>
      <c r="J193" s="118"/>
      <c r="K193" s="118"/>
      <c r="L193" s="118">
        <v>36</v>
      </c>
      <c r="M193" s="98">
        <v>9</v>
      </c>
    </row>
    <row r="194" spans="1:13" s="89" customFormat="1" ht="11.1" customHeight="1" outlineLevel="3" collapsed="1" x14ac:dyDescent="0.2">
      <c r="A194" s="100" t="s">
        <v>1841</v>
      </c>
      <c r="B194" s="100"/>
      <c r="C194" s="100"/>
      <c r="D194" s="100"/>
      <c r="E194" s="100"/>
      <c r="F194" s="100"/>
      <c r="G194" s="92" t="s">
        <v>1822</v>
      </c>
      <c r="H194" s="126">
        <v>2865</v>
      </c>
      <c r="I194" s="126"/>
      <c r="J194" s="118"/>
      <c r="K194" s="118">
        <v>600</v>
      </c>
      <c r="L194" s="118">
        <v>2265</v>
      </c>
      <c r="M194" s="98">
        <v>1.9</v>
      </c>
    </row>
    <row r="195" spans="1:13" s="89" customFormat="1" ht="11.1" customHeight="1" outlineLevel="2" x14ac:dyDescent="0.2">
      <c r="A195" s="97" t="s">
        <v>1602</v>
      </c>
      <c r="B195" s="97"/>
      <c r="C195" s="97"/>
      <c r="D195" s="97"/>
      <c r="E195" s="97"/>
      <c r="F195" s="97"/>
      <c r="G195" s="96" t="s">
        <v>1623</v>
      </c>
      <c r="H195" s="125"/>
      <c r="I195" s="125"/>
      <c r="J195" s="117"/>
      <c r="K195" s="117"/>
      <c r="L195" s="117"/>
      <c r="M195" s="99"/>
    </row>
    <row r="196" spans="1:13" s="89" customFormat="1" ht="11.1" customHeight="1" outlineLevel="3" x14ac:dyDescent="0.2">
      <c r="A196" s="100" t="s">
        <v>1832</v>
      </c>
      <c r="B196" s="100"/>
      <c r="C196" s="100"/>
      <c r="D196" s="100"/>
      <c r="E196" s="100"/>
      <c r="F196" s="100"/>
      <c r="G196" s="92" t="s">
        <v>1822</v>
      </c>
      <c r="H196" s="126">
        <v>2592</v>
      </c>
      <c r="I196" s="126"/>
      <c r="J196" s="118"/>
      <c r="K196" s="118"/>
      <c r="L196" s="118">
        <v>2592</v>
      </c>
      <c r="M196" s="98">
        <v>3.5</v>
      </c>
    </row>
    <row r="197" spans="1:13" s="89" customFormat="1" ht="11.1" customHeight="1" outlineLevel="3" collapsed="1" x14ac:dyDescent="0.2">
      <c r="A197" s="100" t="s">
        <v>1823</v>
      </c>
      <c r="B197" s="100"/>
      <c r="C197" s="100"/>
      <c r="D197" s="100"/>
      <c r="E197" s="100"/>
      <c r="F197" s="100"/>
      <c r="G197" s="92" t="s">
        <v>1822</v>
      </c>
      <c r="H197" s="126">
        <v>3072</v>
      </c>
      <c r="I197" s="126"/>
      <c r="J197" s="118"/>
      <c r="K197" s="118"/>
      <c r="L197" s="118">
        <v>3072</v>
      </c>
      <c r="M197" s="98">
        <v>1.7</v>
      </c>
    </row>
    <row r="198" spans="1:13" s="89" customFormat="1" ht="11.1" customHeight="1" outlineLevel="2" x14ac:dyDescent="0.2">
      <c r="A198" s="97" t="s">
        <v>1407</v>
      </c>
      <c r="B198" s="97"/>
      <c r="C198" s="97"/>
      <c r="D198" s="97"/>
      <c r="E198" s="97"/>
      <c r="F198" s="97"/>
      <c r="G198" s="96" t="s">
        <v>1623</v>
      </c>
      <c r="H198" s="125"/>
      <c r="I198" s="125"/>
      <c r="J198" s="117"/>
      <c r="K198" s="117"/>
      <c r="L198" s="117"/>
      <c r="M198" s="99"/>
    </row>
    <row r="199" spans="1:13" s="89" customFormat="1" ht="11.1" customHeight="1" outlineLevel="3" x14ac:dyDescent="0.2">
      <c r="A199" s="93" t="s">
        <v>1648</v>
      </c>
      <c r="B199" s="93"/>
      <c r="C199" s="93"/>
      <c r="D199" s="93"/>
      <c r="E199" s="93"/>
      <c r="F199" s="93"/>
      <c r="G199" s="92" t="s">
        <v>1647</v>
      </c>
      <c r="H199" s="126">
        <v>240</v>
      </c>
      <c r="I199" s="126"/>
      <c r="J199" s="118"/>
      <c r="K199" s="118"/>
      <c r="L199" s="118">
        <v>240</v>
      </c>
      <c r="M199" s="90" t="s">
        <v>1620</v>
      </c>
    </row>
    <row r="200" spans="1:13" s="89" customFormat="1" ht="11.1" customHeight="1" outlineLevel="3" x14ac:dyDescent="0.2">
      <c r="A200" s="93" t="s">
        <v>1655</v>
      </c>
      <c r="B200" s="93"/>
      <c r="C200" s="93"/>
      <c r="D200" s="93"/>
      <c r="E200" s="93"/>
      <c r="F200" s="93"/>
      <c r="G200" s="92" t="s">
        <v>1651</v>
      </c>
      <c r="H200" s="126">
        <v>672</v>
      </c>
      <c r="I200" s="126"/>
      <c r="J200" s="118"/>
      <c r="K200" s="118"/>
      <c r="L200" s="118">
        <v>672</v>
      </c>
      <c r="M200" s="90" t="s">
        <v>1620</v>
      </c>
    </row>
    <row r="201" spans="1:13" s="89" customFormat="1" ht="11.1" customHeight="1" outlineLevel="3" x14ac:dyDescent="0.2">
      <c r="A201" s="93" t="s">
        <v>1745</v>
      </c>
      <c r="B201" s="93"/>
      <c r="C201" s="93"/>
      <c r="D201" s="93"/>
      <c r="E201" s="93"/>
      <c r="F201" s="93"/>
      <c r="G201" s="92" t="s">
        <v>1744</v>
      </c>
      <c r="H201" s="126">
        <v>2016</v>
      </c>
      <c r="I201" s="126"/>
      <c r="J201" s="118"/>
      <c r="K201" s="118"/>
      <c r="L201" s="118">
        <v>2016</v>
      </c>
      <c r="M201" s="98">
        <v>5.9</v>
      </c>
    </row>
    <row r="202" spans="1:13" s="89" customFormat="1" ht="11.1" customHeight="1" outlineLevel="3" collapsed="1" x14ac:dyDescent="0.2">
      <c r="A202" s="100" t="s">
        <v>1756</v>
      </c>
      <c r="B202" s="100"/>
      <c r="C202" s="100"/>
      <c r="D202" s="100"/>
      <c r="E202" s="100"/>
      <c r="F202" s="100"/>
      <c r="G202" s="92" t="s">
        <v>1742</v>
      </c>
      <c r="H202" s="126">
        <v>2988</v>
      </c>
      <c r="I202" s="126"/>
      <c r="J202" s="118"/>
      <c r="K202" s="118"/>
      <c r="L202" s="118">
        <v>2988</v>
      </c>
      <c r="M202" s="90" t="s">
        <v>1620</v>
      </c>
    </row>
    <row r="203" spans="1:13" s="89" customFormat="1" ht="11.1" customHeight="1" outlineLevel="2" x14ac:dyDescent="0.2">
      <c r="A203" s="97" t="s">
        <v>1409</v>
      </c>
      <c r="B203" s="97"/>
      <c r="C203" s="97"/>
      <c r="D203" s="97"/>
      <c r="E203" s="97"/>
      <c r="F203" s="97"/>
      <c r="G203" s="96" t="s">
        <v>1623</v>
      </c>
      <c r="H203" s="125"/>
      <c r="I203" s="125"/>
      <c r="J203" s="117"/>
      <c r="K203" s="117"/>
      <c r="L203" s="117"/>
      <c r="M203" s="99"/>
    </row>
    <row r="204" spans="1:13" s="89" customFormat="1" ht="11.1" customHeight="1" outlineLevel="3" x14ac:dyDescent="0.2">
      <c r="A204" s="93" t="s">
        <v>1653</v>
      </c>
      <c r="B204" s="93"/>
      <c r="C204" s="93"/>
      <c r="D204" s="93"/>
      <c r="E204" s="93"/>
      <c r="F204" s="93"/>
      <c r="G204" s="92" t="s">
        <v>1652</v>
      </c>
      <c r="H204" s="126">
        <v>324</v>
      </c>
      <c r="I204" s="126"/>
      <c r="J204" s="118"/>
      <c r="K204" s="118">
        <v>144</v>
      </c>
      <c r="L204" s="118">
        <v>180</v>
      </c>
      <c r="M204" s="98">
        <v>0.9</v>
      </c>
    </row>
    <row r="205" spans="1:13" s="89" customFormat="1" ht="11.1" customHeight="1" outlineLevel="3" collapsed="1" x14ac:dyDescent="0.2">
      <c r="A205" s="93" t="s">
        <v>1745</v>
      </c>
      <c r="B205" s="93"/>
      <c r="C205" s="93"/>
      <c r="D205" s="93"/>
      <c r="E205" s="93"/>
      <c r="F205" s="93"/>
      <c r="G205" s="92" t="s">
        <v>1744</v>
      </c>
      <c r="H205" s="126">
        <v>300</v>
      </c>
      <c r="I205" s="126"/>
      <c r="J205" s="118"/>
      <c r="K205" s="118"/>
      <c r="L205" s="118">
        <v>300</v>
      </c>
      <c r="M205" s="98">
        <v>1.4</v>
      </c>
    </row>
    <row r="206" spans="1:13" s="89" customFormat="1" ht="11.1" customHeight="1" outlineLevel="2" x14ac:dyDescent="0.2">
      <c r="A206" s="97" t="s">
        <v>1415</v>
      </c>
      <c r="B206" s="97"/>
      <c r="C206" s="97"/>
      <c r="D206" s="97"/>
      <c r="E206" s="97"/>
      <c r="F206" s="97"/>
      <c r="G206" s="96" t="s">
        <v>1623</v>
      </c>
      <c r="H206" s="125"/>
      <c r="I206" s="125"/>
      <c r="J206" s="117"/>
      <c r="K206" s="117"/>
      <c r="L206" s="117"/>
      <c r="M206" s="99"/>
    </row>
    <row r="207" spans="1:13" s="89" customFormat="1" ht="11.1" customHeight="1" outlineLevel="3" collapsed="1" x14ac:dyDescent="0.2">
      <c r="A207" s="100" t="s">
        <v>1833</v>
      </c>
      <c r="B207" s="100"/>
      <c r="C207" s="100"/>
      <c r="D207" s="100"/>
      <c r="E207" s="100"/>
      <c r="F207" s="100"/>
      <c r="G207" s="92" t="s">
        <v>1824</v>
      </c>
      <c r="H207" s="126">
        <v>12</v>
      </c>
      <c r="I207" s="126"/>
      <c r="J207" s="118"/>
      <c r="K207" s="118"/>
      <c r="L207" s="118">
        <v>12</v>
      </c>
      <c r="M207" s="98">
        <v>0.5</v>
      </c>
    </row>
    <row r="208" spans="1:13" s="89" customFormat="1" ht="11.1" customHeight="1" outlineLevel="2" x14ac:dyDescent="0.2">
      <c r="A208" s="97" t="s">
        <v>1419</v>
      </c>
      <c r="B208" s="97"/>
      <c r="C208" s="97"/>
      <c r="D208" s="97"/>
      <c r="E208" s="97"/>
      <c r="F208" s="97"/>
      <c r="G208" s="96" t="s">
        <v>1623</v>
      </c>
      <c r="H208" s="125"/>
      <c r="I208" s="125"/>
      <c r="J208" s="117"/>
      <c r="K208" s="117"/>
      <c r="L208" s="117"/>
      <c r="M208" s="94"/>
    </row>
    <row r="209" spans="1:13" s="89" customFormat="1" ht="11.1" customHeight="1" outlineLevel="3" collapsed="1" x14ac:dyDescent="0.2">
      <c r="A209" s="93" t="s">
        <v>1648</v>
      </c>
      <c r="B209" s="93"/>
      <c r="C209" s="93"/>
      <c r="D209" s="93"/>
      <c r="E209" s="93"/>
      <c r="F209" s="93"/>
      <c r="G209" s="92" t="s">
        <v>1647</v>
      </c>
      <c r="H209" s="126">
        <v>72</v>
      </c>
      <c r="I209" s="126"/>
      <c r="J209" s="118"/>
      <c r="K209" s="118"/>
      <c r="L209" s="118">
        <v>72</v>
      </c>
      <c r="M209" s="90" t="s">
        <v>1620</v>
      </c>
    </row>
    <row r="210" spans="1:13" s="89" customFormat="1" ht="11.1" customHeight="1" outlineLevel="2" x14ac:dyDescent="0.2">
      <c r="A210" s="97" t="s">
        <v>1423</v>
      </c>
      <c r="B210" s="97"/>
      <c r="C210" s="97"/>
      <c r="D210" s="97"/>
      <c r="E210" s="97"/>
      <c r="F210" s="97"/>
      <c r="G210" s="96" t="s">
        <v>1623</v>
      </c>
      <c r="H210" s="125"/>
      <c r="I210" s="125"/>
      <c r="J210" s="117"/>
      <c r="K210" s="117"/>
      <c r="L210" s="117"/>
      <c r="M210" s="99"/>
    </row>
    <row r="211" spans="1:13" s="89" customFormat="1" ht="11.1" customHeight="1" outlineLevel="3" x14ac:dyDescent="0.2">
      <c r="A211" s="93" t="s">
        <v>1755</v>
      </c>
      <c r="B211" s="93"/>
      <c r="C211" s="93"/>
      <c r="D211" s="93"/>
      <c r="E211" s="93"/>
      <c r="F211" s="93"/>
      <c r="G211" s="92" t="s">
        <v>1753</v>
      </c>
      <c r="H211" s="126">
        <v>118</v>
      </c>
      <c r="I211" s="126"/>
      <c r="J211" s="118"/>
      <c r="K211" s="118"/>
      <c r="L211" s="118">
        <v>118</v>
      </c>
      <c r="M211" s="98">
        <v>1.4</v>
      </c>
    </row>
    <row r="212" spans="1:13" s="89" customFormat="1" ht="11.1" customHeight="1" outlineLevel="3" collapsed="1" x14ac:dyDescent="0.2">
      <c r="A212" s="93" t="s">
        <v>1754</v>
      </c>
      <c r="B212" s="93"/>
      <c r="C212" s="93"/>
      <c r="D212" s="93"/>
      <c r="E212" s="93"/>
      <c r="F212" s="93"/>
      <c r="G212" s="92" t="s">
        <v>1753</v>
      </c>
      <c r="H212" s="126">
        <v>36</v>
      </c>
      <c r="I212" s="126"/>
      <c r="J212" s="118"/>
      <c r="K212" s="118"/>
      <c r="L212" s="118">
        <v>36</v>
      </c>
      <c r="M212" s="98">
        <v>1.1000000000000001</v>
      </c>
    </row>
    <row r="213" spans="1:13" s="89" customFormat="1" ht="11.1" customHeight="1" outlineLevel="2" x14ac:dyDescent="0.2">
      <c r="A213" s="97" t="s">
        <v>1425</v>
      </c>
      <c r="B213" s="97"/>
      <c r="C213" s="97"/>
      <c r="D213" s="97"/>
      <c r="E213" s="97"/>
      <c r="F213" s="97"/>
      <c r="G213" s="96" t="s">
        <v>1623</v>
      </c>
      <c r="H213" s="125"/>
      <c r="I213" s="125"/>
      <c r="J213" s="117"/>
      <c r="K213" s="117"/>
      <c r="L213" s="117"/>
      <c r="M213" s="99"/>
    </row>
    <row r="214" spans="1:13" s="89" customFormat="1" ht="11.1" customHeight="1" outlineLevel="3" collapsed="1" x14ac:dyDescent="0.2">
      <c r="A214" s="100" t="s">
        <v>1828</v>
      </c>
      <c r="B214" s="100"/>
      <c r="C214" s="100"/>
      <c r="D214" s="100"/>
      <c r="E214" s="100"/>
      <c r="F214" s="100"/>
      <c r="G214" s="92" t="s">
        <v>1824</v>
      </c>
      <c r="H214" s="126">
        <v>156</v>
      </c>
      <c r="I214" s="126"/>
      <c r="J214" s="118"/>
      <c r="K214" s="118"/>
      <c r="L214" s="118">
        <v>156</v>
      </c>
      <c r="M214" s="98">
        <v>0.8</v>
      </c>
    </row>
    <row r="215" spans="1:13" s="89" customFormat="1" ht="11.1" customHeight="1" outlineLevel="2" x14ac:dyDescent="0.2">
      <c r="A215" s="97" t="s">
        <v>1457</v>
      </c>
      <c r="B215" s="97"/>
      <c r="C215" s="97"/>
      <c r="D215" s="97"/>
      <c r="E215" s="97"/>
      <c r="F215" s="97"/>
      <c r="G215" s="96" t="s">
        <v>1623</v>
      </c>
      <c r="H215" s="125"/>
      <c r="I215" s="125"/>
      <c r="J215" s="117"/>
      <c r="K215" s="117"/>
      <c r="L215" s="117"/>
      <c r="M215" s="94"/>
    </row>
    <row r="216" spans="1:13" s="89" customFormat="1" ht="11.1" customHeight="1" outlineLevel="3" collapsed="1" x14ac:dyDescent="0.2">
      <c r="A216" s="93" t="s">
        <v>1683</v>
      </c>
      <c r="B216" s="93"/>
      <c r="C216" s="93"/>
      <c r="D216" s="93"/>
      <c r="E216" s="93"/>
      <c r="F216" s="93"/>
      <c r="G216" s="92" t="s">
        <v>1629</v>
      </c>
      <c r="H216" s="126">
        <v>96</v>
      </c>
      <c r="I216" s="126"/>
      <c r="J216" s="118"/>
      <c r="K216" s="118"/>
      <c r="L216" s="118">
        <v>96</v>
      </c>
      <c r="M216" s="90" t="s">
        <v>1620</v>
      </c>
    </row>
    <row r="217" spans="1:13" s="89" customFormat="1" ht="11.1" customHeight="1" outlineLevel="2" x14ac:dyDescent="0.2">
      <c r="A217" s="97" t="s">
        <v>1477</v>
      </c>
      <c r="B217" s="97"/>
      <c r="C217" s="97"/>
      <c r="D217" s="97"/>
      <c r="E217" s="97"/>
      <c r="F217" s="97"/>
      <c r="G217" s="96" t="s">
        <v>1623</v>
      </c>
      <c r="H217" s="125"/>
      <c r="I217" s="125"/>
      <c r="J217" s="117"/>
      <c r="K217" s="117"/>
      <c r="L217" s="117"/>
      <c r="M217" s="99"/>
    </row>
    <row r="218" spans="1:13" s="89" customFormat="1" ht="11.1" customHeight="1" outlineLevel="3" collapsed="1" x14ac:dyDescent="0.2">
      <c r="A218" s="100" t="s">
        <v>1758</v>
      </c>
      <c r="B218" s="100"/>
      <c r="C218" s="100"/>
      <c r="D218" s="100"/>
      <c r="E218" s="100"/>
      <c r="F218" s="100"/>
      <c r="G218" s="92" t="s">
        <v>1742</v>
      </c>
      <c r="H218" s="126">
        <v>20</v>
      </c>
      <c r="I218" s="126"/>
      <c r="J218" s="118"/>
      <c r="K218" s="118"/>
      <c r="L218" s="118">
        <v>20</v>
      </c>
      <c r="M218" s="98">
        <v>3</v>
      </c>
    </row>
    <row r="219" spans="1:13" s="89" customFormat="1" ht="11.1" customHeight="1" outlineLevel="2" x14ac:dyDescent="0.2">
      <c r="A219" s="97" t="s">
        <v>1479</v>
      </c>
      <c r="B219" s="97"/>
      <c r="C219" s="97"/>
      <c r="D219" s="97"/>
      <c r="E219" s="97"/>
      <c r="F219" s="97"/>
      <c r="G219" s="96" t="s">
        <v>1623</v>
      </c>
      <c r="H219" s="125"/>
      <c r="I219" s="125"/>
      <c r="J219" s="117"/>
      <c r="K219" s="117"/>
      <c r="L219" s="117"/>
      <c r="M219" s="99"/>
    </row>
    <row r="220" spans="1:13" s="89" customFormat="1" ht="11.1" customHeight="1" outlineLevel="3" collapsed="1" x14ac:dyDescent="0.2">
      <c r="A220" s="93" t="s">
        <v>1640</v>
      </c>
      <c r="B220" s="93"/>
      <c r="C220" s="93"/>
      <c r="D220" s="93"/>
      <c r="E220" s="93"/>
      <c r="F220" s="93"/>
      <c r="G220" s="92" t="s">
        <v>1639</v>
      </c>
      <c r="H220" s="126">
        <v>960</v>
      </c>
      <c r="I220" s="126"/>
      <c r="J220" s="118"/>
      <c r="K220" s="118"/>
      <c r="L220" s="118">
        <v>960</v>
      </c>
      <c r="M220" s="98">
        <v>120</v>
      </c>
    </row>
    <row r="221" spans="1:13" ht="11.1" customHeight="1" outlineLevel="1" x14ac:dyDescent="0.2">
      <c r="A221" s="102" t="s">
        <v>1810</v>
      </c>
      <c r="B221" s="102"/>
      <c r="C221" s="102"/>
      <c r="D221" s="102"/>
      <c r="E221" s="102"/>
      <c r="F221" s="102"/>
      <c r="G221" s="102"/>
      <c r="H221" s="124"/>
      <c r="I221" s="124"/>
      <c r="J221" s="116"/>
      <c r="K221" s="116"/>
      <c r="L221" s="116"/>
      <c r="M221" s="119"/>
    </row>
    <row r="222" spans="1:13" s="89" customFormat="1" ht="11.1" customHeight="1" outlineLevel="2" x14ac:dyDescent="0.2">
      <c r="A222" s="97" t="s">
        <v>1345</v>
      </c>
      <c r="B222" s="97"/>
      <c r="C222" s="97"/>
      <c r="D222" s="97"/>
      <c r="E222" s="97"/>
      <c r="F222" s="97"/>
      <c r="G222" s="96" t="s">
        <v>1623</v>
      </c>
      <c r="H222" s="125"/>
      <c r="I222" s="125"/>
      <c r="J222" s="117"/>
      <c r="K222" s="117"/>
      <c r="L222" s="117"/>
      <c r="M222" s="94"/>
    </row>
    <row r="223" spans="1:13" s="89" customFormat="1" ht="11.1" customHeight="1" outlineLevel="3" collapsed="1" x14ac:dyDescent="0.2">
      <c r="A223" s="93" t="s">
        <v>1772</v>
      </c>
      <c r="B223" s="93"/>
      <c r="C223" s="93"/>
      <c r="D223" s="93"/>
      <c r="E223" s="93"/>
      <c r="F223" s="93"/>
      <c r="G223" s="92" t="s">
        <v>1771</v>
      </c>
      <c r="H223" s="126">
        <v>211</v>
      </c>
      <c r="I223" s="126"/>
      <c r="J223" s="118"/>
      <c r="K223" s="118">
        <v>211</v>
      </c>
      <c r="L223" s="118"/>
      <c r="M223" s="90" t="s">
        <v>1620</v>
      </c>
    </row>
    <row r="224" spans="1:13" s="89" customFormat="1" ht="11.1" customHeight="1" outlineLevel="2" x14ac:dyDescent="0.2">
      <c r="A224" s="97" t="s">
        <v>1360</v>
      </c>
      <c r="B224" s="97"/>
      <c r="C224" s="97"/>
      <c r="D224" s="97"/>
      <c r="E224" s="97"/>
      <c r="F224" s="97"/>
      <c r="G224" s="96" t="s">
        <v>1623</v>
      </c>
      <c r="H224" s="125"/>
      <c r="I224" s="125"/>
      <c r="J224" s="117"/>
      <c r="K224" s="117"/>
      <c r="L224" s="117"/>
      <c r="M224" s="94"/>
    </row>
    <row r="225" spans="1:13" s="89" customFormat="1" ht="11.1" customHeight="1" outlineLevel="3" collapsed="1" x14ac:dyDescent="0.2">
      <c r="A225" s="100" t="s">
        <v>1825</v>
      </c>
      <c r="B225" s="100"/>
      <c r="C225" s="100"/>
      <c r="D225" s="100"/>
      <c r="E225" s="100"/>
      <c r="F225" s="100"/>
      <c r="G225" s="92" t="s">
        <v>1824</v>
      </c>
      <c r="H225" s="126">
        <v>3</v>
      </c>
      <c r="I225" s="126"/>
      <c r="J225" s="118"/>
      <c r="K225" s="118"/>
      <c r="L225" s="118">
        <v>3</v>
      </c>
      <c r="M225" s="90" t="s">
        <v>1620</v>
      </c>
    </row>
    <row r="226" spans="1:13" s="89" customFormat="1" ht="11.1" customHeight="1" outlineLevel="2" x14ac:dyDescent="0.2">
      <c r="A226" s="97" t="s">
        <v>1376</v>
      </c>
      <c r="B226" s="97"/>
      <c r="C226" s="97"/>
      <c r="D226" s="97"/>
      <c r="E226" s="97"/>
      <c r="F226" s="97"/>
      <c r="G226" s="96" t="s">
        <v>1623</v>
      </c>
      <c r="H226" s="125"/>
      <c r="I226" s="125"/>
      <c r="J226" s="117"/>
      <c r="K226" s="117"/>
      <c r="L226" s="117"/>
      <c r="M226" s="94"/>
    </row>
    <row r="227" spans="1:13" s="89" customFormat="1" ht="11.1" customHeight="1" outlineLevel="3" collapsed="1" x14ac:dyDescent="0.2">
      <c r="A227" s="93" t="s">
        <v>1772</v>
      </c>
      <c r="B227" s="93"/>
      <c r="C227" s="93"/>
      <c r="D227" s="93"/>
      <c r="E227" s="93"/>
      <c r="F227" s="93"/>
      <c r="G227" s="92" t="s">
        <v>1771</v>
      </c>
      <c r="H227" s="126">
        <v>481</v>
      </c>
      <c r="I227" s="126"/>
      <c r="J227" s="118"/>
      <c r="K227" s="118">
        <v>481</v>
      </c>
      <c r="L227" s="118"/>
      <c r="M227" s="90" t="s">
        <v>1620</v>
      </c>
    </row>
    <row r="228" spans="1:13" s="89" customFormat="1" ht="11.25" outlineLevel="2" x14ac:dyDescent="0.2">
      <c r="A228" s="97" t="s">
        <v>1378</v>
      </c>
      <c r="B228" s="97"/>
      <c r="C228" s="97"/>
      <c r="D228" s="97"/>
      <c r="E228" s="97"/>
      <c r="F228" s="97"/>
      <c r="G228" s="96" t="s">
        <v>1623</v>
      </c>
      <c r="H228" s="125"/>
      <c r="I228" s="125"/>
      <c r="J228" s="117"/>
      <c r="K228" s="117"/>
      <c r="L228" s="117"/>
      <c r="M228" s="94"/>
    </row>
    <row r="229" spans="1:13" s="89" customFormat="1" ht="11.1" customHeight="1" outlineLevel="3" x14ac:dyDescent="0.2">
      <c r="A229" s="93" t="s">
        <v>1809</v>
      </c>
      <c r="B229" s="93"/>
      <c r="C229" s="93"/>
      <c r="D229" s="93"/>
      <c r="E229" s="93"/>
      <c r="F229" s="93"/>
      <c r="G229" s="92" t="s">
        <v>1808</v>
      </c>
      <c r="H229" s="126">
        <v>24</v>
      </c>
      <c r="I229" s="126"/>
      <c r="J229" s="118"/>
      <c r="K229" s="118">
        <v>24</v>
      </c>
      <c r="L229" s="118"/>
      <c r="M229" s="90" t="s">
        <v>1620</v>
      </c>
    </row>
    <row r="230" spans="1:13" s="89" customFormat="1" ht="11.1" customHeight="1" outlineLevel="3" x14ac:dyDescent="0.2">
      <c r="A230" s="93" t="s">
        <v>1782</v>
      </c>
      <c r="B230" s="93"/>
      <c r="C230" s="93"/>
      <c r="D230" s="93"/>
      <c r="E230" s="93"/>
      <c r="F230" s="93"/>
      <c r="G230" s="92" t="s">
        <v>1781</v>
      </c>
      <c r="H230" s="126">
        <v>24</v>
      </c>
      <c r="I230" s="126"/>
      <c r="J230" s="118"/>
      <c r="K230" s="118">
        <v>24</v>
      </c>
      <c r="L230" s="118"/>
      <c r="M230" s="90" t="s">
        <v>1620</v>
      </c>
    </row>
    <row r="231" spans="1:13" s="89" customFormat="1" ht="11.1" customHeight="1" outlineLevel="3" x14ac:dyDescent="0.2">
      <c r="A231" s="93" t="s">
        <v>1780</v>
      </c>
      <c r="B231" s="93"/>
      <c r="C231" s="93"/>
      <c r="D231" s="93"/>
      <c r="E231" s="93"/>
      <c r="F231" s="93"/>
      <c r="G231" s="92" t="s">
        <v>1779</v>
      </c>
      <c r="H231" s="126">
        <v>48</v>
      </c>
      <c r="I231" s="126"/>
      <c r="J231" s="118"/>
      <c r="K231" s="118">
        <v>48</v>
      </c>
      <c r="L231" s="118"/>
      <c r="M231" s="90" t="s">
        <v>1620</v>
      </c>
    </row>
    <row r="232" spans="1:13" s="89" customFormat="1" ht="11.1" customHeight="1" outlineLevel="3" collapsed="1" x14ac:dyDescent="0.2">
      <c r="A232" s="93" t="s">
        <v>1780</v>
      </c>
      <c r="B232" s="93"/>
      <c r="C232" s="93"/>
      <c r="D232" s="93"/>
      <c r="E232" s="93"/>
      <c r="F232" s="93"/>
      <c r="G232" s="92" t="s">
        <v>1779</v>
      </c>
      <c r="H232" s="126">
        <v>96</v>
      </c>
      <c r="I232" s="126"/>
      <c r="J232" s="118"/>
      <c r="K232" s="118">
        <v>96</v>
      </c>
      <c r="L232" s="118"/>
      <c r="M232" s="90" t="s">
        <v>1620</v>
      </c>
    </row>
    <row r="233" spans="1:13" s="89" customFormat="1" ht="11.1" customHeight="1" outlineLevel="2" x14ac:dyDescent="0.2">
      <c r="A233" s="97" t="s">
        <v>1638</v>
      </c>
      <c r="B233" s="97"/>
      <c r="C233" s="97"/>
      <c r="D233" s="97"/>
      <c r="E233" s="97"/>
      <c r="F233" s="97"/>
      <c r="G233" s="96" t="s">
        <v>1623</v>
      </c>
      <c r="H233" s="125"/>
      <c r="I233" s="125"/>
      <c r="J233" s="117"/>
      <c r="K233" s="117"/>
      <c r="L233" s="117"/>
      <c r="M233" s="94"/>
    </row>
    <row r="234" spans="1:13" s="89" customFormat="1" ht="11.1" customHeight="1" outlineLevel="3" collapsed="1" x14ac:dyDescent="0.2">
      <c r="A234" s="93" t="s">
        <v>1807</v>
      </c>
      <c r="B234" s="93"/>
      <c r="C234" s="93"/>
      <c r="D234" s="93"/>
      <c r="E234" s="93"/>
      <c r="F234" s="93"/>
      <c r="G234" s="92" t="s">
        <v>1806</v>
      </c>
      <c r="H234" s="126">
        <v>27</v>
      </c>
      <c r="I234" s="126"/>
      <c r="J234" s="118"/>
      <c r="K234" s="118">
        <v>27</v>
      </c>
      <c r="L234" s="118"/>
      <c r="M234" s="90" t="s">
        <v>1620</v>
      </c>
    </row>
    <row r="235" spans="1:13" s="89" customFormat="1" ht="11.1" customHeight="1" outlineLevel="2" x14ac:dyDescent="0.2">
      <c r="A235" s="97" t="s">
        <v>1384</v>
      </c>
      <c r="B235" s="97"/>
      <c r="C235" s="97"/>
      <c r="D235" s="97"/>
      <c r="E235" s="97"/>
      <c r="F235" s="97"/>
      <c r="G235" s="96" t="s">
        <v>1623</v>
      </c>
      <c r="H235" s="125"/>
      <c r="I235" s="125"/>
      <c r="J235" s="117"/>
      <c r="K235" s="117"/>
      <c r="L235" s="117"/>
      <c r="M235" s="94"/>
    </row>
    <row r="236" spans="1:13" s="89" customFormat="1" ht="11.1" customHeight="1" outlineLevel="3" collapsed="1" x14ac:dyDescent="0.2">
      <c r="A236" s="100" t="s">
        <v>1673</v>
      </c>
      <c r="B236" s="100"/>
      <c r="C236" s="100"/>
      <c r="D236" s="100"/>
      <c r="E236" s="100"/>
      <c r="F236" s="100"/>
      <c r="G236" s="92" t="s">
        <v>1748</v>
      </c>
      <c r="H236" s="126">
        <v>190</v>
      </c>
      <c r="I236" s="126"/>
      <c r="J236" s="118"/>
      <c r="K236" s="118"/>
      <c r="L236" s="118">
        <v>190</v>
      </c>
      <c r="M236" s="90" t="s">
        <v>1620</v>
      </c>
    </row>
    <row r="237" spans="1:13" s="89" customFormat="1" ht="11.1" customHeight="1" outlineLevel="2" x14ac:dyDescent="0.2">
      <c r="A237" s="97" t="s">
        <v>1617</v>
      </c>
      <c r="B237" s="97"/>
      <c r="C237" s="97"/>
      <c r="D237" s="97"/>
      <c r="E237" s="97"/>
      <c r="F237" s="97"/>
      <c r="G237" s="96" t="s">
        <v>1623</v>
      </c>
      <c r="H237" s="125"/>
      <c r="I237" s="125"/>
      <c r="J237" s="117"/>
      <c r="K237" s="117"/>
      <c r="L237" s="117"/>
      <c r="M237" s="94"/>
    </row>
    <row r="238" spans="1:13" s="89" customFormat="1" ht="11.1" customHeight="1" outlineLevel="3" x14ac:dyDescent="0.2">
      <c r="A238" s="93" t="s">
        <v>1805</v>
      </c>
      <c r="B238" s="93"/>
      <c r="C238" s="93"/>
      <c r="D238" s="93"/>
      <c r="E238" s="93"/>
      <c r="F238" s="93"/>
      <c r="G238" s="92" t="s">
        <v>1804</v>
      </c>
      <c r="H238" s="126">
        <v>20</v>
      </c>
      <c r="I238" s="126"/>
      <c r="J238" s="118"/>
      <c r="K238" s="118">
        <v>20</v>
      </c>
      <c r="L238" s="118"/>
      <c r="M238" s="90" t="s">
        <v>1620</v>
      </c>
    </row>
    <row r="239" spans="1:13" s="89" customFormat="1" ht="11.1" customHeight="1" outlineLevel="3" x14ac:dyDescent="0.2">
      <c r="A239" s="93" t="s">
        <v>1803</v>
      </c>
      <c r="B239" s="93"/>
      <c r="C239" s="93"/>
      <c r="D239" s="93"/>
      <c r="E239" s="93"/>
      <c r="F239" s="93"/>
      <c r="G239" s="92" t="s">
        <v>1802</v>
      </c>
      <c r="H239" s="126">
        <v>20</v>
      </c>
      <c r="I239" s="126"/>
      <c r="J239" s="118"/>
      <c r="K239" s="118">
        <v>20</v>
      </c>
      <c r="L239" s="118"/>
      <c r="M239" s="90" t="s">
        <v>1620</v>
      </c>
    </row>
    <row r="240" spans="1:13" s="89" customFormat="1" ht="11.1" customHeight="1" outlineLevel="3" x14ac:dyDescent="0.2">
      <c r="A240" s="100" t="s">
        <v>1840</v>
      </c>
      <c r="B240" s="100"/>
      <c r="C240" s="100"/>
      <c r="D240" s="100"/>
      <c r="E240" s="100"/>
      <c r="F240" s="100"/>
      <c r="G240" s="92" t="s">
        <v>1822</v>
      </c>
      <c r="H240" s="126">
        <v>2</v>
      </c>
      <c r="I240" s="126"/>
      <c r="J240" s="118"/>
      <c r="K240" s="118"/>
      <c r="L240" s="118">
        <v>2</v>
      </c>
      <c r="M240" s="90" t="s">
        <v>1620</v>
      </c>
    </row>
    <row r="241" spans="1:13" s="89" customFormat="1" ht="11.1" customHeight="1" outlineLevel="3" collapsed="1" x14ac:dyDescent="0.2">
      <c r="A241" s="93" t="s">
        <v>1801</v>
      </c>
      <c r="B241" s="93"/>
      <c r="C241" s="93"/>
      <c r="D241" s="93"/>
      <c r="E241" s="93"/>
      <c r="F241" s="93"/>
      <c r="G241" s="92" t="s">
        <v>1800</v>
      </c>
      <c r="H241" s="126">
        <v>40</v>
      </c>
      <c r="I241" s="126"/>
      <c r="J241" s="118"/>
      <c r="K241" s="118">
        <v>40</v>
      </c>
      <c r="L241" s="118"/>
      <c r="M241" s="90" t="s">
        <v>1620</v>
      </c>
    </row>
    <row r="242" spans="1:13" s="89" customFormat="1" ht="11.1" customHeight="1" outlineLevel="2" x14ac:dyDescent="0.2">
      <c r="A242" s="97" t="s">
        <v>1398</v>
      </c>
      <c r="B242" s="97"/>
      <c r="C242" s="97"/>
      <c r="D242" s="97"/>
      <c r="E242" s="97"/>
      <c r="F242" s="97"/>
      <c r="G242" s="96" t="s">
        <v>1623</v>
      </c>
      <c r="H242" s="125"/>
      <c r="I242" s="125"/>
      <c r="J242" s="117"/>
      <c r="K242" s="117"/>
      <c r="L242" s="117"/>
      <c r="M242" s="94"/>
    </row>
    <row r="243" spans="1:13" s="89" customFormat="1" ht="11.1" customHeight="1" outlineLevel="3" x14ac:dyDescent="0.2">
      <c r="A243" s="93" t="s">
        <v>1799</v>
      </c>
      <c r="B243" s="93"/>
      <c r="C243" s="93"/>
      <c r="D243" s="93"/>
      <c r="E243" s="93"/>
      <c r="F243" s="93"/>
      <c r="G243" s="92" t="s">
        <v>1798</v>
      </c>
      <c r="H243" s="126">
        <v>12</v>
      </c>
      <c r="I243" s="126"/>
      <c r="J243" s="118"/>
      <c r="K243" s="118">
        <v>12</v>
      </c>
      <c r="L243" s="118"/>
      <c r="M243" s="90" t="s">
        <v>1620</v>
      </c>
    </row>
    <row r="244" spans="1:13" s="89" customFormat="1" ht="11.1" customHeight="1" outlineLevel="3" collapsed="1" x14ac:dyDescent="0.2">
      <c r="A244" s="93" t="s">
        <v>1797</v>
      </c>
      <c r="B244" s="93"/>
      <c r="C244" s="93"/>
      <c r="D244" s="93"/>
      <c r="E244" s="93"/>
      <c r="F244" s="93"/>
      <c r="G244" s="92" t="s">
        <v>1637</v>
      </c>
      <c r="H244" s="126">
        <v>210</v>
      </c>
      <c r="I244" s="126"/>
      <c r="J244" s="118"/>
      <c r="K244" s="118">
        <v>210</v>
      </c>
      <c r="L244" s="118"/>
      <c r="M244" s="90" t="s">
        <v>1620</v>
      </c>
    </row>
    <row r="245" spans="1:13" s="89" customFormat="1" ht="11.1" customHeight="1" outlineLevel="2" x14ac:dyDescent="0.2">
      <c r="A245" s="97" t="s">
        <v>1407</v>
      </c>
      <c r="B245" s="97"/>
      <c r="C245" s="97"/>
      <c r="D245" s="97"/>
      <c r="E245" s="97"/>
      <c r="F245" s="97"/>
      <c r="G245" s="96" t="s">
        <v>1623</v>
      </c>
      <c r="H245" s="125"/>
      <c r="I245" s="125"/>
      <c r="J245" s="117"/>
      <c r="K245" s="117"/>
      <c r="L245" s="117"/>
      <c r="M245" s="94"/>
    </row>
    <row r="246" spans="1:13" s="89" customFormat="1" ht="11.1" customHeight="1" outlineLevel="3" collapsed="1" x14ac:dyDescent="0.2">
      <c r="A246" s="93" t="s">
        <v>1796</v>
      </c>
      <c r="B246" s="93"/>
      <c r="C246" s="93"/>
      <c r="D246" s="93"/>
      <c r="E246" s="93"/>
      <c r="F246" s="93"/>
      <c r="G246" s="92" t="s">
        <v>1795</v>
      </c>
      <c r="H246" s="126">
        <v>96</v>
      </c>
      <c r="I246" s="126"/>
      <c r="J246" s="118"/>
      <c r="K246" s="118">
        <v>96</v>
      </c>
      <c r="L246" s="118"/>
      <c r="M246" s="90" t="s">
        <v>1620</v>
      </c>
    </row>
    <row r="247" spans="1:13" s="89" customFormat="1" ht="11.1" customHeight="1" outlineLevel="2" x14ac:dyDescent="0.2">
      <c r="A247" s="97" t="s">
        <v>1419</v>
      </c>
      <c r="B247" s="97"/>
      <c r="C247" s="97"/>
      <c r="D247" s="97"/>
      <c r="E247" s="97"/>
      <c r="F247" s="97"/>
      <c r="G247" s="96" t="s">
        <v>1623</v>
      </c>
      <c r="H247" s="125"/>
      <c r="I247" s="125"/>
      <c r="J247" s="117"/>
      <c r="K247" s="117"/>
      <c r="L247" s="117"/>
      <c r="M247" s="94"/>
    </row>
    <row r="248" spans="1:13" s="89" customFormat="1" ht="11.1" customHeight="1" outlineLevel="3" collapsed="1" x14ac:dyDescent="0.2">
      <c r="A248" s="93" t="s">
        <v>1794</v>
      </c>
      <c r="B248" s="93"/>
      <c r="C248" s="93"/>
      <c r="D248" s="93"/>
      <c r="E248" s="93"/>
      <c r="F248" s="93"/>
      <c r="G248" s="92" t="s">
        <v>1793</v>
      </c>
      <c r="H248" s="126">
        <v>240</v>
      </c>
      <c r="I248" s="126"/>
      <c r="J248" s="118"/>
      <c r="K248" s="118">
        <v>240</v>
      </c>
      <c r="L248" s="118"/>
      <c r="M248" s="90" t="s">
        <v>1620</v>
      </c>
    </row>
    <row r="249" spans="1:13" s="89" customFormat="1" ht="11.1" customHeight="1" outlineLevel="2" x14ac:dyDescent="0.2">
      <c r="A249" s="97" t="s">
        <v>1421</v>
      </c>
      <c r="B249" s="97"/>
      <c r="C249" s="97"/>
      <c r="D249" s="97"/>
      <c r="E249" s="97"/>
      <c r="F249" s="97"/>
      <c r="G249" s="96" t="s">
        <v>1623</v>
      </c>
      <c r="H249" s="125"/>
      <c r="I249" s="125"/>
      <c r="J249" s="117"/>
      <c r="K249" s="117"/>
      <c r="L249" s="117"/>
      <c r="M249" s="94"/>
    </row>
    <row r="250" spans="1:13" s="89" customFormat="1" ht="11.1" customHeight="1" outlineLevel="3" collapsed="1" x14ac:dyDescent="0.2">
      <c r="A250" s="93" t="s">
        <v>1792</v>
      </c>
      <c r="B250" s="93"/>
      <c r="C250" s="93"/>
      <c r="D250" s="93"/>
      <c r="E250" s="93"/>
      <c r="F250" s="93"/>
      <c r="G250" s="92" t="s">
        <v>1791</v>
      </c>
      <c r="H250" s="126">
        <v>24</v>
      </c>
      <c r="I250" s="126"/>
      <c r="J250" s="118"/>
      <c r="K250" s="118">
        <v>24</v>
      </c>
      <c r="L250" s="118"/>
      <c r="M250" s="90" t="s">
        <v>1620</v>
      </c>
    </row>
    <row r="251" spans="1:13" s="89" customFormat="1" ht="11.1" customHeight="1" outlineLevel="2" x14ac:dyDescent="0.2">
      <c r="A251" s="97" t="s">
        <v>1425</v>
      </c>
      <c r="B251" s="97"/>
      <c r="C251" s="97"/>
      <c r="D251" s="97"/>
      <c r="E251" s="97"/>
      <c r="F251" s="97"/>
      <c r="G251" s="96" t="s">
        <v>1623</v>
      </c>
      <c r="H251" s="125"/>
      <c r="I251" s="125"/>
      <c r="J251" s="117"/>
      <c r="K251" s="117"/>
      <c r="L251" s="117"/>
      <c r="M251" s="94"/>
    </row>
    <row r="252" spans="1:13" s="89" customFormat="1" ht="11.1" customHeight="1" outlineLevel="3" collapsed="1" x14ac:dyDescent="0.2">
      <c r="A252" s="93" t="s">
        <v>1790</v>
      </c>
      <c r="B252" s="93"/>
      <c r="C252" s="93"/>
      <c r="D252" s="93"/>
      <c r="E252" s="93"/>
      <c r="F252" s="93"/>
      <c r="G252" s="92" t="s">
        <v>1789</v>
      </c>
      <c r="H252" s="126">
        <v>120</v>
      </c>
      <c r="I252" s="126"/>
      <c r="J252" s="118"/>
      <c r="K252" s="118">
        <v>120</v>
      </c>
      <c r="L252" s="118"/>
      <c r="M252" s="90" t="s">
        <v>1620</v>
      </c>
    </row>
    <row r="253" spans="1:13" s="89" customFormat="1" ht="11.25" outlineLevel="2" x14ac:dyDescent="0.2">
      <c r="A253" s="97" t="s">
        <v>1770</v>
      </c>
      <c r="B253" s="97"/>
      <c r="C253" s="97"/>
      <c r="D253" s="97"/>
      <c r="E253" s="97"/>
      <c r="F253" s="97"/>
      <c r="G253" s="96" t="s">
        <v>1623</v>
      </c>
      <c r="H253" s="125"/>
      <c r="I253" s="125"/>
      <c r="J253" s="117"/>
      <c r="K253" s="117"/>
      <c r="L253" s="117"/>
      <c r="M253" s="94"/>
    </row>
    <row r="254" spans="1:13" s="89" customFormat="1" ht="11.1" customHeight="1" outlineLevel="3" collapsed="1" x14ac:dyDescent="0.2">
      <c r="A254" s="93" t="s">
        <v>1788</v>
      </c>
      <c r="B254" s="93"/>
      <c r="C254" s="93"/>
      <c r="D254" s="93"/>
      <c r="E254" s="93"/>
      <c r="F254" s="93"/>
      <c r="G254" s="92" t="s">
        <v>1787</v>
      </c>
      <c r="H254" s="126">
        <v>72</v>
      </c>
      <c r="I254" s="126"/>
      <c r="J254" s="118"/>
      <c r="K254" s="118">
        <v>72</v>
      </c>
      <c r="L254" s="118"/>
      <c r="M254" s="90" t="s">
        <v>1620</v>
      </c>
    </row>
    <row r="255" spans="1:13" s="89" customFormat="1" ht="11.1" customHeight="1" outlineLevel="2" x14ac:dyDescent="0.2">
      <c r="A255" s="97" t="s">
        <v>1435</v>
      </c>
      <c r="B255" s="97"/>
      <c r="C255" s="97"/>
      <c r="D255" s="97"/>
      <c r="E255" s="97"/>
      <c r="F255" s="97"/>
      <c r="G255" s="96" t="s">
        <v>1623</v>
      </c>
      <c r="H255" s="125"/>
      <c r="I255" s="125"/>
      <c r="J255" s="117"/>
      <c r="K255" s="117"/>
      <c r="L255" s="117"/>
      <c r="M255" s="94"/>
    </row>
    <row r="256" spans="1:13" s="89" customFormat="1" ht="11.1" customHeight="1" outlineLevel="3" x14ac:dyDescent="0.2">
      <c r="A256" s="93" t="s">
        <v>1689</v>
      </c>
      <c r="B256" s="93"/>
      <c r="C256" s="93"/>
      <c r="D256" s="93"/>
      <c r="E256" s="93"/>
      <c r="F256" s="93"/>
      <c r="G256" s="92" t="s">
        <v>1684</v>
      </c>
      <c r="H256" s="126">
        <v>24</v>
      </c>
      <c r="I256" s="126"/>
      <c r="J256" s="118"/>
      <c r="K256" s="118">
        <v>24</v>
      </c>
      <c r="L256" s="118"/>
      <c r="M256" s="90" t="s">
        <v>1620</v>
      </c>
    </row>
    <row r="257" spans="1:13" s="89" customFormat="1" ht="11.1" customHeight="1" outlineLevel="3" collapsed="1" x14ac:dyDescent="0.2">
      <c r="A257" s="93" t="s">
        <v>1636</v>
      </c>
      <c r="B257" s="93"/>
      <c r="C257" s="93"/>
      <c r="D257" s="93"/>
      <c r="E257" s="93"/>
      <c r="F257" s="93"/>
      <c r="G257" s="92" t="s">
        <v>1635</v>
      </c>
      <c r="H257" s="126">
        <v>2217</v>
      </c>
      <c r="I257" s="126"/>
      <c r="J257" s="118"/>
      <c r="K257" s="118">
        <v>2217</v>
      </c>
      <c r="L257" s="118"/>
      <c r="M257" s="90" t="s">
        <v>1620</v>
      </c>
    </row>
    <row r="258" spans="1:13" s="89" customFormat="1" ht="11.1" customHeight="1" outlineLevel="2" x14ac:dyDescent="0.2">
      <c r="A258" s="97" t="s">
        <v>1445</v>
      </c>
      <c r="B258" s="97"/>
      <c r="C258" s="97"/>
      <c r="D258" s="97"/>
      <c r="E258" s="97"/>
      <c r="F258" s="97"/>
      <c r="G258" s="96" t="s">
        <v>1623</v>
      </c>
      <c r="H258" s="125"/>
      <c r="I258" s="125"/>
      <c r="J258" s="117"/>
      <c r="K258" s="117"/>
      <c r="L258" s="117"/>
      <c r="M258" s="94"/>
    </row>
    <row r="259" spans="1:13" s="89" customFormat="1" ht="11.1" customHeight="1" outlineLevel="3" x14ac:dyDescent="0.2">
      <c r="A259" s="93" t="s">
        <v>1669</v>
      </c>
      <c r="B259" s="93"/>
      <c r="C259" s="93"/>
      <c r="D259" s="93"/>
      <c r="E259" s="93"/>
      <c r="F259" s="93"/>
      <c r="G259" s="92" t="s">
        <v>1668</v>
      </c>
      <c r="H259" s="126">
        <v>15</v>
      </c>
      <c r="I259" s="126"/>
      <c r="J259" s="118"/>
      <c r="K259" s="118">
        <v>15</v>
      </c>
      <c r="L259" s="118"/>
      <c r="M259" s="90" t="s">
        <v>1620</v>
      </c>
    </row>
    <row r="260" spans="1:13" s="89" customFormat="1" ht="11.1" customHeight="1" outlineLevel="3" x14ac:dyDescent="0.2">
      <c r="A260" s="93" t="s">
        <v>1786</v>
      </c>
      <c r="B260" s="93"/>
      <c r="C260" s="93"/>
      <c r="D260" s="93"/>
      <c r="E260" s="93"/>
      <c r="F260" s="93"/>
      <c r="G260" s="92" t="s">
        <v>1785</v>
      </c>
      <c r="H260" s="126">
        <v>21</v>
      </c>
      <c r="I260" s="126"/>
      <c r="J260" s="118"/>
      <c r="K260" s="118">
        <v>21</v>
      </c>
      <c r="L260" s="118"/>
      <c r="M260" s="90" t="s">
        <v>1620</v>
      </c>
    </row>
    <row r="261" spans="1:13" s="89" customFormat="1" ht="11.1" customHeight="1" outlineLevel="3" x14ac:dyDescent="0.2">
      <c r="A261" s="93" t="s">
        <v>1784</v>
      </c>
      <c r="B261" s="93"/>
      <c r="C261" s="93"/>
      <c r="D261" s="93"/>
      <c r="E261" s="93"/>
      <c r="F261" s="93"/>
      <c r="G261" s="92" t="s">
        <v>1783</v>
      </c>
      <c r="H261" s="126">
        <v>7</v>
      </c>
      <c r="I261" s="126"/>
      <c r="J261" s="118"/>
      <c r="K261" s="118">
        <v>7</v>
      </c>
      <c r="L261" s="118"/>
      <c r="M261" s="90" t="s">
        <v>1620</v>
      </c>
    </row>
    <row r="262" spans="1:13" s="89" customFormat="1" ht="11.1" customHeight="1" outlineLevel="3" x14ac:dyDescent="0.2">
      <c r="A262" s="93" t="s">
        <v>1782</v>
      </c>
      <c r="B262" s="93"/>
      <c r="C262" s="93"/>
      <c r="D262" s="93"/>
      <c r="E262" s="93"/>
      <c r="F262" s="93"/>
      <c r="G262" s="92" t="s">
        <v>1781</v>
      </c>
      <c r="H262" s="126">
        <v>46</v>
      </c>
      <c r="I262" s="126"/>
      <c r="J262" s="118"/>
      <c r="K262" s="118">
        <v>46</v>
      </c>
      <c r="L262" s="118"/>
      <c r="M262" s="90" t="s">
        <v>1620</v>
      </c>
    </row>
    <row r="263" spans="1:13" s="89" customFormat="1" ht="11.1" customHeight="1" outlineLevel="3" collapsed="1" x14ac:dyDescent="0.2">
      <c r="A263" s="93" t="s">
        <v>1780</v>
      </c>
      <c r="B263" s="93"/>
      <c r="C263" s="93"/>
      <c r="D263" s="93"/>
      <c r="E263" s="93"/>
      <c r="F263" s="93"/>
      <c r="G263" s="92" t="s">
        <v>1779</v>
      </c>
      <c r="H263" s="126">
        <v>11</v>
      </c>
      <c r="I263" s="126"/>
      <c r="J263" s="118"/>
      <c r="K263" s="118">
        <v>11</v>
      </c>
      <c r="L263" s="118"/>
      <c r="M263" s="90" t="s">
        <v>1620</v>
      </c>
    </row>
    <row r="264" spans="1:13" s="89" customFormat="1" ht="11.1" customHeight="1" outlineLevel="2" x14ac:dyDescent="0.2">
      <c r="A264" s="97" t="s">
        <v>1447</v>
      </c>
      <c r="B264" s="97"/>
      <c r="C264" s="97"/>
      <c r="D264" s="97"/>
      <c r="E264" s="97"/>
      <c r="F264" s="97"/>
      <c r="G264" s="96" t="s">
        <v>1623</v>
      </c>
      <c r="H264" s="125"/>
      <c r="I264" s="125"/>
      <c r="J264" s="117"/>
      <c r="K264" s="117"/>
      <c r="L264" s="117"/>
      <c r="M264" s="94"/>
    </row>
    <row r="265" spans="1:13" s="89" customFormat="1" ht="11.1" customHeight="1" outlineLevel="3" x14ac:dyDescent="0.2">
      <c r="A265" s="93" t="s">
        <v>1776</v>
      </c>
      <c r="B265" s="93"/>
      <c r="C265" s="93"/>
      <c r="D265" s="93"/>
      <c r="E265" s="93"/>
      <c r="F265" s="93"/>
      <c r="G265" s="92" t="s">
        <v>1694</v>
      </c>
      <c r="H265" s="126">
        <v>13</v>
      </c>
      <c r="I265" s="126"/>
      <c r="J265" s="118"/>
      <c r="K265" s="118">
        <v>13</v>
      </c>
      <c r="L265" s="118"/>
      <c r="M265" s="90" t="s">
        <v>1620</v>
      </c>
    </row>
    <row r="266" spans="1:13" s="89" customFormat="1" ht="11.1" customHeight="1" outlineLevel="3" collapsed="1" x14ac:dyDescent="0.2">
      <c r="A266" s="93" t="s">
        <v>1778</v>
      </c>
      <c r="B266" s="93"/>
      <c r="C266" s="93"/>
      <c r="D266" s="93"/>
      <c r="E266" s="93"/>
      <c r="F266" s="93"/>
      <c r="G266" s="92" t="s">
        <v>1777</v>
      </c>
      <c r="H266" s="126">
        <v>24</v>
      </c>
      <c r="I266" s="126"/>
      <c r="J266" s="118"/>
      <c r="K266" s="118">
        <v>24</v>
      </c>
      <c r="L266" s="118"/>
      <c r="M266" s="90" t="s">
        <v>1620</v>
      </c>
    </row>
    <row r="267" spans="1:13" s="89" customFormat="1" ht="11.1" customHeight="1" outlineLevel="2" x14ac:dyDescent="0.2">
      <c r="A267" s="97" t="s">
        <v>1455</v>
      </c>
      <c r="B267" s="97"/>
      <c r="C267" s="97"/>
      <c r="D267" s="97"/>
      <c r="E267" s="97"/>
      <c r="F267" s="97"/>
      <c r="G267" s="96" t="s">
        <v>1623</v>
      </c>
      <c r="H267" s="125"/>
      <c r="I267" s="125"/>
      <c r="J267" s="117"/>
      <c r="K267" s="117"/>
      <c r="L267" s="117"/>
      <c r="M267" s="94"/>
    </row>
    <row r="268" spans="1:13" s="89" customFormat="1" ht="11.1" customHeight="1" outlineLevel="3" x14ac:dyDescent="0.2">
      <c r="A268" s="93" t="s">
        <v>1689</v>
      </c>
      <c r="B268" s="93"/>
      <c r="C268" s="93"/>
      <c r="D268" s="93"/>
      <c r="E268" s="93"/>
      <c r="F268" s="93"/>
      <c r="G268" s="92" t="s">
        <v>1684</v>
      </c>
      <c r="H268" s="126">
        <v>8</v>
      </c>
      <c r="I268" s="126"/>
      <c r="J268" s="118"/>
      <c r="K268" s="118">
        <v>8</v>
      </c>
      <c r="L268" s="118"/>
      <c r="M268" s="90" t="s">
        <v>1620</v>
      </c>
    </row>
    <row r="269" spans="1:13" s="89" customFormat="1" ht="11.1" customHeight="1" outlineLevel="3" x14ac:dyDescent="0.2">
      <c r="A269" s="93" t="s">
        <v>1634</v>
      </c>
      <c r="B269" s="93"/>
      <c r="C269" s="93"/>
      <c r="D269" s="93"/>
      <c r="E269" s="93"/>
      <c r="F269" s="93"/>
      <c r="G269" s="92" t="s">
        <v>1629</v>
      </c>
      <c r="H269" s="126">
        <v>9</v>
      </c>
      <c r="I269" s="126"/>
      <c r="J269" s="118"/>
      <c r="K269" s="118">
        <v>9</v>
      </c>
      <c r="L269" s="118"/>
      <c r="M269" s="90" t="s">
        <v>1620</v>
      </c>
    </row>
    <row r="270" spans="1:13" s="89" customFormat="1" ht="11.1" customHeight="1" outlineLevel="3" collapsed="1" x14ac:dyDescent="0.2">
      <c r="A270" s="93" t="s">
        <v>1633</v>
      </c>
      <c r="B270" s="93"/>
      <c r="C270" s="93"/>
      <c r="D270" s="93"/>
      <c r="E270" s="93"/>
      <c r="F270" s="93"/>
      <c r="G270" s="92" t="s">
        <v>1632</v>
      </c>
      <c r="H270" s="126">
        <v>53</v>
      </c>
      <c r="I270" s="126"/>
      <c r="J270" s="118"/>
      <c r="K270" s="118">
        <v>53</v>
      </c>
      <c r="L270" s="118"/>
      <c r="M270" s="90" t="s">
        <v>1620</v>
      </c>
    </row>
    <row r="271" spans="1:13" s="89" customFormat="1" ht="11.1" customHeight="1" outlineLevel="2" x14ac:dyDescent="0.2">
      <c r="A271" s="97" t="s">
        <v>1457</v>
      </c>
      <c r="B271" s="97"/>
      <c r="C271" s="97"/>
      <c r="D271" s="97"/>
      <c r="E271" s="97"/>
      <c r="F271" s="97"/>
      <c r="G271" s="96" t="s">
        <v>1623</v>
      </c>
      <c r="H271" s="125"/>
      <c r="I271" s="125"/>
      <c r="J271" s="117"/>
      <c r="K271" s="117"/>
      <c r="L271" s="117"/>
      <c r="M271" s="94"/>
    </row>
    <row r="272" spans="1:13" s="89" customFormat="1" ht="11.1" customHeight="1" outlineLevel="3" x14ac:dyDescent="0.2">
      <c r="A272" s="93" t="s">
        <v>1686</v>
      </c>
      <c r="B272" s="93"/>
      <c r="C272" s="93"/>
      <c r="D272" s="93"/>
      <c r="E272" s="93"/>
      <c r="F272" s="93"/>
      <c r="G272" s="92" t="s">
        <v>1684</v>
      </c>
      <c r="H272" s="126">
        <v>13</v>
      </c>
      <c r="I272" s="126"/>
      <c r="J272" s="118"/>
      <c r="K272" s="118">
        <v>13</v>
      </c>
      <c r="L272" s="118"/>
      <c r="M272" s="90" t="s">
        <v>1620</v>
      </c>
    </row>
    <row r="273" spans="1:13" s="89" customFormat="1" ht="11.1" customHeight="1" outlineLevel="3" collapsed="1" x14ac:dyDescent="0.2">
      <c r="A273" s="93" t="s">
        <v>1633</v>
      </c>
      <c r="B273" s="93"/>
      <c r="C273" s="93"/>
      <c r="D273" s="93"/>
      <c r="E273" s="93"/>
      <c r="F273" s="93"/>
      <c r="G273" s="92" t="s">
        <v>1632</v>
      </c>
      <c r="H273" s="126">
        <v>172</v>
      </c>
      <c r="I273" s="126"/>
      <c r="J273" s="118"/>
      <c r="K273" s="118">
        <v>172</v>
      </c>
      <c r="L273" s="118"/>
      <c r="M273" s="90" t="s">
        <v>1620</v>
      </c>
    </row>
    <row r="274" spans="1:13" s="89" customFormat="1" ht="11.1" customHeight="1" outlineLevel="2" x14ac:dyDescent="0.2">
      <c r="A274" s="97" t="s">
        <v>1463</v>
      </c>
      <c r="B274" s="97"/>
      <c r="C274" s="97"/>
      <c r="D274" s="97"/>
      <c r="E274" s="97"/>
      <c r="F274" s="97"/>
      <c r="G274" s="96" t="s">
        <v>1623</v>
      </c>
      <c r="H274" s="125"/>
      <c r="I274" s="125"/>
      <c r="J274" s="117"/>
      <c r="K274" s="117"/>
      <c r="L274" s="117"/>
      <c r="M274" s="94"/>
    </row>
    <row r="275" spans="1:13" s="89" customFormat="1" ht="11.1" customHeight="1" outlineLevel="3" x14ac:dyDescent="0.2">
      <c r="A275" s="93" t="s">
        <v>1736</v>
      </c>
      <c r="B275" s="93"/>
      <c r="C275" s="93"/>
      <c r="D275" s="93"/>
      <c r="E275" s="93"/>
      <c r="F275" s="93"/>
      <c r="G275" s="92" t="s">
        <v>1735</v>
      </c>
      <c r="H275" s="126">
        <v>48</v>
      </c>
      <c r="I275" s="126"/>
      <c r="J275" s="118"/>
      <c r="K275" s="118"/>
      <c r="L275" s="118">
        <v>48</v>
      </c>
      <c r="M275" s="90" t="s">
        <v>1620</v>
      </c>
    </row>
    <row r="276" spans="1:13" s="89" customFormat="1" ht="11.1" customHeight="1" outlineLevel="3" collapsed="1" x14ac:dyDescent="0.2">
      <c r="A276" s="93" t="s">
        <v>1752</v>
      </c>
      <c r="B276" s="93"/>
      <c r="C276" s="93"/>
      <c r="D276" s="93"/>
      <c r="E276" s="93"/>
      <c r="F276" s="93"/>
      <c r="G276" s="92" t="s">
        <v>1751</v>
      </c>
      <c r="H276" s="126">
        <v>984</v>
      </c>
      <c r="I276" s="126"/>
      <c r="J276" s="118"/>
      <c r="K276" s="118"/>
      <c r="L276" s="118">
        <v>984</v>
      </c>
      <c r="M276" s="90" t="s">
        <v>1620</v>
      </c>
    </row>
    <row r="277" spans="1:13" s="89" customFormat="1" ht="11.1" customHeight="1" outlineLevel="2" x14ac:dyDescent="0.2">
      <c r="A277" s="97" t="s">
        <v>1465</v>
      </c>
      <c r="B277" s="97"/>
      <c r="C277" s="97"/>
      <c r="D277" s="97"/>
      <c r="E277" s="97"/>
      <c r="F277" s="97"/>
      <c r="G277" s="96" t="s">
        <v>1623</v>
      </c>
      <c r="H277" s="125"/>
      <c r="I277" s="125"/>
      <c r="J277" s="117"/>
      <c r="K277" s="117"/>
      <c r="L277" s="117"/>
      <c r="M277" s="94"/>
    </row>
    <row r="278" spans="1:13" s="89" customFormat="1" ht="11.1" customHeight="1" outlineLevel="3" x14ac:dyDescent="0.2">
      <c r="A278" s="93" t="s">
        <v>1776</v>
      </c>
      <c r="B278" s="93"/>
      <c r="C278" s="93"/>
      <c r="D278" s="93"/>
      <c r="E278" s="93"/>
      <c r="F278" s="93"/>
      <c r="G278" s="92" t="s">
        <v>1694</v>
      </c>
      <c r="H278" s="126">
        <v>17</v>
      </c>
      <c r="I278" s="126"/>
      <c r="J278" s="118"/>
      <c r="K278" s="118">
        <v>17</v>
      </c>
      <c r="L278" s="118"/>
      <c r="M278" s="90" t="s">
        <v>1620</v>
      </c>
    </row>
    <row r="279" spans="1:13" s="89" customFormat="1" ht="11.1" customHeight="1" outlineLevel="3" collapsed="1" x14ac:dyDescent="0.2">
      <c r="A279" s="93" t="s">
        <v>1631</v>
      </c>
      <c r="B279" s="93"/>
      <c r="C279" s="93"/>
      <c r="D279" s="93"/>
      <c r="E279" s="93"/>
      <c r="F279" s="93"/>
      <c r="G279" s="92" t="s">
        <v>1630</v>
      </c>
      <c r="H279" s="126">
        <v>72</v>
      </c>
      <c r="I279" s="126"/>
      <c r="J279" s="118"/>
      <c r="K279" s="118">
        <v>72</v>
      </c>
      <c r="L279" s="118"/>
      <c r="M279" s="90" t="s">
        <v>1620</v>
      </c>
    </row>
    <row r="280" spans="1:13" s="89" customFormat="1" ht="11.1" customHeight="1" outlineLevel="2" x14ac:dyDescent="0.2">
      <c r="A280" s="97" t="s">
        <v>1469</v>
      </c>
      <c r="B280" s="97"/>
      <c r="C280" s="97"/>
      <c r="D280" s="97"/>
      <c r="E280" s="97"/>
      <c r="F280" s="97"/>
      <c r="G280" s="96" t="s">
        <v>1623</v>
      </c>
      <c r="H280" s="125"/>
      <c r="I280" s="125"/>
      <c r="J280" s="117"/>
      <c r="K280" s="117"/>
      <c r="L280" s="117"/>
      <c r="M280" s="94"/>
    </row>
    <row r="281" spans="1:13" s="89" customFormat="1" ht="11.1" customHeight="1" outlineLevel="3" x14ac:dyDescent="0.2">
      <c r="A281" s="93" t="s">
        <v>1775</v>
      </c>
      <c r="B281" s="93"/>
      <c r="C281" s="93"/>
      <c r="D281" s="93"/>
      <c r="E281" s="93"/>
      <c r="F281" s="93"/>
      <c r="G281" s="92" t="s">
        <v>1629</v>
      </c>
      <c r="H281" s="126">
        <v>240</v>
      </c>
      <c r="I281" s="126"/>
      <c r="J281" s="118"/>
      <c r="K281" s="118"/>
      <c r="L281" s="118">
        <v>240</v>
      </c>
      <c r="M281" s="90" t="s">
        <v>1620</v>
      </c>
    </row>
    <row r="282" spans="1:13" s="89" customFormat="1" ht="11.1" customHeight="1" outlineLevel="3" collapsed="1" x14ac:dyDescent="0.2">
      <c r="A282" s="93" t="s">
        <v>1628</v>
      </c>
      <c r="B282" s="93"/>
      <c r="C282" s="93"/>
      <c r="D282" s="93"/>
      <c r="E282" s="93"/>
      <c r="F282" s="93"/>
      <c r="G282" s="92" t="s">
        <v>1627</v>
      </c>
      <c r="H282" s="126">
        <v>960</v>
      </c>
      <c r="I282" s="126"/>
      <c r="J282" s="118"/>
      <c r="K282" s="118">
        <v>960</v>
      </c>
      <c r="L282" s="118"/>
      <c r="M282" s="90" t="s">
        <v>1620</v>
      </c>
    </row>
    <row r="283" spans="1:13" s="89" customFormat="1" ht="11.1" customHeight="1" outlineLevel="2" x14ac:dyDescent="0.2">
      <c r="A283" s="97" t="s">
        <v>1473</v>
      </c>
      <c r="B283" s="97"/>
      <c r="C283" s="97"/>
      <c r="D283" s="97"/>
      <c r="E283" s="97"/>
      <c r="F283" s="97"/>
      <c r="G283" s="96" t="s">
        <v>1623</v>
      </c>
      <c r="H283" s="125"/>
      <c r="I283" s="125"/>
      <c r="J283" s="117"/>
      <c r="K283" s="117"/>
      <c r="L283" s="117"/>
      <c r="M283" s="94"/>
    </row>
    <row r="284" spans="1:13" s="89" customFormat="1" ht="11.1" customHeight="1" outlineLevel="3" x14ac:dyDescent="0.2">
      <c r="A284" s="93" t="s">
        <v>1669</v>
      </c>
      <c r="B284" s="93"/>
      <c r="C284" s="93"/>
      <c r="D284" s="93"/>
      <c r="E284" s="93"/>
      <c r="F284" s="93"/>
      <c r="G284" s="92" t="s">
        <v>1668</v>
      </c>
      <c r="H284" s="126">
        <v>21</v>
      </c>
      <c r="I284" s="126"/>
      <c r="J284" s="118"/>
      <c r="K284" s="118">
        <v>21</v>
      </c>
      <c r="L284" s="118"/>
      <c r="M284" s="90" t="s">
        <v>1620</v>
      </c>
    </row>
    <row r="285" spans="1:13" s="89" customFormat="1" ht="11.1" customHeight="1" outlineLevel="3" x14ac:dyDescent="0.2">
      <c r="A285" s="93" t="s">
        <v>1774</v>
      </c>
      <c r="B285" s="93"/>
      <c r="C285" s="93"/>
      <c r="D285" s="93"/>
      <c r="E285" s="93"/>
      <c r="F285" s="93"/>
      <c r="G285" s="92" t="s">
        <v>1773</v>
      </c>
      <c r="H285" s="126">
        <v>480</v>
      </c>
      <c r="I285" s="126"/>
      <c r="J285" s="118"/>
      <c r="K285" s="118">
        <v>480</v>
      </c>
      <c r="L285" s="118"/>
      <c r="M285" s="90" t="s">
        <v>1620</v>
      </c>
    </row>
    <row r="286" spans="1:13" s="89" customFormat="1" ht="11.1" customHeight="1" outlineLevel="3" collapsed="1" x14ac:dyDescent="0.2">
      <c r="A286" s="93" t="s">
        <v>1772</v>
      </c>
      <c r="B286" s="93"/>
      <c r="C286" s="93"/>
      <c r="D286" s="93"/>
      <c r="E286" s="93"/>
      <c r="F286" s="93"/>
      <c r="G286" s="92" t="s">
        <v>1771</v>
      </c>
      <c r="H286" s="126">
        <v>1080</v>
      </c>
      <c r="I286" s="126"/>
      <c r="J286" s="118"/>
      <c r="K286" s="118">
        <v>1080</v>
      </c>
      <c r="L286" s="118"/>
      <c r="M286" s="90" t="s">
        <v>1620</v>
      </c>
    </row>
    <row r="287" spans="1:13" s="89" customFormat="1" ht="11.1" customHeight="1" outlineLevel="2" x14ac:dyDescent="0.2">
      <c r="A287" s="97" t="s">
        <v>1477</v>
      </c>
      <c r="B287" s="97"/>
      <c r="C287" s="97"/>
      <c r="D287" s="97"/>
      <c r="E287" s="97"/>
      <c r="F287" s="97"/>
      <c r="G287" s="96" t="s">
        <v>1623</v>
      </c>
      <c r="H287" s="125"/>
      <c r="I287" s="125"/>
      <c r="J287" s="117"/>
      <c r="K287" s="117"/>
      <c r="L287" s="117"/>
      <c r="M287" s="94"/>
    </row>
    <row r="288" spans="1:13" s="89" customFormat="1" ht="11.1" customHeight="1" outlineLevel="3" x14ac:dyDescent="0.2">
      <c r="A288" s="93" t="s">
        <v>1626</v>
      </c>
      <c r="B288" s="93"/>
      <c r="C288" s="93"/>
      <c r="D288" s="93"/>
      <c r="E288" s="93"/>
      <c r="F288" s="93"/>
      <c r="G288" s="92" t="s">
        <v>1625</v>
      </c>
      <c r="H288" s="126">
        <v>80</v>
      </c>
      <c r="I288" s="126"/>
      <c r="J288" s="118"/>
      <c r="K288" s="118">
        <v>80</v>
      </c>
      <c r="L288" s="118"/>
      <c r="M288" s="90" t="s">
        <v>1620</v>
      </c>
    </row>
    <row r="289" spans="1:13" ht="11.1" customHeight="1" outlineLevel="1" x14ac:dyDescent="0.2">
      <c r="A289" s="102" t="s">
        <v>1624</v>
      </c>
      <c r="B289" s="102"/>
      <c r="C289" s="102"/>
      <c r="D289" s="102"/>
      <c r="E289" s="102"/>
      <c r="F289" s="102"/>
      <c r="G289" s="102"/>
      <c r="H289" s="124"/>
      <c r="I289" s="124"/>
      <c r="J289" s="116"/>
      <c r="K289" s="116"/>
      <c r="L289" s="116"/>
      <c r="M289" s="119"/>
    </row>
    <row r="290" spans="1:13" s="89" customFormat="1" ht="11.1" customHeight="1" outlineLevel="2" x14ac:dyDescent="0.2">
      <c r="A290" s="97" t="s">
        <v>1638</v>
      </c>
      <c r="B290" s="97"/>
      <c r="C290" s="97"/>
      <c r="D290" s="97"/>
      <c r="E290" s="97"/>
      <c r="F290" s="97"/>
      <c r="G290" s="96" t="s">
        <v>1623</v>
      </c>
      <c r="H290" s="125"/>
      <c r="I290" s="125"/>
      <c r="J290" s="117"/>
      <c r="K290" s="117"/>
      <c r="L290" s="117"/>
      <c r="M290" s="94"/>
    </row>
    <row r="291" spans="1:13" s="89" customFormat="1" ht="11.1" customHeight="1" outlineLevel="3" collapsed="1" x14ac:dyDescent="0.2">
      <c r="A291" s="93" t="s">
        <v>1750</v>
      </c>
      <c r="B291" s="93"/>
      <c r="C291" s="93"/>
      <c r="D291" s="93"/>
      <c r="E291" s="93"/>
      <c r="F291" s="93"/>
      <c r="G291" s="92" t="s">
        <v>1749</v>
      </c>
      <c r="H291" s="126">
        <v>1</v>
      </c>
      <c r="I291" s="126"/>
      <c r="J291" s="118"/>
      <c r="K291" s="118"/>
      <c r="L291" s="118">
        <v>1</v>
      </c>
      <c r="M291" s="90" t="s">
        <v>1620</v>
      </c>
    </row>
    <row r="292" spans="1:13" s="89" customFormat="1" ht="11.1" customHeight="1" outlineLevel="2" x14ac:dyDescent="0.2">
      <c r="A292" s="97" t="s">
        <v>1384</v>
      </c>
      <c r="B292" s="97"/>
      <c r="C292" s="97"/>
      <c r="D292" s="97"/>
      <c r="E292" s="97"/>
      <c r="F292" s="97"/>
      <c r="G292" s="96" t="s">
        <v>1623</v>
      </c>
      <c r="H292" s="125"/>
      <c r="I292" s="125"/>
      <c r="J292" s="117"/>
      <c r="K292" s="117"/>
      <c r="L292" s="117"/>
      <c r="M292" s="94"/>
    </row>
    <row r="293" spans="1:13" s="89" customFormat="1" ht="11.1" customHeight="1" outlineLevel="3" collapsed="1" x14ac:dyDescent="0.2">
      <c r="A293" s="100" t="s">
        <v>1673</v>
      </c>
      <c r="B293" s="100"/>
      <c r="C293" s="100"/>
      <c r="D293" s="100"/>
      <c r="E293" s="100"/>
      <c r="F293" s="100"/>
      <c r="G293" s="92" t="s">
        <v>1748</v>
      </c>
      <c r="H293" s="126">
        <v>120</v>
      </c>
      <c r="I293" s="126"/>
      <c r="J293" s="118"/>
      <c r="K293" s="118"/>
      <c r="L293" s="118">
        <v>120</v>
      </c>
      <c r="M293" s="90" t="s">
        <v>1620</v>
      </c>
    </row>
    <row r="294" spans="1:13" s="89" customFormat="1" ht="11.1" customHeight="1" outlineLevel="2" x14ac:dyDescent="0.2">
      <c r="A294" s="97" t="s">
        <v>1602</v>
      </c>
      <c r="B294" s="97"/>
      <c r="C294" s="97"/>
      <c r="D294" s="97"/>
      <c r="E294" s="97"/>
      <c r="F294" s="97"/>
      <c r="G294" s="96" t="s">
        <v>1623</v>
      </c>
      <c r="H294" s="125"/>
      <c r="I294" s="125"/>
      <c r="J294" s="117"/>
      <c r="K294" s="117"/>
      <c r="L294" s="117"/>
      <c r="M294" s="94"/>
    </row>
    <row r="295" spans="1:13" s="89" customFormat="1" ht="11.1" customHeight="1" outlineLevel="3" x14ac:dyDescent="0.2">
      <c r="A295" s="93" t="s">
        <v>1622</v>
      </c>
      <c r="B295" s="93"/>
      <c r="C295" s="93"/>
      <c r="D295" s="93"/>
      <c r="E295" s="93"/>
      <c r="F295" s="93"/>
      <c r="G295" s="92" t="s">
        <v>1621</v>
      </c>
      <c r="H295" s="126">
        <v>180</v>
      </c>
      <c r="I295" s="126"/>
      <c r="J295" s="118"/>
      <c r="K295" s="118"/>
      <c r="L295" s="118">
        <v>180</v>
      </c>
      <c r="M295" s="90" t="s">
        <v>1620</v>
      </c>
    </row>
    <row r="296" spans="1:13" s="89" customFormat="1" ht="9.9499999999999993" customHeight="1" outlineLevel="1" x14ac:dyDescent="0.2">
      <c r="H296" s="113"/>
      <c r="I296" s="113"/>
      <c r="J296" s="113"/>
      <c r="K296" s="113"/>
      <c r="L296" s="113"/>
    </row>
  </sheetData>
  <mergeCells count="570">
    <mergeCell ref="K14:K15"/>
    <mergeCell ref="L14:L15"/>
    <mergeCell ref="M14:M15"/>
    <mergeCell ref="A15:F15"/>
    <mergeCell ref="H19:I19"/>
    <mergeCell ref="A20:F20"/>
    <mergeCell ref="H20:I20"/>
    <mergeCell ref="C9:M9"/>
    <mergeCell ref="A11:C11"/>
    <mergeCell ref="A13:G13"/>
    <mergeCell ref="H13:M13"/>
    <mergeCell ref="A14:F14"/>
    <mergeCell ref="H14:I15"/>
    <mergeCell ref="J14:J15"/>
    <mergeCell ref="H24:I24"/>
    <mergeCell ref="A25:F25"/>
    <mergeCell ref="H25:I25"/>
    <mergeCell ref="A16:G16"/>
    <mergeCell ref="H16:I16"/>
    <mergeCell ref="A17:F17"/>
    <mergeCell ref="H17:I17"/>
    <mergeCell ref="A18:F18"/>
    <mergeCell ref="H18:I18"/>
    <mergeCell ref="A19:F19"/>
    <mergeCell ref="H29:I29"/>
    <mergeCell ref="A30:F30"/>
    <mergeCell ref="H30:I30"/>
    <mergeCell ref="A21:F21"/>
    <mergeCell ref="H21:I21"/>
    <mergeCell ref="A22:F22"/>
    <mergeCell ref="H22:I22"/>
    <mergeCell ref="A23:F23"/>
    <mergeCell ref="H23:I23"/>
    <mergeCell ref="A24:F24"/>
    <mergeCell ref="H34:I34"/>
    <mergeCell ref="A35:F35"/>
    <mergeCell ref="H35:I35"/>
    <mergeCell ref="A26:F26"/>
    <mergeCell ref="H26:I26"/>
    <mergeCell ref="A27:F27"/>
    <mergeCell ref="H27:I27"/>
    <mergeCell ref="A28:F28"/>
    <mergeCell ref="H28:I28"/>
    <mergeCell ref="A29:F29"/>
    <mergeCell ref="H39:I39"/>
    <mergeCell ref="A40:F40"/>
    <mergeCell ref="H40:I40"/>
    <mergeCell ref="A31:F31"/>
    <mergeCell ref="H31:I31"/>
    <mergeCell ref="A32:F32"/>
    <mergeCell ref="H32:I32"/>
    <mergeCell ref="A33:F33"/>
    <mergeCell ref="H33:I33"/>
    <mergeCell ref="A34:F34"/>
    <mergeCell ref="H44:I44"/>
    <mergeCell ref="A45:F45"/>
    <mergeCell ref="H45:I45"/>
    <mergeCell ref="A36:F36"/>
    <mergeCell ref="H36:I36"/>
    <mergeCell ref="A37:F37"/>
    <mergeCell ref="H37:I37"/>
    <mergeCell ref="A38:F38"/>
    <mergeCell ref="H38:I38"/>
    <mergeCell ref="A39:F39"/>
    <mergeCell ref="H49:I49"/>
    <mergeCell ref="A50:F50"/>
    <mergeCell ref="H50:I50"/>
    <mergeCell ref="A41:F41"/>
    <mergeCell ref="H41:I41"/>
    <mergeCell ref="A42:F42"/>
    <mergeCell ref="H42:I42"/>
    <mergeCell ref="A43:F43"/>
    <mergeCell ref="H43:I43"/>
    <mergeCell ref="A44:F44"/>
    <mergeCell ref="H54:I54"/>
    <mergeCell ref="A55:F55"/>
    <mergeCell ref="H55:I55"/>
    <mergeCell ref="A46:F46"/>
    <mergeCell ref="H46:I46"/>
    <mergeCell ref="A47:F47"/>
    <mergeCell ref="H47:I47"/>
    <mergeCell ref="A48:F48"/>
    <mergeCell ref="H48:I48"/>
    <mergeCell ref="A49:F49"/>
    <mergeCell ref="H59:I59"/>
    <mergeCell ref="A60:F60"/>
    <mergeCell ref="H60:I60"/>
    <mergeCell ref="A51:F51"/>
    <mergeCell ref="H51:I51"/>
    <mergeCell ref="A52:F52"/>
    <mergeCell ref="H52:I52"/>
    <mergeCell ref="A53:F53"/>
    <mergeCell ref="H53:I53"/>
    <mergeCell ref="A54:F54"/>
    <mergeCell ref="H64:I64"/>
    <mergeCell ref="A65:F65"/>
    <mergeCell ref="H65:I65"/>
    <mergeCell ref="A56:F56"/>
    <mergeCell ref="H56:I56"/>
    <mergeCell ref="A57:F57"/>
    <mergeCell ref="H57:I57"/>
    <mergeCell ref="A58:F58"/>
    <mergeCell ref="H58:I58"/>
    <mergeCell ref="A59:F59"/>
    <mergeCell ref="H69:I69"/>
    <mergeCell ref="A70:F70"/>
    <mergeCell ref="H70:I70"/>
    <mergeCell ref="A61:F61"/>
    <mergeCell ref="H61:I61"/>
    <mergeCell ref="A62:F62"/>
    <mergeCell ref="H62:I62"/>
    <mergeCell ref="A63:F63"/>
    <mergeCell ref="H63:I63"/>
    <mergeCell ref="A64:F64"/>
    <mergeCell ref="H74:I74"/>
    <mergeCell ref="A75:F75"/>
    <mergeCell ref="H75:I75"/>
    <mergeCell ref="A66:F66"/>
    <mergeCell ref="H66:I66"/>
    <mergeCell ref="A67:F67"/>
    <mergeCell ref="H67:I67"/>
    <mergeCell ref="A68:F68"/>
    <mergeCell ref="H68:I68"/>
    <mergeCell ref="A69:F69"/>
    <mergeCell ref="H79:I79"/>
    <mergeCell ref="A80:F80"/>
    <mergeCell ref="H80:I80"/>
    <mergeCell ref="A71:F71"/>
    <mergeCell ref="H71:I71"/>
    <mergeCell ref="A72:F72"/>
    <mergeCell ref="H72:I72"/>
    <mergeCell ref="A73:F73"/>
    <mergeCell ref="H73:I73"/>
    <mergeCell ref="A74:F74"/>
    <mergeCell ref="H84:I84"/>
    <mergeCell ref="A85:F85"/>
    <mergeCell ref="H85:I85"/>
    <mergeCell ref="A76:F76"/>
    <mergeCell ref="H76:I76"/>
    <mergeCell ref="A77:F77"/>
    <mergeCell ref="H77:I77"/>
    <mergeCell ref="A78:F78"/>
    <mergeCell ref="H78:I78"/>
    <mergeCell ref="A79:F79"/>
    <mergeCell ref="H89:I89"/>
    <mergeCell ref="A90:F90"/>
    <mergeCell ref="H90:I90"/>
    <mergeCell ref="A81:F81"/>
    <mergeCell ref="H81:I81"/>
    <mergeCell ref="A82:F82"/>
    <mergeCell ref="H82:I82"/>
    <mergeCell ref="A83:F83"/>
    <mergeCell ref="H83:I83"/>
    <mergeCell ref="A84:F84"/>
    <mergeCell ref="H94:I94"/>
    <mergeCell ref="A95:F95"/>
    <mergeCell ref="H95:I95"/>
    <mergeCell ref="A86:F86"/>
    <mergeCell ref="H86:I86"/>
    <mergeCell ref="A87:F87"/>
    <mergeCell ref="H87:I87"/>
    <mergeCell ref="A88:F88"/>
    <mergeCell ref="H88:I88"/>
    <mergeCell ref="A89:F89"/>
    <mergeCell ref="H99:I99"/>
    <mergeCell ref="A100:F100"/>
    <mergeCell ref="H100:I100"/>
    <mergeCell ref="A91:F91"/>
    <mergeCell ref="H91:I91"/>
    <mergeCell ref="A92:F92"/>
    <mergeCell ref="H92:I92"/>
    <mergeCell ref="A93:F93"/>
    <mergeCell ref="H93:I93"/>
    <mergeCell ref="A94:F94"/>
    <mergeCell ref="H104:I104"/>
    <mergeCell ref="A105:F105"/>
    <mergeCell ref="H105:I105"/>
    <mergeCell ref="A96:F96"/>
    <mergeCell ref="H96:I96"/>
    <mergeCell ref="A97:F97"/>
    <mergeCell ref="H97:I97"/>
    <mergeCell ref="A98:F98"/>
    <mergeCell ref="H98:I98"/>
    <mergeCell ref="A99:F99"/>
    <mergeCell ref="A109:F109"/>
    <mergeCell ref="H109:I109"/>
    <mergeCell ref="A110:F110"/>
    <mergeCell ref="H110:I110"/>
    <mergeCell ref="A101:F101"/>
    <mergeCell ref="H101:I101"/>
    <mergeCell ref="A102:F102"/>
    <mergeCell ref="H102:I102"/>
    <mergeCell ref="A103:F103"/>
    <mergeCell ref="A104:F104"/>
    <mergeCell ref="A114:F114"/>
    <mergeCell ref="H114:I114"/>
    <mergeCell ref="A115:F115"/>
    <mergeCell ref="H115:I115"/>
    <mergeCell ref="A106:F106"/>
    <mergeCell ref="H106:I106"/>
    <mergeCell ref="A107:F107"/>
    <mergeCell ref="H107:I107"/>
    <mergeCell ref="A108:F108"/>
    <mergeCell ref="H108:I108"/>
    <mergeCell ref="A119:F119"/>
    <mergeCell ref="H119:I119"/>
    <mergeCell ref="A120:F120"/>
    <mergeCell ref="H120:I120"/>
    <mergeCell ref="A111:F111"/>
    <mergeCell ref="H111:I111"/>
    <mergeCell ref="A112:F112"/>
    <mergeCell ref="H112:I112"/>
    <mergeCell ref="A113:F113"/>
    <mergeCell ref="H113:I113"/>
    <mergeCell ref="A124:F124"/>
    <mergeCell ref="H124:I124"/>
    <mergeCell ref="A125:F125"/>
    <mergeCell ref="H125:I125"/>
    <mergeCell ref="A116:F116"/>
    <mergeCell ref="H116:I116"/>
    <mergeCell ref="A117:F117"/>
    <mergeCell ref="H117:I117"/>
    <mergeCell ref="A118:F118"/>
    <mergeCell ref="H118:I118"/>
    <mergeCell ref="A129:F129"/>
    <mergeCell ref="H129:I129"/>
    <mergeCell ref="A130:F130"/>
    <mergeCell ref="H130:I130"/>
    <mergeCell ref="A121:F121"/>
    <mergeCell ref="H121:I121"/>
    <mergeCell ref="A122:F122"/>
    <mergeCell ref="H122:I122"/>
    <mergeCell ref="A123:F123"/>
    <mergeCell ref="H123:I123"/>
    <mergeCell ref="A134:F134"/>
    <mergeCell ref="H134:I134"/>
    <mergeCell ref="A135:F135"/>
    <mergeCell ref="H135:I135"/>
    <mergeCell ref="A126:F126"/>
    <mergeCell ref="H126:I126"/>
    <mergeCell ref="A127:F127"/>
    <mergeCell ref="H127:I127"/>
    <mergeCell ref="A128:F128"/>
    <mergeCell ref="H128:I128"/>
    <mergeCell ref="A139:F139"/>
    <mergeCell ref="H139:I139"/>
    <mergeCell ref="A140:F140"/>
    <mergeCell ref="H140:I140"/>
    <mergeCell ref="A131:F131"/>
    <mergeCell ref="H131:I131"/>
    <mergeCell ref="A132:F132"/>
    <mergeCell ref="H132:I132"/>
    <mergeCell ref="A133:F133"/>
    <mergeCell ref="H133:I133"/>
    <mergeCell ref="A144:F144"/>
    <mergeCell ref="H144:I144"/>
    <mergeCell ref="A145:F145"/>
    <mergeCell ref="H145:I145"/>
    <mergeCell ref="A136:F136"/>
    <mergeCell ref="H136:I136"/>
    <mergeCell ref="A137:F137"/>
    <mergeCell ref="H137:I137"/>
    <mergeCell ref="A138:F138"/>
    <mergeCell ref="H138:I138"/>
    <mergeCell ref="A149:F149"/>
    <mergeCell ref="H149:I149"/>
    <mergeCell ref="A150:F150"/>
    <mergeCell ref="H150:I150"/>
    <mergeCell ref="A141:F141"/>
    <mergeCell ref="H141:I141"/>
    <mergeCell ref="A142:F142"/>
    <mergeCell ref="H142:I142"/>
    <mergeCell ref="A143:F143"/>
    <mergeCell ref="H143:I143"/>
    <mergeCell ref="A146:F146"/>
    <mergeCell ref="H146:I146"/>
    <mergeCell ref="A147:F147"/>
    <mergeCell ref="H147:I147"/>
    <mergeCell ref="A148:F148"/>
    <mergeCell ref="H148:I148"/>
    <mergeCell ref="A151:F151"/>
    <mergeCell ref="H151:I151"/>
    <mergeCell ref="A152:G152"/>
    <mergeCell ref="H152:I152"/>
    <mergeCell ref="A156:F156"/>
    <mergeCell ref="H156:I156"/>
    <mergeCell ref="A157:F157"/>
    <mergeCell ref="H157:I157"/>
    <mergeCell ref="A161:F161"/>
    <mergeCell ref="H161:I161"/>
    <mergeCell ref="A162:F162"/>
    <mergeCell ref="H162:I162"/>
    <mergeCell ref="A153:F153"/>
    <mergeCell ref="H153:I153"/>
    <mergeCell ref="A154:F154"/>
    <mergeCell ref="H154:I154"/>
    <mergeCell ref="A155:G155"/>
    <mergeCell ref="H155:I155"/>
    <mergeCell ref="A166:F166"/>
    <mergeCell ref="H166:I166"/>
    <mergeCell ref="A167:F167"/>
    <mergeCell ref="H167:I167"/>
    <mergeCell ref="A158:F158"/>
    <mergeCell ref="H158:I158"/>
    <mergeCell ref="A159:F159"/>
    <mergeCell ref="H159:I159"/>
    <mergeCell ref="A160:F160"/>
    <mergeCell ref="H160:I160"/>
    <mergeCell ref="A171:F171"/>
    <mergeCell ref="H171:I171"/>
    <mergeCell ref="A172:F172"/>
    <mergeCell ref="H172:I172"/>
    <mergeCell ref="A163:F163"/>
    <mergeCell ref="H163:I163"/>
    <mergeCell ref="A164:F164"/>
    <mergeCell ref="H164:I164"/>
    <mergeCell ref="A165:F165"/>
    <mergeCell ref="H165:I165"/>
    <mergeCell ref="A176:F176"/>
    <mergeCell ref="H176:I176"/>
    <mergeCell ref="A177:F177"/>
    <mergeCell ref="H177:I177"/>
    <mergeCell ref="A168:F168"/>
    <mergeCell ref="H168:I168"/>
    <mergeCell ref="A169:F169"/>
    <mergeCell ref="H169:I169"/>
    <mergeCell ref="A170:F170"/>
    <mergeCell ref="H170:I170"/>
    <mergeCell ref="A181:F181"/>
    <mergeCell ref="H181:I181"/>
    <mergeCell ref="A182:F182"/>
    <mergeCell ref="H182:I182"/>
    <mergeCell ref="A173:F173"/>
    <mergeCell ref="H173:I173"/>
    <mergeCell ref="A174:F174"/>
    <mergeCell ref="H174:I174"/>
    <mergeCell ref="A175:F175"/>
    <mergeCell ref="H175:I175"/>
    <mergeCell ref="A186:F186"/>
    <mergeCell ref="H186:I186"/>
    <mergeCell ref="A187:F187"/>
    <mergeCell ref="H187:I187"/>
    <mergeCell ref="A178:F178"/>
    <mergeCell ref="H178:I178"/>
    <mergeCell ref="A179:F179"/>
    <mergeCell ref="H179:I179"/>
    <mergeCell ref="A180:F180"/>
    <mergeCell ref="H180:I180"/>
    <mergeCell ref="A191:F191"/>
    <mergeCell ref="H191:I191"/>
    <mergeCell ref="A192:F192"/>
    <mergeCell ref="H192:I192"/>
    <mergeCell ref="A183:F183"/>
    <mergeCell ref="H183:I183"/>
    <mergeCell ref="A184:F184"/>
    <mergeCell ref="H184:I184"/>
    <mergeCell ref="A185:F185"/>
    <mergeCell ref="H185:I185"/>
    <mergeCell ref="A196:F196"/>
    <mergeCell ref="H196:I196"/>
    <mergeCell ref="A197:F197"/>
    <mergeCell ref="H197:I197"/>
    <mergeCell ref="A188:F188"/>
    <mergeCell ref="H188:I188"/>
    <mergeCell ref="A189:F189"/>
    <mergeCell ref="H189:I189"/>
    <mergeCell ref="A190:F190"/>
    <mergeCell ref="H190:I190"/>
    <mergeCell ref="A201:F201"/>
    <mergeCell ref="H201:I201"/>
    <mergeCell ref="A202:F202"/>
    <mergeCell ref="H202:I202"/>
    <mergeCell ref="A193:F193"/>
    <mergeCell ref="H193:I193"/>
    <mergeCell ref="A194:F194"/>
    <mergeCell ref="H194:I194"/>
    <mergeCell ref="A195:F195"/>
    <mergeCell ref="H195:I195"/>
    <mergeCell ref="A206:F206"/>
    <mergeCell ref="H206:I206"/>
    <mergeCell ref="A207:F207"/>
    <mergeCell ref="H207:I207"/>
    <mergeCell ref="A198:F198"/>
    <mergeCell ref="H198:I198"/>
    <mergeCell ref="A199:F199"/>
    <mergeCell ref="H199:I199"/>
    <mergeCell ref="A200:F200"/>
    <mergeCell ref="H200:I200"/>
    <mergeCell ref="A211:F211"/>
    <mergeCell ref="H211:I211"/>
    <mergeCell ref="A212:F212"/>
    <mergeCell ref="H212:I212"/>
    <mergeCell ref="A203:F203"/>
    <mergeCell ref="H203:I203"/>
    <mergeCell ref="A204:F204"/>
    <mergeCell ref="H204:I204"/>
    <mergeCell ref="A205:F205"/>
    <mergeCell ref="H205:I205"/>
    <mergeCell ref="A216:F216"/>
    <mergeCell ref="H216:I216"/>
    <mergeCell ref="A217:F217"/>
    <mergeCell ref="H217:I217"/>
    <mergeCell ref="A208:F208"/>
    <mergeCell ref="H208:I208"/>
    <mergeCell ref="A209:F209"/>
    <mergeCell ref="H209:I209"/>
    <mergeCell ref="A210:F210"/>
    <mergeCell ref="H210:I210"/>
    <mergeCell ref="A213:F213"/>
    <mergeCell ref="H213:I213"/>
    <mergeCell ref="A214:F214"/>
    <mergeCell ref="H214:I214"/>
    <mergeCell ref="A215:F215"/>
    <mergeCell ref="H215:I215"/>
    <mergeCell ref="A218:F218"/>
    <mergeCell ref="H218:I218"/>
    <mergeCell ref="A219:F219"/>
    <mergeCell ref="H219:I219"/>
    <mergeCell ref="A220:F220"/>
    <mergeCell ref="H220:I220"/>
    <mergeCell ref="A222:F222"/>
    <mergeCell ref="H222:I222"/>
    <mergeCell ref="A223:F223"/>
    <mergeCell ref="H223:I223"/>
    <mergeCell ref="A227:F227"/>
    <mergeCell ref="H227:I227"/>
    <mergeCell ref="A228:F228"/>
    <mergeCell ref="H228:I228"/>
    <mergeCell ref="A221:G221"/>
    <mergeCell ref="H221:I221"/>
    <mergeCell ref="A232:F232"/>
    <mergeCell ref="H232:I232"/>
    <mergeCell ref="A233:F233"/>
    <mergeCell ref="H233:I233"/>
    <mergeCell ref="A224:F224"/>
    <mergeCell ref="H224:I224"/>
    <mergeCell ref="A225:F225"/>
    <mergeCell ref="H225:I225"/>
    <mergeCell ref="A226:F226"/>
    <mergeCell ref="H226:I226"/>
    <mergeCell ref="A237:F237"/>
    <mergeCell ref="H237:I237"/>
    <mergeCell ref="A238:F238"/>
    <mergeCell ref="H238:I238"/>
    <mergeCell ref="A229:F229"/>
    <mergeCell ref="H229:I229"/>
    <mergeCell ref="A230:F230"/>
    <mergeCell ref="H230:I230"/>
    <mergeCell ref="A231:F231"/>
    <mergeCell ref="H231:I231"/>
    <mergeCell ref="A242:F242"/>
    <mergeCell ref="H242:I242"/>
    <mergeCell ref="A243:F243"/>
    <mergeCell ref="H243:I243"/>
    <mergeCell ref="A234:F234"/>
    <mergeCell ref="H234:I234"/>
    <mergeCell ref="A235:F235"/>
    <mergeCell ref="H235:I235"/>
    <mergeCell ref="A236:F236"/>
    <mergeCell ref="H236:I236"/>
    <mergeCell ref="A247:F247"/>
    <mergeCell ref="H247:I247"/>
    <mergeCell ref="A248:F248"/>
    <mergeCell ref="H248:I248"/>
    <mergeCell ref="A239:F239"/>
    <mergeCell ref="H239:I239"/>
    <mergeCell ref="A240:F240"/>
    <mergeCell ref="H240:I240"/>
    <mergeCell ref="A241:F241"/>
    <mergeCell ref="H241:I241"/>
    <mergeCell ref="A252:F252"/>
    <mergeCell ref="H252:I252"/>
    <mergeCell ref="A253:F253"/>
    <mergeCell ref="H253:I253"/>
    <mergeCell ref="A244:F244"/>
    <mergeCell ref="H244:I244"/>
    <mergeCell ref="A245:F245"/>
    <mergeCell ref="H245:I245"/>
    <mergeCell ref="A246:F246"/>
    <mergeCell ref="H246:I246"/>
    <mergeCell ref="A257:F257"/>
    <mergeCell ref="H257:I257"/>
    <mergeCell ref="A258:F258"/>
    <mergeCell ref="H258:I258"/>
    <mergeCell ref="A249:F249"/>
    <mergeCell ref="H249:I249"/>
    <mergeCell ref="A250:F250"/>
    <mergeCell ref="H250:I250"/>
    <mergeCell ref="A251:F251"/>
    <mergeCell ref="H251:I251"/>
    <mergeCell ref="A262:F262"/>
    <mergeCell ref="H262:I262"/>
    <mergeCell ref="A263:F263"/>
    <mergeCell ref="H263:I263"/>
    <mergeCell ref="A254:F254"/>
    <mergeCell ref="H254:I254"/>
    <mergeCell ref="A255:F255"/>
    <mergeCell ref="H255:I255"/>
    <mergeCell ref="A256:F256"/>
    <mergeCell ref="H256:I256"/>
    <mergeCell ref="A267:F267"/>
    <mergeCell ref="H267:I267"/>
    <mergeCell ref="A268:F268"/>
    <mergeCell ref="H268:I268"/>
    <mergeCell ref="A259:F259"/>
    <mergeCell ref="H259:I259"/>
    <mergeCell ref="A260:F260"/>
    <mergeCell ref="H260:I260"/>
    <mergeCell ref="A261:F261"/>
    <mergeCell ref="H261:I261"/>
    <mergeCell ref="A272:F272"/>
    <mergeCell ref="H272:I272"/>
    <mergeCell ref="A273:F273"/>
    <mergeCell ref="H273:I273"/>
    <mergeCell ref="A264:F264"/>
    <mergeCell ref="H264:I264"/>
    <mergeCell ref="A265:F265"/>
    <mergeCell ref="H265:I265"/>
    <mergeCell ref="A266:F266"/>
    <mergeCell ref="H266:I266"/>
    <mergeCell ref="A277:F277"/>
    <mergeCell ref="H277:I277"/>
    <mergeCell ref="A278:F278"/>
    <mergeCell ref="H278:I278"/>
    <mergeCell ref="A269:F269"/>
    <mergeCell ref="H269:I269"/>
    <mergeCell ref="A270:F270"/>
    <mergeCell ref="H270:I270"/>
    <mergeCell ref="A271:F271"/>
    <mergeCell ref="H271:I271"/>
    <mergeCell ref="A282:F282"/>
    <mergeCell ref="H282:I282"/>
    <mergeCell ref="A283:F283"/>
    <mergeCell ref="H283:I283"/>
    <mergeCell ref="A274:F274"/>
    <mergeCell ref="H274:I274"/>
    <mergeCell ref="A275:F275"/>
    <mergeCell ref="H275:I275"/>
    <mergeCell ref="A276:F276"/>
    <mergeCell ref="H276:I276"/>
    <mergeCell ref="A287:F287"/>
    <mergeCell ref="H287:I287"/>
    <mergeCell ref="A288:F288"/>
    <mergeCell ref="H288:I288"/>
    <mergeCell ref="A279:F279"/>
    <mergeCell ref="H279:I279"/>
    <mergeCell ref="A280:F280"/>
    <mergeCell ref="H280:I280"/>
    <mergeCell ref="A281:F281"/>
    <mergeCell ref="H281:I281"/>
    <mergeCell ref="A292:F292"/>
    <mergeCell ref="H292:I292"/>
    <mergeCell ref="A293:F293"/>
    <mergeCell ref="H293:I293"/>
    <mergeCell ref="A284:F284"/>
    <mergeCell ref="H284:I284"/>
    <mergeCell ref="A285:F285"/>
    <mergeCell ref="H285:I285"/>
    <mergeCell ref="A286:F286"/>
    <mergeCell ref="H286:I286"/>
    <mergeCell ref="A294:F294"/>
    <mergeCell ref="H294:I294"/>
    <mergeCell ref="A295:F295"/>
    <mergeCell ref="H295:I295"/>
    <mergeCell ref="A289:G289"/>
    <mergeCell ref="H289:I289"/>
    <mergeCell ref="A290:F290"/>
    <mergeCell ref="H290:I290"/>
    <mergeCell ref="A291:F291"/>
    <mergeCell ref="H291:I291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6D9A-03B0-4AA3-AF2A-DCA40B1CDA97}">
  <sheetPr>
    <outlinePr summaryBelow="0" summaryRight="0"/>
    <pageSetUpPr autoPageBreaks="0" fitToPage="1"/>
  </sheetPr>
  <dimension ref="A1:M131"/>
  <sheetViews>
    <sheetView workbookViewId="0">
      <selection activeCell="N127" sqref="N127"/>
    </sheetView>
  </sheetViews>
  <sheetFormatPr defaultColWidth="9" defaultRowHeight="11.45" customHeight="1" outlineLevelRow="3" x14ac:dyDescent="0.2"/>
  <cols>
    <col min="1" max="1" width="9" style="89" customWidth="1"/>
    <col min="2" max="2" width="3.140625" style="89" customWidth="1"/>
    <col min="3" max="3" width="17.85546875" style="89" customWidth="1"/>
    <col min="4" max="4" width="7.140625" style="89" customWidth="1"/>
    <col min="5" max="5" width="31.85546875" style="89" customWidth="1"/>
    <col min="6" max="6" width="2.140625" style="89" customWidth="1"/>
    <col min="7" max="7" width="8.7109375" style="89" customWidth="1"/>
    <col min="8" max="8" width="1.28515625" style="113" customWidth="1"/>
    <col min="9" max="9" width="10.7109375" style="113" customWidth="1"/>
    <col min="10" max="10" width="8.85546875" style="113" customWidth="1"/>
    <col min="11" max="11" width="9.140625" style="113" customWidth="1"/>
    <col min="12" max="12" width="11.85546875" style="113" customWidth="1"/>
    <col min="13" max="13" width="10.140625" style="89" customWidth="1"/>
    <col min="14" max="16384" width="9" style="88"/>
  </cols>
  <sheetData>
    <row r="1" spans="1:13" s="89" customFormat="1" ht="9.9499999999999993" customHeight="1" x14ac:dyDescent="0.2">
      <c r="H1" s="113"/>
      <c r="I1" s="113"/>
      <c r="J1" s="113"/>
      <c r="K1" s="113"/>
      <c r="L1" s="113"/>
    </row>
    <row r="2" spans="1:13" ht="24.95" customHeight="1" x14ac:dyDescent="0.2">
      <c r="A2" s="112" t="s">
        <v>1717</v>
      </c>
      <c r="B2" s="112"/>
      <c r="C2" s="112"/>
      <c r="D2" s="112"/>
      <c r="E2" s="112"/>
    </row>
    <row r="3" spans="1:13" s="89" customFormat="1" ht="9.9499999999999993" customHeight="1" collapsed="1" x14ac:dyDescent="0.2">
      <c r="H3" s="113"/>
      <c r="I3" s="113"/>
      <c r="J3" s="113"/>
      <c r="K3" s="113"/>
      <c r="L3" s="113"/>
    </row>
    <row r="4" spans="1:13" ht="12.95" hidden="1" customHeight="1" outlineLevel="1" x14ac:dyDescent="0.2">
      <c r="A4" s="111" t="s">
        <v>1614</v>
      </c>
      <c r="B4" s="111"/>
      <c r="C4" s="111" t="s">
        <v>1839</v>
      </c>
      <c r="D4" s="111"/>
      <c r="E4" s="111"/>
      <c r="F4" s="111"/>
      <c r="G4" s="111"/>
      <c r="H4" s="121"/>
    </row>
    <row r="5" spans="1:13" ht="12.95" hidden="1" customHeight="1" outlineLevel="1" x14ac:dyDescent="0.2">
      <c r="C5" s="111" t="s">
        <v>1716</v>
      </c>
      <c r="D5" s="111"/>
      <c r="E5" s="111"/>
      <c r="F5" s="111"/>
      <c r="G5" s="111"/>
      <c r="H5" s="121"/>
    </row>
    <row r="6" spans="1:13" ht="12.95" hidden="1" customHeight="1" outlineLevel="1" x14ac:dyDescent="0.2">
      <c r="C6" s="111" t="s">
        <v>1715</v>
      </c>
      <c r="D6" s="111"/>
      <c r="E6" s="111"/>
      <c r="F6" s="111"/>
      <c r="G6" s="111"/>
      <c r="H6" s="121"/>
    </row>
    <row r="7" spans="1:13" ht="12.95" hidden="1" customHeight="1" outlineLevel="1" x14ac:dyDescent="0.2">
      <c r="C7" s="111" t="s">
        <v>1615</v>
      </c>
      <c r="D7" s="111"/>
      <c r="E7" s="111"/>
      <c r="F7" s="111"/>
      <c r="G7" s="111"/>
      <c r="H7" s="121"/>
    </row>
    <row r="8" spans="1:13" ht="12.95" hidden="1" customHeight="1" outlineLevel="1" x14ac:dyDescent="0.2">
      <c r="C8" s="111" t="s">
        <v>1714</v>
      </c>
      <c r="D8" s="111"/>
      <c r="E8" s="111"/>
      <c r="F8" s="111"/>
      <c r="G8" s="111"/>
      <c r="H8" s="121"/>
    </row>
    <row r="9" spans="1:13" ht="39.950000000000003" hidden="1" customHeight="1" outlineLevel="1" x14ac:dyDescent="0.2">
      <c r="A9" s="111" t="s">
        <v>1618</v>
      </c>
      <c r="B9" s="111"/>
      <c r="C9" s="109" t="s">
        <v>1868</v>
      </c>
      <c r="D9" s="109"/>
    </row>
    <row r="10" spans="1:13" s="89" customFormat="1" ht="9.9499999999999993" customHeight="1" x14ac:dyDescent="0.2">
      <c r="H10" s="113"/>
      <c r="I10" s="113"/>
      <c r="J10" s="113"/>
      <c r="K10" s="113"/>
      <c r="L10" s="113"/>
    </row>
    <row r="11" spans="1:13" ht="18.95" customHeight="1" x14ac:dyDescent="0.2">
      <c r="A11" s="108" t="s">
        <v>1713</v>
      </c>
      <c r="B11" s="108"/>
      <c r="C11" s="108"/>
      <c r="D11" s="107" t="s">
        <v>1712</v>
      </c>
    </row>
    <row r="12" spans="1:13" s="89" customFormat="1" ht="9.9499999999999993" customHeight="1" x14ac:dyDescent="0.2">
      <c r="H12" s="113"/>
      <c r="I12" s="113"/>
      <c r="J12" s="113"/>
      <c r="K12" s="113"/>
      <c r="L12" s="113"/>
    </row>
    <row r="13" spans="1:13" ht="12.95" customHeight="1" outlineLevel="1" x14ac:dyDescent="0.2">
      <c r="A13" s="105" t="s">
        <v>1711</v>
      </c>
      <c r="B13" s="105"/>
      <c r="C13" s="105"/>
      <c r="D13" s="105"/>
      <c r="E13" s="105"/>
      <c r="F13" s="105"/>
      <c r="G13" s="105"/>
      <c r="H13" s="105" t="s">
        <v>1710</v>
      </c>
      <c r="I13" s="105"/>
      <c r="J13" s="105"/>
      <c r="K13" s="105"/>
      <c r="L13" s="105"/>
      <c r="M13" s="105"/>
    </row>
    <row r="14" spans="1:13" ht="12.95" customHeight="1" outlineLevel="1" x14ac:dyDescent="0.2">
      <c r="A14" s="105" t="s">
        <v>1</v>
      </c>
      <c r="B14" s="105"/>
      <c r="C14" s="105"/>
      <c r="D14" s="105"/>
      <c r="E14" s="105"/>
      <c r="F14" s="105"/>
      <c r="G14" s="104" t="s">
        <v>1709</v>
      </c>
      <c r="H14" s="114" t="s">
        <v>1619</v>
      </c>
      <c r="I14" s="114"/>
      <c r="J14" s="114" t="s">
        <v>1616</v>
      </c>
      <c r="K14" s="114" t="s">
        <v>1708</v>
      </c>
      <c r="L14" s="114" t="s">
        <v>1707</v>
      </c>
      <c r="M14" s="106" t="s">
        <v>1706</v>
      </c>
    </row>
    <row r="15" spans="1:13" ht="26.1" customHeight="1" outlineLevel="1" x14ac:dyDescent="0.2">
      <c r="A15" s="105" t="s">
        <v>1705</v>
      </c>
      <c r="B15" s="105"/>
      <c r="C15" s="105"/>
      <c r="D15" s="105"/>
      <c r="E15" s="105"/>
      <c r="F15" s="105"/>
      <c r="G15" s="104" t="s">
        <v>1704</v>
      </c>
      <c r="H15" s="122"/>
      <c r="I15" s="123"/>
      <c r="J15" s="115"/>
      <c r="K15" s="115"/>
      <c r="L15" s="115"/>
      <c r="M15" s="103"/>
    </row>
    <row r="16" spans="1:13" ht="11.1" customHeight="1" outlineLevel="1" x14ac:dyDescent="0.2">
      <c r="A16" s="102" t="s">
        <v>1726</v>
      </c>
      <c r="B16" s="102"/>
      <c r="C16" s="102"/>
      <c r="D16" s="102"/>
      <c r="E16" s="102"/>
      <c r="F16" s="102"/>
      <c r="G16" s="102"/>
      <c r="H16" s="124"/>
      <c r="I16" s="124"/>
      <c r="J16" s="116"/>
      <c r="K16" s="116"/>
      <c r="L16" s="116"/>
      <c r="M16" s="101"/>
    </row>
    <row r="17" spans="1:13" s="89" customFormat="1" ht="11.1" customHeight="1" outlineLevel="2" x14ac:dyDescent="0.2">
      <c r="A17" s="97" t="s">
        <v>1353</v>
      </c>
      <c r="B17" s="97"/>
      <c r="C17" s="97"/>
      <c r="D17" s="97"/>
      <c r="E17" s="97"/>
      <c r="F17" s="97"/>
      <c r="G17" s="96" t="s">
        <v>1623</v>
      </c>
      <c r="H17" s="125"/>
      <c r="I17" s="125"/>
      <c r="J17" s="117"/>
      <c r="K17" s="117"/>
      <c r="L17" s="117"/>
      <c r="M17" s="99"/>
    </row>
    <row r="18" spans="1:13" s="89" customFormat="1" ht="11.1" customHeight="1" outlineLevel="3" x14ac:dyDescent="0.2">
      <c r="A18" s="93" t="s">
        <v>1674</v>
      </c>
      <c r="B18" s="93"/>
      <c r="C18" s="93"/>
      <c r="D18" s="93"/>
      <c r="E18" s="93"/>
      <c r="F18" s="93"/>
      <c r="G18" s="92" t="s">
        <v>1643</v>
      </c>
      <c r="H18" s="126">
        <v>1260</v>
      </c>
      <c r="I18" s="126"/>
      <c r="J18" s="118">
        <v>24</v>
      </c>
      <c r="K18" s="118"/>
      <c r="L18" s="118">
        <v>1236</v>
      </c>
      <c r="M18" s="98">
        <v>61.8</v>
      </c>
    </row>
    <row r="19" spans="1:13" s="89" customFormat="1" ht="11.1" customHeight="1" outlineLevel="3" collapsed="1" x14ac:dyDescent="0.2">
      <c r="A19" s="93" t="s">
        <v>1766</v>
      </c>
      <c r="B19" s="93"/>
      <c r="C19" s="93"/>
      <c r="D19" s="93"/>
      <c r="E19" s="93"/>
      <c r="F19" s="93"/>
      <c r="G19" s="92" t="s">
        <v>1765</v>
      </c>
      <c r="H19" s="126">
        <v>3600</v>
      </c>
      <c r="I19" s="126"/>
      <c r="J19" s="118"/>
      <c r="K19" s="118"/>
      <c r="L19" s="118">
        <v>3600</v>
      </c>
      <c r="M19" s="98">
        <v>69.2</v>
      </c>
    </row>
    <row r="20" spans="1:13" s="89" customFormat="1" ht="11.1" customHeight="1" outlineLevel="2" x14ac:dyDescent="0.2">
      <c r="A20" s="97" t="s">
        <v>1603</v>
      </c>
      <c r="B20" s="97"/>
      <c r="C20" s="97"/>
      <c r="D20" s="97"/>
      <c r="E20" s="97"/>
      <c r="F20" s="97"/>
      <c r="G20" s="96" t="s">
        <v>1623</v>
      </c>
      <c r="H20" s="125"/>
      <c r="I20" s="125"/>
      <c r="J20" s="117"/>
      <c r="K20" s="117"/>
      <c r="L20" s="117"/>
      <c r="M20" s="99"/>
    </row>
    <row r="21" spans="1:13" s="89" customFormat="1" ht="11.1" customHeight="1" outlineLevel="3" x14ac:dyDescent="0.2">
      <c r="A21" s="93" t="s">
        <v>1661</v>
      </c>
      <c r="B21" s="93"/>
      <c r="C21" s="93"/>
      <c r="D21" s="93"/>
      <c r="E21" s="93"/>
      <c r="F21" s="93"/>
      <c r="G21" s="92" t="s">
        <v>1643</v>
      </c>
      <c r="H21" s="126">
        <v>768</v>
      </c>
      <c r="I21" s="126"/>
      <c r="J21" s="118"/>
      <c r="K21" s="118"/>
      <c r="L21" s="118">
        <v>768</v>
      </c>
      <c r="M21" s="98">
        <v>38.4</v>
      </c>
    </row>
    <row r="22" spans="1:13" s="89" customFormat="1" ht="11.1" customHeight="1" outlineLevel="3" collapsed="1" x14ac:dyDescent="0.2">
      <c r="A22" s="93" t="s">
        <v>1766</v>
      </c>
      <c r="B22" s="93"/>
      <c r="C22" s="93"/>
      <c r="D22" s="93"/>
      <c r="E22" s="93"/>
      <c r="F22" s="93"/>
      <c r="G22" s="92" t="s">
        <v>1765</v>
      </c>
      <c r="H22" s="126">
        <v>4860</v>
      </c>
      <c r="I22" s="126"/>
      <c r="J22" s="118"/>
      <c r="K22" s="118"/>
      <c r="L22" s="118">
        <v>4860</v>
      </c>
      <c r="M22" s="98">
        <v>121.5</v>
      </c>
    </row>
    <row r="23" spans="1:13" s="89" customFormat="1" ht="11.1" customHeight="1" outlineLevel="2" x14ac:dyDescent="0.2">
      <c r="A23" s="97" t="s">
        <v>1358</v>
      </c>
      <c r="B23" s="97"/>
      <c r="C23" s="97"/>
      <c r="D23" s="97"/>
      <c r="E23" s="97"/>
      <c r="F23" s="97"/>
      <c r="G23" s="96" t="s">
        <v>1623</v>
      </c>
      <c r="H23" s="125"/>
      <c r="I23" s="125"/>
      <c r="J23" s="117"/>
      <c r="K23" s="117"/>
      <c r="L23" s="117"/>
      <c r="M23" s="99"/>
    </row>
    <row r="24" spans="1:13" s="89" customFormat="1" ht="11.1" customHeight="1" outlineLevel="3" x14ac:dyDescent="0.2">
      <c r="A24" s="93" t="s">
        <v>1674</v>
      </c>
      <c r="B24" s="93"/>
      <c r="C24" s="93"/>
      <c r="D24" s="93"/>
      <c r="E24" s="93"/>
      <c r="F24" s="93"/>
      <c r="G24" s="92" t="s">
        <v>1643</v>
      </c>
      <c r="H24" s="126">
        <v>672</v>
      </c>
      <c r="I24" s="126"/>
      <c r="J24" s="118"/>
      <c r="K24" s="118"/>
      <c r="L24" s="118">
        <v>672</v>
      </c>
      <c r="M24" s="98">
        <v>168</v>
      </c>
    </row>
    <row r="25" spans="1:13" s="89" customFormat="1" ht="11.1" customHeight="1" outlineLevel="3" x14ac:dyDescent="0.2">
      <c r="A25" s="93" t="s">
        <v>1766</v>
      </c>
      <c r="B25" s="93"/>
      <c r="C25" s="93"/>
      <c r="D25" s="93"/>
      <c r="E25" s="93"/>
      <c r="F25" s="93"/>
      <c r="G25" s="92" t="s">
        <v>1765</v>
      </c>
      <c r="H25" s="126">
        <v>528</v>
      </c>
      <c r="I25" s="126"/>
      <c r="J25" s="118">
        <v>12</v>
      </c>
      <c r="K25" s="118">
        <v>12</v>
      </c>
      <c r="L25" s="118">
        <v>504</v>
      </c>
      <c r="M25" s="98">
        <v>1.8</v>
      </c>
    </row>
    <row r="26" spans="1:13" s="89" customFormat="1" ht="11.1" customHeight="1" outlineLevel="3" x14ac:dyDescent="0.2">
      <c r="A26" s="93" t="s">
        <v>1747</v>
      </c>
      <c r="B26" s="93"/>
      <c r="C26" s="93"/>
      <c r="D26" s="93"/>
      <c r="E26" s="93"/>
      <c r="F26" s="93"/>
      <c r="G26" s="92" t="s">
        <v>1744</v>
      </c>
      <c r="H26" s="126">
        <v>48</v>
      </c>
      <c r="I26" s="126"/>
      <c r="J26" s="118"/>
      <c r="K26" s="118"/>
      <c r="L26" s="118">
        <v>48</v>
      </c>
      <c r="M26" s="98">
        <v>6</v>
      </c>
    </row>
    <row r="27" spans="1:13" s="89" customFormat="1" ht="11.1" customHeight="1" outlineLevel="3" collapsed="1" x14ac:dyDescent="0.2">
      <c r="A27" s="100" t="s">
        <v>1838</v>
      </c>
      <c r="B27" s="100"/>
      <c r="C27" s="100"/>
      <c r="D27" s="100"/>
      <c r="E27" s="100"/>
      <c r="F27" s="100"/>
      <c r="G27" s="92" t="s">
        <v>1822</v>
      </c>
      <c r="H27" s="126">
        <v>1128</v>
      </c>
      <c r="I27" s="126"/>
      <c r="J27" s="118">
        <v>252</v>
      </c>
      <c r="K27" s="118">
        <v>12</v>
      </c>
      <c r="L27" s="118">
        <v>864</v>
      </c>
      <c r="M27" s="98">
        <v>0.9</v>
      </c>
    </row>
    <row r="28" spans="1:13" s="89" customFormat="1" ht="11.1" customHeight="1" outlineLevel="2" x14ac:dyDescent="0.2">
      <c r="A28" s="97" t="s">
        <v>1360</v>
      </c>
      <c r="B28" s="97"/>
      <c r="C28" s="97"/>
      <c r="D28" s="97"/>
      <c r="E28" s="97"/>
      <c r="F28" s="97"/>
      <c r="G28" s="96" t="s">
        <v>1623</v>
      </c>
      <c r="H28" s="125"/>
      <c r="I28" s="125"/>
      <c r="J28" s="117"/>
      <c r="K28" s="117"/>
      <c r="L28" s="117"/>
      <c r="M28" s="99"/>
    </row>
    <row r="29" spans="1:13" s="89" customFormat="1" ht="11.1" customHeight="1" outlineLevel="3" x14ac:dyDescent="0.2">
      <c r="A29" s="100" t="s">
        <v>1837</v>
      </c>
      <c r="B29" s="100"/>
      <c r="C29" s="100"/>
      <c r="D29" s="100"/>
      <c r="E29" s="100"/>
      <c r="F29" s="100"/>
      <c r="G29" s="92" t="s">
        <v>1836</v>
      </c>
      <c r="H29" s="126">
        <v>12</v>
      </c>
      <c r="I29" s="126"/>
      <c r="J29" s="118">
        <v>12</v>
      </c>
      <c r="K29" s="118"/>
      <c r="L29" s="118"/>
      <c r="M29" s="90" t="s">
        <v>1620</v>
      </c>
    </row>
    <row r="30" spans="1:13" s="89" customFormat="1" ht="11.1" customHeight="1" outlineLevel="3" collapsed="1" x14ac:dyDescent="0.2">
      <c r="A30" s="100" t="s">
        <v>1838</v>
      </c>
      <c r="B30" s="100"/>
      <c r="C30" s="100"/>
      <c r="D30" s="100"/>
      <c r="E30" s="100"/>
      <c r="F30" s="100"/>
      <c r="G30" s="92" t="s">
        <v>1822</v>
      </c>
      <c r="H30" s="126">
        <v>4404</v>
      </c>
      <c r="I30" s="126"/>
      <c r="J30" s="118">
        <v>216</v>
      </c>
      <c r="K30" s="118">
        <v>12</v>
      </c>
      <c r="L30" s="118">
        <v>4176</v>
      </c>
      <c r="M30" s="98">
        <v>2.9</v>
      </c>
    </row>
    <row r="31" spans="1:13" s="89" customFormat="1" ht="11.1" customHeight="1" outlineLevel="2" x14ac:dyDescent="0.2">
      <c r="A31" s="97" t="s">
        <v>1561</v>
      </c>
      <c r="B31" s="97"/>
      <c r="C31" s="97"/>
      <c r="D31" s="97"/>
      <c r="E31" s="97"/>
      <c r="F31" s="97"/>
      <c r="G31" s="96" t="s">
        <v>1623</v>
      </c>
      <c r="H31" s="125"/>
      <c r="I31" s="125"/>
      <c r="J31" s="117"/>
      <c r="K31" s="117"/>
      <c r="L31" s="117"/>
      <c r="M31" s="99"/>
    </row>
    <row r="32" spans="1:13" s="89" customFormat="1" ht="11.1" customHeight="1" outlineLevel="3" collapsed="1" x14ac:dyDescent="0.2">
      <c r="A32" s="93" t="s">
        <v>1642</v>
      </c>
      <c r="B32" s="93"/>
      <c r="C32" s="93"/>
      <c r="D32" s="93"/>
      <c r="E32" s="93"/>
      <c r="F32" s="93"/>
      <c r="G32" s="92" t="s">
        <v>1641</v>
      </c>
      <c r="H32" s="126">
        <v>180</v>
      </c>
      <c r="I32" s="126"/>
      <c r="J32" s="118"/>
      <c r="K32" s="118"/>
      <c r="L32" s="118">
        <v>180</v>
      </c>
      <c r="M32" s="98">
        <v>9</v>
      </c>
    </row>
    <row r="33" spans="1:13" s="89" customFormat="1" ht="11.1" customHeight="1" outlineLevel="2" x14ac:dyDescent="0.2">
      <c r="A33" s="97" t="s">
        <v>1563</v>
      </c>
      <c r="B33" s="97"/>
      <c r="C33" s="97"/>
      <c r="D33" s="97"/>
      <c r="E33" s="97"/>
      <c r="F33" s="97"/>
      <c r="G33" s="96" t="s">
        <v>1623</v>
      </c>
      <c r="H33" s="125"/>
      <c r="I33" s="125"/>
      <c r="J33" s="117"/>
      <c r="K33" s="117"/>
      <c r="L33" s="117"/>
      <c r="M33" s="99"/>
    </row>
    <row r="34" spans="1:13" s="89" customFormat="1" ht="11.1" customHeight="1" outlineLevel="3" x14ac:dyDescent="0.2">
      <c r="A34" s="93" t="s">
        <v>1642</v>
      </c>
      <c r="B34" s="93"/>
      <c r="C34" s="93"/>
      <c r="D34" s="93"/>
      <c r="E34" s="93"/>
      <c r="F34" s="93"/>
      <c r="G34" s="92" t="s">
        <v>1641</v>
      </c>
      <c r="H34" s="126">
        <v>15</v>
      </c>
      <c r="I34" s="126"/>
      <c r="J34" s="118"/>
      <c r="K34" s="118"/>
      <c r="L34" s="118">
        <v>15</v>
      </c>
      <c r="M34" s="90" t="s">
        <v>1620</v>
      </c>
    </row>
    <row r="35" spans="1:13" s="89" customFormat="1" ht="11.1" customHeight="1" outlineLevel="3" collapsed="1" x14ac:dyDescent="0.2">
      <c r="A35" s="100" t="s">
        <v>1830</v>
      </c>
      <c r="B35" s="100"/>
      <c r="C35" s="100"/>
      <c r="D35" s="100"/>
      <c r="E35" s="100"/>
      <c r="F35" s="100"/>
      <c r="G35" s="92" t="s">
        <v>1829</v>
      </c>
      <c r="H35" s="126">
        <v>4</v>
      </c>
      <c r="I35" s="126"/>
      <c r="J35" s="118"/>
      <c r="K35" s="118"/>
      <c r="L35" s="118">
        <v>4</v>
      </c>
      <c r="M35" s="98">
        <v>12</v>
      </c>
    </row>
    <row r="36" spans="1:13" s="89" customFormat="1" ht="11.1" customHeight="1" outlineLevel="2" x14ac:dyDescent="0.2">
      <c r="A36" s="97" t="s">
        <v>1565</v>
      </c>
      <c r="B36" s="97"/>
      <c r="C36" s="97"/>
      <c r="D36" s="97"/>
      <c r="E36" s="97"/>
      <c r="F36" s="97"/>
      <c r="G36" s="96" t="s">
        <v>1623</v>
      </c>
      <c r="H36" s="125"/>
      <c r="I36" s="125"/>
      <c r="J36" s="117"/>
      <c r="K36" s="117"/>
      <c r="L36" s="117"/>
      <c r="M36" s="99"/>
    </row>
    <row r="37" spans="1:13" s="89" customFormat="1" ht="11.1" customHeight="1" outlineLevel="3" collapsed="1" x14ac:dyDescent="0.2">
      <c r="A37" s="93" t="s">
        <v>1642</v>
      </c>
      <c r="B37" s="93"/>
      <c r="C37" s="93"/>
      <c r="D37" s="93"/>
      <c r="E37" s="93"/>
      <c r="F37" s="93"/>
      <c r="G37" s="92" t="s">
        <v>1641</v>
      </c>
      <c r="H37" s="126">
        <v>140</v>
      </c>
      <c r="I37" s="126"/>
      <c r="J37" s="118"/>
      <c r="K37" s="118"/>
      <c r="L37" s="118">
        <v>140</v>
      </c>
      <c r="M37" s="98">
        <v>7</v>
      </c>
    </row>
    <row r="38" spans="1:13" s="89" customFormat="1" ht="11.1" customHeight="1" outlineLevel="2" x14ac:dyDescent="0.2">
      <c r="A38" s="97" t="s">
        <v>1567</v>
      </c>
      <c r="B38" s="97"/>
      <c r="C38" s="97"/>
      <c r="D38" s="97"/>
      <c r="E38" s="97"/>
      <c r="F38" s="97"/>
      <c r="G38" s="96" t="s">
        <v>1623</v>
      </c>
      <c r="H38" s="125"/>
      <c r="I38" s="125"/>
      <c r="J38" s="117"/>
      <c r="K38" s="117"/>
      <c r="L38" s="117"/>
      <c r="M38" s="99"/>
    </row>
    <row r="39" spans="1:13" s="89" customFormat="1" ht="11.1" customHeight="1" outlineLevel="3" x14ac:dyDescent="0.2">
      <c r="A39" s="93" t="s">
        <v>1642</v>
      </c>
      <c r="B39" s="93"/>
      <c r="C39" s="93"/>
      <c r="D39" s="93"/>
      <c r="E39" s="93"/>
      <c r="F39" s="93"/>
      <c r="G39" s="92" t="s">
        <v>1641</v>
      </c>
      <c r="H39" s="126">
        <v>77</v>
      </c>
      <c r="I39" s="126"/>
      <c r="J39" s="118"/>
      <c r="K39" s="118"/>
      <c r="L39" s="118">
        <v>77</v>
      </c>
      <c r="M39" s="90" t="s">
        <v>1620</v>
      </c>
    </row>
    <row r="40" spans="1:13" s="89" customFormat="1" ht="11.1" customHeight="1" outlineLevel="3" collapsed="1" x14ac:dyDescent="0.2">
      <c r="A40" s="100" t="s">
        <v>1830</v>
      </c>
      <c r="B40" s="100"/>
      <c r="C40" s="100"/>
      <c r="D40" s="100"/>
      <c r="E40" s="100"/>
      <c r="F40" s="100"/>
      <c r="G40" s="92" t="s">
        <v>1829</v>
      </c>
      <c r="H40" s="126">
        <v>45</v>
      </c>
      <c r="I40" s="126"/>
      <c r="J40" s="118"/>
      <c r="K40" s="118">
        <v>1</v>
      </c>
      <c r="L40" s="118">
        <v>44</v>
      </c>
      <c r="M40" s="98">
        <v>2.5</v>
      </c>
    </row>
    <row r="41" spans="1:13" s="89" customFormat="1" ht="11.1" customHeight="1" outlineLevel="2" x14ac:dyDescent="0.2">
      <c r="A41" s="97" t="s">
        <v>1569</v>
      </c>
      <c r="B41" s="97"/>
      <c r="C41" s="97"/>
      <c r="D41" s="97"/>
      <c r="E41" s="97"/>
      <c r="F41" s="97"/>
      <c r="G41" s="96" t="s">
        <v>1623</v>
      </c>
      <c r="H41" s="125"/>
      <c r="I41" s="125"/>
      <c r="J41" s="117"/>
      <c r="K41" s="117"/>
      <c r="L41" s="117"/>
      <c r="M41" s="99"/>
    </row>
    <row r="42" spans="1:13" s="89" customFormat="1" ht="11.1" customHeight="1" outlineLevel="3" x14ac:dyDescent="0.2">
      <c r="A42" s="93" t="s">
        <v>1642</v>
      </c>
      <c r="B42" s="93"/>
      <c r="C42" s="93"/>
      <c r="D42" s="93"/>
      <c r="E42" s="93"/>
      <c r="F42" s="93"/>
      <c r="G42" s="92" t="s">
        <v>1641</v>
      </c>
      <c r="H42" s="126">
        <v>60</v>
      </c>
      <c r="I42" s="126"/>
      <c r="J42" s="118"/>
      <c r="K42" s="118"/>
      <c r="L42" s="118">
        <v>60</v>
      </c>
      <c r="M42" s="98">
        <v>9</v>
      </c>
    </row>
    <row r="43" spans="1:13" s="89" customFormat="1" ht="11.1" customHeight="1" outlineLevel="3" collapsed="1" x14ac:dyDescent="0.2">
      <c r="A43" s="100" t="s">
        <v>1830</v>
      </c>
      <c r="B43" s="100"/>
      <c r="C43" s="100"/>
      <c r="D43" s="100"/>
      <c r="E43" s="100"/>
      <c r="F43" s="100"/>
      <c r="G43" s="92" t="s">
        <v>1829</v>
      </c>
      <c r="H43" s="126">
        <v>100</v>
      </c>
      <c r="I43" s="126"/>
      <c r="J43" s="118"/>
      <c r="K43" s="118"/>
      <c r="L43" s="118">
        <v>100</v>
      </c>
      <c r="M43" s="98">
        <v>0.3</v>
      </c>
    </row>
    <row r="44" spans="1:13" s="89" customFormat="1" ht="11.1" customHeight="1" outlineLevel="2" x14ac:dyDescent="0.2">
      <c r="A44" s="97" t="s">
        <v>1573</v>
      </c>
      <c r="B44" s="97"/>
      <c r="C44" s="97"/>
      <c r="D44" s="97"/>
      <c r="E44" s="97"/>
      <c r="F44" s="97"/>
      <c r="G44" s="96" t="s">
        <v>1623</v>
      </c>
      <c r="H44" s="125"/>
      <c r="I44" s="125"/>
      <c r="J44" s="117"/>
      <c r="K44" s="117"/>
      <c r="L44" s="117"/>
      <c r="M44" s="99"/>
    </row>
    <row r="45" spans="1:13" s="89" customFormat="1" ht="11.1" customHeight="1" outlineLevel="3" collapsed="1" x14ac:dyDescent="0.2">
      <c r="A45" s="93" t="s">
        <v>1642</v>
      </c>
      <c r="B45" s="93"/>
      <c r="C45" s="93"/>
      <c r="D45" s="93"/>
      <c r="E45" s="93"/>
      <c r="F45" s="93"/>
      <c r="G45" s="92" t="s">
        <v>1641</v>
      </c>
      <c r="H45" s="126">
        <v>240</v>
      </c>
      <c r="I45" s="126"/>
      <c r="J45" s="118"/>
      <c r="K45" s="118"/>
      <c r="L45" s="118">
        <v>240</v>
      </c>
      <c r="M45" s="98">
        <v>36</v>
      </c>
    </row>
    <row r="46" spans="1:13" s="89" customFormat="1" ht="11.25" outlineLevel="2" x14ac:dyDescent="0.2">
      <c r="A46" s="97" t="s">
        <v>1378</v>
      </c>
      <c r="B46" s="97"/>
      <c r="C46" s="97"/>
      <c r="D46" s="97"/>
      <c r="E46" s="97"/>
      <c r="F46" s="97"/>
      <c r="G46" s="96" t="s">
        <v>1623</v>
      </c>
      <c r="H46" s="125"/>
      <c r="I46" s="125"/>
      <c r="J46" s="117"/>
      <c r="K46" s="117"/>
      <c r="L46" s="117"/>
      <c r="M46" s="99"/>
    </row>
    <row r="47" spans="1:13" s="89" customFormat="1" ht="11.1" customHeight="1" outlineLevel="3" collapsed="1" x14ac:dyDescent="0.2">
      <c r="A47" s="100" t="s">
        <v>1821</v>
      </c>
      <c r="B47" s="100"/>
      <c r="C47" s="100"/>
      <c r="D47" s="100"/>
      <c r="E47" s="100"/>
      <c r="F47" s="100"/>
      <c r="G47" s="92" t="s">
        <v>1820</v>
      </c>
      <c r="H47" s="126">
        <v>984</v>
      </c>
      <c r="I47" s="126"/>
      <c r="J47" s="118">
        <v>24</v>
      </c>
      <c r="K47" s="118"/>
      <c r="L47" s="118">
        <v>960</v>
      </c>
      <c r="M47" s="98">
        <v>6</v>
      </c>
    </row>
    <row r="48" spans="1:13" s="89" customFormat="1" ht="11.1" customHeight="1" outlineLevel="2" x14ac:dyDescent="0.2">
      <c r="A48" s="97" t="s">
        <v>1382</v>
      </c>
      <c r="B48" s="97"/>
      <c r="C48" s="97"/>
      <c r="D48" s="97"/>
      <c r="E48" s="97"/>
      <c r="F48" s="97"/>
      <c r="G48" s="96" t="s">
        <v>1623</v>
      </c>
      <c r="H48" s="125"/>
      <c r="I48" s="125"/>
      <c r="J48" s="117"/>
      <c r="K48" s="117"/>
      <c r="L48" s="117"/>
      <c r="M48" s="95"/>
    </row>
    <row r="49" spans="1:13" s="89" customFormat="1" ht="11.1" customHeight="1" outlineLevel="3" collapsed="1" x14ac:dyDescent="0.2">
      <c r="A49" s="100" t="s">
        <v>1831</v>
      </c>
      <c r="B49" s="100"/>
      <c r="C49" s="100"/>
      <c r="D49" s="100"/>
      <c r="E49" s="100"/>
      <c r="F49" s="100"/>
      <c r="G49" s="92" t="s">
        <v>1822</v>
      </c>
      <c r="H49" s="126">
        <v>12</v>
      </c>
      <c r="I49" s="126"/>
      <c r="J49" s="118">
        <v>12</v>
      </c>
      <c r="K49" s="118"/>
      <c r="L49" s="118"/>
      <c r="M49" s="91"/>
    </row>
    <row r="50" spans="1:13" s="89" customFormat="1" ht="11.1" customHeight="1" outlineLevel="2" x14ac:dyDescent="0.2">
      <c r="A50" s="97" t="s">
        <v>1617</v>
      </c>
      <c r="B50" s="97"/>
      <c r="C50" s="97"/>
      <c r="D50" s="97"/>
      <c r="E50" s="97"/>
      <c r="F50" s="97"/>
      <c r="G50" s="96" t="s">
        <v>1623</v>
      </c>
      <c r="H50" s="125"/>
      <c r="I50" s="125"/>
      <c r="J50" s="117"/>
      <c r="K50" s="117"/>
      <c r="L50" s="117"/>
      <c r="M50" s="99"/>
    </row>
    <row r="51" spans="1:13" s="89" customFormat="1" ht="11.1" customHeight="1" outlineLevel="3" x14ac:dyDescent="0.2">
      <c r="A51" s="93" t="s">
        <v>1725</v>
      </c>
      <c r="B51" s="93"/>
      <c r="C51" s="93"/>
      <c r="D51" s="93"/>
      <c r="E51" s="93"/>
      <c r="F51" s="93"/>
      <c r="G51" s="92" t="s">
        <v>1687</v>
      </c>
      <c r="H51" s="126">
        <v>359</v>
      </c>
      <c r="I51" s="126"/>
      <c r="J51" s="118"/>
      <c r="K51" s="118"/>
      <c r="L51" s="118">
        <v>359</v>
      </c>
      <c r="M51" s="98">
        <v>18</v>
      </c>
    </row>
    <row r="52" spans="1:13" s="89" customFormat="1" ht="11.1" customHeight="1" outlineLevel="3" x14ac:dyDescent="0.2">
      <c r="A52" s="100" t="s">
        <v>1858</v>
      </c>
      <c r="B52" s="100"/>
      <c r="C52" s="100"/>
      <c r="D52" s="100"/>
      <c r="E52" s="100"/>
      <c r="F52" s="100"/>
      <c r="G52" s="92" t="s">
        <v>1857</v>
      </c>
      <c r="H52" s="126">
        <v>20</v>
      </c>
      <c r="I52" s="126"/>
      <c r="J52" s="118"/>
      <c r="K52" s="118"/>
      <c r="L52" s="118">
        <v>20</v>
      </c>
      <c r="M52" s="90" t="s">
        <v>1620</v>
      </c>
    </row>
    <row r="53" spans="1:13" s="89" customFormat="1" ht="11.1" customHeight="1" outlineLevel="3" collapsed="1" x14ac:dyDescent="0.2">
      <c r="A53" s="100" t="s">
        <v>1830</v>
      </c>
      <c r="B53" s="100"/>
      <c r="C53" s="100"/>
      <c r="D53" s="100"/>
      <c r="E53" s="100"/>
      <c r="F53" s="100"/>
      <c r="G53" s="92" t="s">
        <v>1829</v>
      </c>
      <c r="H53" s="126">
        <v>120</v>
      </c>
      <c r="I53" s="126"/>
      <c r="J53" s="118">
        <v>120</v>
      </c>
      <c r="K53" s="118"/>
      <c r="L53" s="118"/>
      <c r="M53" s="90" t="s">
        <v>1620</v>
      </c>
    </row>
    <row r="54" spans="1:13" s="89" customFormat="1" ht="11.1" customHeight="1" outlineLevel="2" x14ac:dyDescent="0.2">
      <c r="A54" s="97" t="s">
        <v>1390</v>
      </c>
      <c r="B54" s="97"/>
      <c r="C54" s="97"/>
      <c r="D54" s="97"/>
      <c r="E54" s="97"/>
      <c r="F54" s="97"/>
      <c r="G54" s="96" t="s">
        <v>1623</v>
      </c>
      <c r="H54" s="125"/>
      <c r="I54" s="125"/>
      <c r="J54" s="117"/>
      <c r="K54" s="117"/>
      <c r="L54" s="117"/>
      <c r="M54" s="99"/>
    </row>
    <row r="55" spans="1:13" s="89" customFormat="1" ht="11.1" customHeight="1" outlineLevel="3" x14ac:dyDescent="0.2">
      <c r="A55" s="93" t="s">
        <v>1761</v>
      </c>
      <c r="B55" s="93"/>
      <c r="C55" s="93"/>
      <c r="D55" s="93"/>
      <c r="E55" s="93"/>
      <c r="F55" s="93"/>
      <c r="G55" s="92" t="s">
        <v>1760</v>
      </c>
      <c r="H55" s="126">
        <v>40</v>
      </c>
      <c r="I55" s="126"/>
      <c r="J55" s="118">
        <v>20</v>
      </c>
      <c r="K55" s="118"/>
      <c r="L55" s="118">
        <v>20</v>
      </c>
      <c r="M55" s="90" t="s">
        <v>1620</v>
      </c>
    </row>
    <row r="56" spans="1:13" s="89" customFormat="1" ht="11.1" customHeight="1" outlineLevel="3" x14ac:dyDescent="0.2">
      <c r="A56" s="100" t="s">
        <v>1746</v>
      </c>
      <c r="B56" s="100"/>
      <c r="C56" s="100"/>
      <c r="D56" s="100"/>
      <c r="E56" s="100"/>
      <c r="F56" s="100"/>
      <c r="G56" s="92" t="s">
        <v>1740</v>
      </c>
      <c r="H56" s="126">
        <v>180</v>
      </c>
      <c r="I56" s="126"/>
      <c r="J56" s="118"/>
      <c r="K56" s="118"/>
      <c r="L56" s="118">
        <v>180</v>
      </c>
      <c r="M56" s="98">
        <v>0.8</v>
      </c>
    </row>
    <row r="57" spans="1:13" s="89" customFormat="1" ht="11.1" customHeight="1" outlineLevel="3" collapsed="1" x14ac:dyDescent="0.2">
      <c r="A57" s="100" t="s">
        <v>1830</v>
      </c>
      <c r="B57" s="100"/>
      <c r="C57" s="100"/>
      <c r="D57" s="100"/>
      <c r="E57" s="100"/>
      <c r="F57" s="100"/>
      <c r="G57" s="92" t="s">
        <v>1829</v>
      </c>
      <c r="H57" s="126">
        <v>1400</v>
      </c>
      <c r="I57" s="126"/>
      <c r="J57" s="118">
        <v>140</v>
      </c>
      <c r="K57" s="118"/>
      <c r="L57" s="118">
        <v>1260</v>
      </c>
      <c r="M57" s="98">
        <v>1.6</v>
      </c>
    </row>
    <row r="58" spans="1:13" s="89" customFormat="1" ht="11.1" customHeight="1" outlineLevel="2" x14ac:dyDescent="0.2">
      <c r="A58" s="97" t="s">
        <v>1392</v>
      </c>
      <c r="B58" s="97"/>
      <c r="C58" s="97"/>
      <c r="D58" s="97"/>
      <c r="E58" s="97"/>
      <c r="F58" s="97"/>
      <c r="G58" s="96" t="s">
        <v>1623</v>
      </c>
      <c r="H58" s="125"/>
      <c r="I58" s="125"/>
      <c r="J58" s="117"/>
      <c r="K58" s="117"/>
      <c r="L58" s="117"/>
      <c r="M58" s="94"/>
    </row>
    <row r="59" spans="1:13" s="89" customFormat="1" ht="11.1" customHeight="1" outlineLevel="3" collapsed="1" x14ac:dyDescent="0.2">
      <c r="A59" s="93" t="s">
        <v>1867</v>
      </c>
      <c r="B59" s="93"/>
      <c r="C59" s="93"/>
      <c r="D59" s="93"/>
      <c r="E59" s="93"/>
      <c r="F59" s="93"/>
      <c r="G59" s="92" t="s">
        <v>1866</v>
      </c>
      <c r="H59" s="126">
        <v>14</v>
      </c>
      <c r="I59" s="126"/>
      <c r="J59" s="118"/>
      <c r="K59" s="118"/>
      <c r="L59" s="118">
        <v>14</v>
      </c>
      <c r="M59" s="90" t="s">
        <v>1620</v>
      </c>
    </row>
    <row r="60" spans="1:13" s="89" customFormat="1" ht="11.1" customHeight="1" outlineLevel="2" x14ac:dyDescent="0.2">
      <c r="A60" s="97" t="s">
        <v>1396</v>
      </c>
      <c r="B60" s="97"/>
      <c r="C60" s="97"/>
      <c r="D60" s="97"/>
      <c r="E60" s="97"/>
      <c r="F60" s="97"/>
      <c r="G60" s="96" t="s">
        <v>1623</v>
      </c>
      <c r="H60" s="125"/>
      <c r="I60" s="125"/>
      <c r="J60" s="117"/>
      <c r="K60" s="117"/>
      <c r="L60" s="117"/>
      <c r="M60" s="99"/>
    </row>
    <row r="61" spans="1:13" s="89" customFormat="1" ht="11.1" customHeight="1" outlineLevel="3" collapsed="1" x14ac:dyDescent="0.2">
      <c r="A61" s="93" t="s">
        <v>1672</v>
      </c>
      <c r="B61" s="93"/>
      <c r="C61" s="93"/>
      <c r="D61" s="93"/>
      <c r="E61" s="93"/>
      <c r="F61" s="93"/>
      <c r="G61" s="92" t="s">
        <v>1651</v>
      </c>
      <c r="H61" s="126">
        <v>1</v>
      </c>
      <c r="I61" s="126"/>
      <c r="J61" s="118"/>
      <c r="K61" s="118"/>
      <c r="L61" s="118">
        <v>1</v>
      </c>
      <c r="M61" s="98">
        <v>0.1</v>
      </c>
    </row>
    <row r="62" spans="1:13" s="89" customFormat="1" ht="11.1" customHeight="1" outlineLevel="2" x14ac:dyDescent="0.2">
      <c r="A62" s="97" t="s">
        <v>1402</v>
      </c>
      <c r="B62" s="97"/>
      <c r="C62" s="97"/>
      <c r="D62" s="97"/>
      <c r="E62" s="97"/>
      <c r="F62" s="97"/>
      <c r="G62" s="96" t="s">
        <v>1623</v>
      </c>
      <c r="H62" s="125"/>
      <c r="I62" s="125"/>
      <c r="J62" s="117"/>
      <c r="K62" s="117"/>
      <c r="L62" s="117"/>
      <c r="M62" s="99"/>
    </row>
    <row r="63" spans="1:13" s="89" customFormat="1" ht="11.1" customHeight="1" outlineLevel="3" x14ac:dyDescent="0.2">
      <c r="A63" s="93" t="s">
        <v>1644</v>
      </c>
      <c r="B63" s="93"/>
      <c r="C63" s="93"/>
      <c r="D63" s="93"/>
      <c r="E63" s="93"/>
      <c r="F63" s="93"/>
      <c r="G63" s="92" t="s">
        <v>1643</v>
      </c>
      <c r="H63" s="126">
        <v>324</v>
      </c>
      <c r="I63" s="126"/>
      <c r="J63" s="118">
        <v>120</v>
      </c>
      <c r="K63" s="118"/>
      <c r="L63" s="118">
        <v>204</v>
      </c>
      <c r="M63" s="98">
        <v>2.7</v>
      </c>
    </row>
    <row r="64" spans="1:13" s="89" customFormat="1" ht="11.1" customHeight="1" outlineLevel="3" collapsed="1" x14ac:dyDescent="0.2">
      <c r="A64" s="100" t="s">
        <v>1828</v>
      </c>
      <c r="B64" s="100"/>
      <c r="C64" s="100"/>
      <c r="D64" s="100"/>
      <c r="E64" s="100"/>
      <c r="F64" s="100"/>
      <c r="G64" s="92" t="s">
        <v>1824</v>
      </c>
      <c r="H64" s="126">
        <v>2340</v>
      </c>
      <c r="I64" s="126"/>
      <c r="J64" s="118">
        <v>60</v>
      </c>
      <c r="K64" s="118"/>
      <c r="L64" s="118">
        <v>2280</v>
      </c>
      <c r="M64" s="98">
        <v>5.4</v>
      </c>
    </row>
    <row r="65" spans="1:13" s="89" customFormat="1" ht="11.1" customHeight="1" outlineLevel="2" x14ac:dyDescent="0.2">
      <c r="A65" s="97" t="s">
        <v>1602</v>
      </c>
      <c r="B65" s="97"/>
      <c r="C65" s="97"/>
      <c r="D65" s="97"/>
      <c r="E65" s="97"/>
      <c r="F65" s="97"/>
      <c r="G65" s="96" t="s">
        <v>1623</v>
      </c>
      <c r="H65" s="125"/>
      <c r="I65" s="125"/>
      <c r="J65" s="117"/>
      <c r="K65" s="117"/>
      <c r="L65" s="117"/>
      <c r="M65" s="99"/>
    </row>
    <row r="66" spans="1:13" s="89" customFormat="1" ht="11.1" customHeight="1" outlineLevel="3" x14ac:dyDescent="0.2">
      <c r="A66" s="93" t="s">
        <v>1724</v>
      </c>
      <c r="B66" s="93"/>
      <c r="C66" s="93"/>
      <c r="D66" s="93"/>
      <c r="E66" s="93"/>
      <c r="F66" s="93"/>
      <c r="G66" s="92" t="s">
        <v>1651</v>
      </c>
      <c r="H66" s="126">
        <v>5</v>
      </c>
      <c r="I66" s="126"/>
      <c r="J66" s="118"/>
      <c r="K66" s="118"/>
      <c r="L66" s="118">
        <v>5</v>
      </c>
      <c r="M66" s="90" t="s">
        <v>1620</v>
      </c>
    </row>
    <row r="67" spans="1:13" s="89" customFormat="1" ht="11.1" customHeight="1" outlineLevel="3" collapsed="1" x14ac:dyDescent="0.2">
      <c r="A67" s="100" t="s">
        <v>1832</v>
      </c>
      <c r="B67" s="100"/>
      <c r="C67" s="100"/>
      <c r="D67" s="100"/>
      <c r="E67" s="100"/>
      <c r="F67" s="100"/>
      <c r="G67" s="92" t="s">
        <v>1822</v>
      </c>
      <c r="H67" s="126">
        <v>12</v>
      </c>
      <c r="I67" s="126"/>
      <c r="J67" s="118">
        <v>12</v>
      </c>
      <c r="K67" s="118"/>
      <c r="L67" s="118"/>
      <c r="M67" s="91"/>
    </row>
    <row r="68" spans="1:13" s="89" customFormat="1" ht="11.1" customHeight="1" outlineLevel="2" x14ac:dyDescent="0.2">
      <c r="A68" s="97" t="s">
        <v>1411</v>
      </c>
      <c r="B68" s="97"/>
      <c r="C68" s="97"/>
      <c r="D68" s="97"/>
      <c r="E68" s="97"/>
      <c r="F68" s="97"/>
      <c r="G68" s="96" t="s">
        <v>1623</v>
      </c>
      <c r="H68" s="125"/>
      <c r="I68" s="125"/>
      <c r="J68" s="117"/>
      <c r="K68" s="117"/>
      <c r="L68" s="117"/>
      <c r="M68" s="94"/>
    </row>
    <row r="69" spans="1:13" s="89" customFormat="1" ht="11.1" customHeight="1" outlineLevel="3" x14ac:dyDescent="0.2">
      <c r="A69" s="100" t="s">
        <v>1856</v>
      </c>
      <c r="B69" s="100"/>
      <c r="C69" s="100"/>
      <c r="D69" s="100"/>
      <c r="E69" s="100"/>
      <c r="F69" s="100"/>
      <c r="G69" s="92" t="s">
        <v>1829</v>
      </c>
      <c r="H69" s="126">
        <v>1140</v>
      </c>
      <c r="I69" s="126"/>
      <c r="J69" s="118">
        <v>1140</v>
      </c>
      <c r="K69" s="118"/>
      <c r="L69" s="118"/>
      <c r="M69" s="90" t="s">
        <v>1620</v>
      </c>
    </row>
    <row r="70" spans="1:13" s="89" customFormat="1" ht="11.1" customHeight="1" outlineLevel="3" x14ac:dyDescent="0.2">
      <c r="A70" s="100" t="s">
        <v>1813</v>
      </c>
      <c r="B70" s="100"/>
      <c r="C70" s="100"/>
      <c r="D70" s="100"/>
      <c r="E70" s="100"/>
      <c r="F70" s="100"/>
      <c r="G70" s="92" t="s">
        <v>1811</v>
      </c>
      <c r="H70" s="126">
        <v>36</v>
      </c>
      <c r="I70" s="126"/>
      <c r="J70" s="118">
        <v>36</v>
      </c>
      <c r="K70" s="118"/>
      <c r="L70" s="118"/>
      <c r="M70" s="90" t="s">
        <v>1620</v>
      </c>
    </row>
    <row r="71" spans="1:13" s="89" customFormat="1" ht="11.1" customHeight="1" outlineLevel="3" collapsed="1" x14ac:dyDescent="0.2">
      <c r="A71" s="100" t="s">
        <v>1827</v>
      </c>
      <c r="B71" s="100"/>
      <c r="C71" s="100"/>
      <c r="D71" s="100"/>
      <c r="E71" s="100"/>
      <c r="F71" s="100"/>
      <c r="G71" s="92" t="s">
        <v>1826</v>
      </c>
      <c r="H71" s="126">
        <v>12</v>
      </c>
      <c r="I71" s="126"/>
      <c r="J71" s="118">
        <v>12</v>
      </c>
      <c r="K71" s="118"/>
      <c r="L71" s="118"/>
      <c r="M71" s="90" t="s">
        <v>1620</v>
      </c>
    </row>
    <row r="72" spans="1:13" s="89" customFormat="1" ht="11.1" customHeight="1" outlineLevel="2" x14ac:dyDescent="0.2">
      <c r="A72" s="97" t="s">
        <v>1413</v>
      </c>
      <c r="B72" s="97"/>
      <c r="C72" s="97"/>
      <c r="D72" s="97"/>
      <c r="E72" s="97"/>
      <c r="F72" s="97"/>
      <c r="G72" s="96" t="s">
        <v>1623</v>
      </c>
      <c r="H72" s="125"/>
      <c r="I72" s="125"/>
      <c r="J72" s="117"/>
      <c r="K72" s="117"/>
      <c r="L72" s="117"/>
      <c r="M72" s="99"/>
    </row>
    <row r="73" spans="1:13" s="89" customFormat="1" ht="11.1" customHeight="1" outlineLevel="3" x14ac:dyDescent="0.2">
      <c r="A73" s="100" t="s">
        <v>1825</v>
      </c>
      <c r="B73" s="100"/>
      <c r="C73" s="100"/>
      <c r="D73" s="100"/>
      <c r="E73" s="100"/>
      <c r="F73" s="100"/>
      <c r="G73" s="92" t="s">
        <v>1824</v>
      </c>
      <c r="H73" s="126">
        <v>12</v>
      </c>
      <c r="I73" s="126"/>
      <c r="J73" s="118"/>
      <c r="K73" s="118"/>
      <c r="L73" s="118">
        <v>12</v>
      </c>
      <c r="M73" s="90" t="s">
        <v>1620</v>
      </c>
    </row>
    <row r="74" spans="1:13" s="89" customFormat="1" ht="11.1" customHeight="1" outlineLevel="3" collapsed="1" x14ac:dyDescent="0.2">
      <c r="A74" s="100" t="s">
        <v>1823</v>
      </c>
      <c r="B74" s="100"/>
      <c r="C74" s="100"/>
      <c r="D74" s="100"/>
      <c r="E74" s="100"/>
      <c r="F74" s="100"/>
      <c r="G74" s="92" t="s">
        <v>1822</v>
      </c>
      <c r="H74" s="126">
        <v>744</v>
      </c>
      <c r="I74" s="126"/>
      <c r="J74" s="118">
        <v>336</v>
      </c>
      <c r="K74" s="118"/>
      <c r="L74" s="118">
        <v>408</v>
      </c>
      <c r="M74" s="98">
        <v>2.5</v>
      </c>
    </row>
    <row r="75" spans="1:13" s="89" customFormat="1" ht="11.1" customHeight="1" outlineLevel="2" x14ac:dyDescent="0.2">
      <c r="A75" s="97" t="s">
        <v>1415</v>
      </c>
      <c r="B75" s="97"/>
      <c r="C75" s="97"/>
      <c r="D75" s="97"/>
      <c r="E75" s="97"/>
      <c r="F75" s="97"/>
      <c r="G75" s="96" t="s">
        <v>1623</v>
      </c>
      <c r="H75" s="125"/>
      <c r="I75" s="125"/>
      <c r="J75" s="117"/>
      <c r="K75" s="117"/>
      <c r="L75" s="117"/>
      <c r="M75" s="94"/>
    </row>
    <row r="76" spans="1:13" s="89" customFormat="1" ht="11.1" customHeight="1" outlineLevel="3" collapsed="1" x14ac:dyDescent="0.2">
      <c r="A76" s="100" t="s">
        <v>1823</v>
      </c>
      <c r="B76" s="100"/>
      <c r="C76" s="100"/>
      <c r="D76" s="100"/>
      <c r="E76" s="100"/>
      <c r="F76" s="100"/>
      <c r="G76" s="92" t="s">
        <v>1822</v>
      </c>
      <c r="H76" s="126">
        <v>12</v>
      </c>
      <c r="I76" s="126"/>
      <c r="J76" s="118">
        <v>12</v>
      </c>
      <c r="K76" s="118"/>
      <c r="L76" s="118"/>
      <c r="M76" s="90" t="s">
        <v>1620</v>
      </c>
    </row>
    <row r="77" spans="1:13" s="89" customFormat="1" ht="11.1" customHeight="1" outlineLevel="2" x14ac:dyDescent="0.2">
      <c r="A77" s="97" t="s">
        <v>1419</v>
      </c>
      <c r="B77" s="97"/>
      <c r="C77" s="97"/>
      <c r="D77" s="97"/>
      <c r="E77" s="97"/>
      <c r="F77" s="97"/>
      <c r="G77" s="96" t="s">
        <v>1623</v>
      </c>
      <c r="H77" s="125"/>
      <c r="I77" s="125"/>
      <c r="J77" s="117"/>
      <c r="K77" s="117"/>
      <c r="L77" s="117"/>
      <c r="M77" s="99"/>
    </row>
    <row r="78" spans="1:13" s="89" customFormat="1" ht="11.1" customHeight="1" outlineLevel="3" collapsed="1" x14ac:dyDescent="0.2">
      <c r="A78" s="93" t="s">
        <v>1646</v>
      </c>
      <c r="B78" s="93"/>
      <c r="C78" s="93"/>
      <c r="D78" s="93"/>
      <c r="E78" s="93"/>
      <c r="F78" s="93"/>
      <c r="G78" s="92" t="s">
        <v>1645</v>
      </c>
      <c r="H78" s="126">
        <v>1236</v>
      </c>
      <c r="I78" s="126"/>
      <c r="J78" s="118"/>
      <c r="K78" s="118"/>
      <c r="L78" s="118">
        <v>1236</v>
      </c>
      <c r="M78" s="98">
        <v>8.1</v>
      </c>
    </row>
    <row r="79" spans="1:13" s="89" customFormat="1" ht="11.1" customHeight="1" outlineLevel="2" x14ac:dyDescent="0.2">
      <c r="A79" s="97" t="s">
        <v>1439</v>
      </c>
      <c r="B79" s="97"/>
      <c r="C79" s="97"/>
      <c r="D79" s="97"/>
      <c r="E79" s="97"/>
      <c r="F79" s="97"/>
      <c r="G79" s="96" t="s">
        <v>1623</v>
      </c>
      <c r="H79" s="125"/>
      <c r="I79" s="125"/>
      <c r="J79" s="117"/>
      <c r="K79" s="117"/>
      <c r="L79" s="117"/>
      <c r="M79" s="99"/>
    </row>
    <row r="80" spans="1:13" s="89" customFormat="1" ht="11.1" customHeight="1" outlineLevel="3" x14ac:dyDescent="0.2">
      <c r="A80" s="93" t="s">
        <v>1664</v>
      </c>
      <c r="B80" s="93"/>
      <c r="C80" s="93"/>
      <c r="D80" s="93"/>
      <c r="E80" s="93"/>
      <c r="F80" s="93"/>
      <c r="G80" s="92" t="s">
        <v>1641</v>
      </c>
      <c r="H80" s="126">
        <v>312</v>
      </c>
      <c r="I80" s="126"/>
      <c r="J80" s="118"/>
      <c r="K80" s="118"/>
      <c r="L80" s="118">
        <v>312</v>
      </c>
      <c r="M80" s="90" t="s">
        <v>1620</v>
      </c>
    </row>
    <row r="81" spans="1:13" s="89" customFormat="1" ht="11.1" customHeight="1" outlineLevel="3" collapsed="1" x14ac:dyDescent="0.2">
      <c r="A81" s="100" t="s">
        <v>1821</v>
      </c>
      <c r="B81" s="100"/>
      <c r="C81" s="100"/>
      <c r="D81" s="100"/>
      <c r="E81" s="100"/>
      <c r="F81" s="100"/>
      <c r="G81" s="92" t="s">
        <v>1820</v>
      </c>
      <c r="H81" s="126">
        <v>384</v>
      </c>
      <c r="I81" s="126"/>
      <c r="J81" s="118"/>
      <c r="K81" s="118"/>
      <c r="L81" s="118">
        <v>384</v>
      </c>
      <c r="M81" s="98">
        <v>8</v>
      </c>
    </row>
    <row r="82" spans="1:13" s="89" customFormat="1" ht="11.1" customHeight="1" outlineLevel="2" x14ac:dyDescent="0.2">
      <c r="A82" s="97" t="s">
        <v>1441</v>
      </c>
      <c r="B82" s="97"/>
      <c r="C82" s="97"/>
      <c r="D82" s="97"/>
      <c r="E82" s="97"/>
      <c r="F82" s="97"/>
      <c r="G82" s="96" t="s">
        <v>1623</v>
      </c>
      <c r="H82" s="125"/>
      <c r="I82" s="125"/>
      <c r="J82" s="117"/>
      <c r="K82" s="117"/>
      <c r="L82" s="117"/>
      <c r="M82" s="99"/>
    </row>
    <row r="83" spans="1:13" s="89" customFormat="1" ht="11.1" customHeight="1" outlineLevel="3" x14ac:dyDescent="0.2">
      <c r="A83" s="93" t="s">
        <v>1723</v>
      </c>
      <c r="B83" s="93"/>
      <c r="C83" s="93"/>
      <c r="D83" s="93"/>
      <c r="E83" s="93"/>
      <c r="F83" s="93"/>
      <c r="G83" s="92" t="s">
        <v>1722</v>
      </c>
      <c r="H83" s="126">
        <v>48</v>
      </c>
      <c r="I83" s="126"/>
      <c r="J83" s="118"/>
      <c r="K83" s="118"/>
      <c r="L83" s="118">
        <v>48</v>
      </c>
      <c r="M83" s="98">
        <v>6</v>
      </c>
    </row>
    <row r="84" spans="1:13" s="89" customFormat="1" ht="11.1" customHeight="1" outlineLevel="3" collapsed="1" x14ac:dyDescent="0.2">
      <c r="A84" s="93" t="s">
        <v>1736</v>
      </c>
      <c r="B84" s="93"/>
      <c r="C84" s="93"/>
      <c r="D84" s="93"/>
      <c r="E84" s="93"/>
      <c r="F84" s="93"/>
      <c r="G84" s="92" t="s">
        <v>1735</v>
      </c>
      <c r="H84" s="126">
        <v>1032</v>
      </c>
      <c r="I84" s="126"/>
      <c r="J84" s="118"/>
      <c r="K84" s="118"/>
      <c r="L84" s="118">
        <v>1032</v>
      </c>
      <c r="M84" s="90" t="s">
        <v>1620</v>
      </c>
    </row>
    <row r="85" spans="1:13" s="89" customFormat="1" ht="11.1" customHeight="1" outlineLevel="2" x14ac:dyDescent="0.2">
      <c r="A85" s="97" t="s">
        <v>1449</v>
      </c>
      <c r="B85" s="97"/>
      <c r="C85" s="97"/>
      <c r="D85" s="97"/>
      <c r="E85" s="97"/>
      <c r="F85" s="97"/>
      <c r="G85" s="96" t="s">
        <v>1623</v>
      </c>
      <c r="H85" s="125"/>
      <c r="I85" s="125"/>
      <c r="J85" s="117"/>
      <c r="K85" s="117"/>
      <c r="L85" s="117"/>
      <c r="M85" s="99"/>
    </row>
    <row r="86" spans="1:13" s="89" customFormat="1" ht="11.1" customHeight="1" outlineLevel="3" x14ac:dyDescent="0.2">
      <c r="A86" s="93" t="s">
        <v>1679</v>
      </c>
      <c r="B86" s="93"/>
      <c r="C86" s="93"/>
      <c r="D86" s="93"/>
      <c r="E86" s="93"/>
      <c r="F86" s="93"/>
      <c r="G86" s="92" t="s">
        <v>1678</v>
      </c>
      <c r="H86" s="126">
        <v>100</v>
      </c>
      <c r="I86" s="126"/>
      <c r="J86" s="118"/>
      <c r="K86" s="118"/>
      <c r="L86" s="118">
        <v>100</v>
      </c>
      <c r="M86" s="90" t="s">
        <v>1620</v>
      </c>
    </row>
    <row r="87" spans="1:13" s="89" customFormat="1" ht="11.1" customHeight="1" outlineLevel="3" collapsed="1" x14ac:dyDescent="0.2">
      <c r="A87" s="93" t="s">
        <v>1736</v>
      </c>
      <c r="B87" s="93"/>
      <c r="C87" s="93"/>
      <c r="D87" s="93"/>
      <c r="E87" s="93"/>
      <c r="F87" s="93"/>
      <c r="G87" s="92" t="s">
        <v>1735</v>
      </c>
      <c r="H87" s="126">
        <v>300</v>
      </c>
      <c r="I87" s="126"/>
      <c r="J87" s="118"/>
      <c r="K87" s="118"/>
      <c r="L87" s="118">
        <v>300</v>
      </c>
      <c r="M87" s="98">
        <v>15</v>
      </c>
    </row>
    <row r="88" spans="1:13" s="89" customFormat="1" ht="11.1" customHeight="1" outlineLevel="2" x14ac:dyDescent="0.2">
      <c r="A88" s="97" t="s">
        <v>1457</v>
      </c>
      <c r="B88" s="97"/>
      <c r="C88" s="97"/>
      <c r="D88" s="97"/>
      <c r="E88" s="97"/>
      <c r="F88" s="97"/>
      <c r="G88" s="96" t="s">
        <v>1623</v>
      </c>
      <c r="H88" s="125"/>
      <c r="I88" s="125"/>
      <c r="J88" s="117"/>
      <c r="K88" s="117"/>
      <c r="L88" s="117"/>
      <c r="M88" s="99"/>
    </row>
    <row r="89" spans="1:13" s="89" customFormat="1" ht="11.1" customHeight="1" outlineLevel="3" x14ac:dyDescent="0.2">
      <c r="A89" s="93" t="s">
        <v>1721</v>
      </c>
      <c r="B89" s="93"/>
      <c r="C89" s="93"/>
      <c r="D89" s="93"/>
      <c r="E89" s="93"/>
      <c r="F89" s="93"/>
      <c r="G89" s="92" t="s">
        <v>1720</v>
      </c>
      <c r="H89" s="126">
        <v>6888</v>
      </c>
      <c r="I89" s="126"/>
      <c r="J89" s="118">
        <v>96</v>
      </c>
      <c r="K89" s="118"/>
      <c r="L89" s="118">
        <v>6792</v>
      </c>
      <c r="M89" s="98">
        <v>8.9</v>
      </c>
    </row>
    <row r="90" spans="1:13" s="89" customFormat="1" ht="11.1" customHeight="1" outlineLevel="3" collapsed="1" x14ac:dyDescent="0.2">
      <c r="A90" s="100" t="s">
        <v>1865</v>
      </c>
      <c r="B90" s="100"/>
      <c r="C90" s="100"/>
      <c r="D90" s="100"/>
      <c r="E90" s="100"/>
      <c r="F90" s="100"/>
      <c r="G90" s="92" t="s">
        <v>1864</v>
      </c>
      <c r="H90" s="126">
        <v>1872</v>
      </c>
      <c r="I90" s="126"/>
      <c r="J90" s="118"/>
      <c r="K90" s="118"/>
      <c r="L90" s="118">
        <v>1872</v>
      </c>
      <c r="M90" s="98">
        <v>9.8000000000000007</v>
      </c>
    </row>
    <row r="91" spans="1:13" s="89" customFormat="1" ht="11.1" customHeight="1" outlineLevel="2" x14ac:dyDescent="0.2">
      <c r="A91" s="97" t="s">
        <v>1465</v>
      </c>
      <c r="B91" s="97"/>
      <c r="C91" s="97"/>
      <c r="D91" s="97"/>
      <c r="E91" s="97"/>
      <c r="F91" s="97"/>
      <c r="G91" s="96" t="s">
        <v>1623</v>
      </c>
      <c r="H91" s="125"/>
      <c r="I91" s="125"/>
      <c r="J91" s="117"/>
      <c r="K91" s="117"/>
      <c r="L91" s="117"/>
      <c r="M91" s="94"/>
    </row>
    <row r="92" spans="1:13" s="89" customFormat="1" ht="11.1" customHeight="1" outlineLevel="3" collapsed="1" x14ac:dyDescent="0.2">
      <c r="A92" s="100" t="s">
        <v>1741</v>
      </c>
      <c r="B92" s="100"/>
      <c r="C92" s="100"/>
      <c r="D92" s="100"/>
      <c r="E92" s="100"/>
      <c r="F92" s="100"/>
      <c r="G92" s="92" t="s">
        <v>1740</v>
      </c>
      <c r="H92" s="126">
        <v>168</v>
      </c>
      <c r="I92" s="126"/>
      <c r="J92" s="118">
        <v>168</v>
      </c>
      <c r="K92" s="118"/>
      <c r="L92" s="118"/>
      <c r="M92" s="90" t="s">
        <v>1620</v>
      </c>
    </row>
    <row r="93" spans="1:13" s="89" customFormat="1" ht="11.1" customHeight="1" outlineLevel="2" x14ac:dyDescent="0.2">
      <c r="A93" s="97" t="s">
        <v>1477</v>
      </c>
      <c r="B93" s="97"/>
      <c r="C93" s="97"/>
      <c r="D93" s="97"/>
      <c r="E93" s="97"/>
      <c r="F93" s="97"/>
      <c r="G93" s="96" t="s">
        <v>1623</v>
      </c>
      <c r="H93" s="125"/>
      <c r="I93" s="125"/>
      <c r="J93" s="117"/>
      <c r="K93" s="117"/>
      <c r="L93" s="117"/>
      <c r="M93" s="99"/>
    </row>
    <row r="94" spans="1:13" s="89" customFormat="1" ht="11.1" customHeight="1" outlineLevel="3" collapsed="1" x14ac:dyDescent="0.2">
      <c r="A94" s="100" t="s">
        <v>1758</v>
      </c>
      <c r="B94" s="100"/>
      <c r="C94" s="100"/>
      <c r="D94" s="100"/>
      <c r="E94" s="100"/>
      <c r="F94" s="100"/>
      <c r="G94" s="92" t="s">
        <v>1742</v>
      </c>
      <c r="H94" s="126">
        <v>40</v>
      </c>
      <c r="I94" s="126"/>
      <c r="J94" s="118"/>
      <c r="K94" s="118"/>
      <c r="L94" s="118">
        <v>40</v>
      </c>
      <c r="M94" s="98">
        <v>3</v>
      </c>
    </row>
    <row r="95" spans="1:13" s="89" customFormat="1" ht="11.1" customHeight="1" outlineLevel="2" x14ac:dyDescent="0.2">
      <c r="A95" s="97" t="s">
        <v>1479</v>
      </c>
      <c r="B95" s="97"/>
      <c r="C95" s="97"/>
      <c r="D95" s="97"/>
      <c r="E95" s="97"/>
      <c r="F95" s="97"/>
      <c r="G95" s="96" t="s">
        <v>1623</v>
      </c>
      <c r="H95" s="125"/>
      <c r="I95" s="125"/>
      <c r="J95" s="117"/>
      <c r="K95" s="117"/>
      <c r="L95" s="117"/>
      <c r="M95" s="99"/>
    </row>
    <row r="96" spans="1:13" s="89" customFormat="1" ht="11.1" customHeight="1" outlineLevel="3" x14ac:dyDescent="0.2">
      <c r="A96" s="93" t="s">
        <v>1640</v>
      </c>
      <c r="B96" s="93"/>
      <c r="C96" s="93"/>
      <c r="D96" s="93"/>
      <c r="E96" s="93"/>
      <c r="F96" s="93"/>
      <c r="G96" s="92" t="s">
        <v>1639</v>
      </c>
      <c r="H96" s="126">
        <v>3296</v>
      </c>
      <c r="I96" s="126"/>
      <c r="J96" s="118">
        <v>120</v>
      </c>
      <c r="K96" s="118"/>
      <c r="L96" s="118">
        <v>3176</v>
      </c>
      <c r="M96" s="98">
        <v>4.5</v>
      </c>
    </row>
    <row r="97" spans="1:13" s="89" customFormat="1" ht="11.1" customHeight="1" outlineLevel="3" collapsed="1" x14ac:dyDescent="0.2">
      <c r="A97" s="93" t="s">
        <v>1667</v>
      </c>
      <c r="B97" s="93"/>
      <c r="C97" s="93"/>
      <c r="D97" s="93"/>
      <c r="E97" s="93"/>
      <c r="F97" s="93"/>
      <c r="G97" s="92" t="s">
        <v>1666</v>
      </c>
      <c r="H97" s="126">
        <v>16</v>
      </c>
      <c r="I97" s="126"/>
      <c r="J97" s="118"/>
      <c r="K97" s="118"/>
      <c r="L97" s="118">
        <v>16</v>
      </c>
      <c r="M97" s="98">
        <v>2</v>
      </c>
    </row>
    <row r="98" spans="1:13" ht="11.1" customHeight="1" outlineLevel="1" x14ac:dyDescent="0.2">
      <c r="A98" s="102" t="s">
        <v>1817</v>
      </c>
      <c r="B98" s="102"/>
      <c r="C98" s="102"/>
      <c r="D98" s="102"/>
      <c r="E98" s="102"/>
      <c r="F98" s="102"/>
      <c r="G98" s="102"/>
      <c r="H98" s="124"/>
      <c r="I98" s="124"/>
      <c r="J98" s="116"/>
      <c r="K98" s="116"/>
      <c r="L98" s="116"/>
      <c r="M98" s="129"/>
    </row>
    <row r="99" spans="1:13" s="89" customFormat="1" ht="11.1" customHeight="1" outlineLevel="2" x14ac:dyDescent="0.2">
      <c r="A99" s="97" t="s">
        <v>1345</v>
      </c>
      <c r="B99" s="97"/>
      <c r="C99" s="97"/>
      <c r="D99" s="97"/>
      <c r="E99" s="97"/>
      <c r="F99" s="97"/>
      <c r="G99" s="96" t="s">
        <v>1623</v>
      </c>
      <c r="H99" s="125"/>
      <c r="I99" s="125"/>
      <c r="J99" s="117"/>
      <c r="K99" s="117"/>
      <c r="L99" s="117"/>
      <c r="M99" s="94"/>
    </row>
    <row r="100" spans="1:13" s="89" customFormat="1" ht="11.1" customHeight="1" outlineLevel="3" collapsed="1" x14ac:dyDescent="0.2">
      <c r="A100" s="93" t="s">
        <v>1688</v>
      </c>
      <c r="B100" s="93"/>
      <c r="C100" s="93"/>
      <c r="D100" s="93"/>
      <c r="E100" s="93"/>
      <c r="F100" s="93"/>
      <c r="G100" s="92" t="s">
        <v>1687</v>
      </c>
      <c r="H100" s="126">
        <v>120</v>
      </c>
      <c r="I100" s="126"/>
      <c r="J100" s="118"/>
      <c r="K100" s="118"/>
      <c r="L100" s="118">
        <v>120</v>
      </c>
      <c r="M100" s="90" t="s">
        <v>1620</v>
      </c>
    </row>
    <row r="101" spans="1:13" s="89" customFormat="1" ht="11.1" customHeight="1" outlineLevel="2" x14ac:dyDescent="0.2">
      <c r="A101" s="97" t="s">
        <v>1376</v>
      </c>
      <c r="B101" s="97"/>
      <c r="C101" s="97"/>
      <c r="D101" s="97"/>
      <c r="E101" s="97"/>
      <c r="F101" s="97"/>
      <c r="G101" s="96" t="s">
        <v>1623</v>
      </c>
      <c r="H101" s="125"/>
      <c r="I101" s="125"/>
      <c r="J101" s="117"/>
      <c r="K101" s="117"/>
      <c r="L101" s="117"/>
      <c r="M101" s="94"/>
    </row>
    <row r="102" spans="1:13" s="89" customFormat="1" ht="11.1" customHeight="1" outlineLevel="3" collapsed="1" x14ac:dyDescent="0.2">
      <c r="A102" s="93" t="s">
        <v>1719</v>
      </c>
      <c r="B102" s="93"/>
      <c r="C102" s="93"/>
      <c r="D102" s="93"/>
      <c r="E102" s="93"/>
      <c r="F102" s="93"/>
      <c r="G102" s="92" t="s">
        <v>1718</v>
      </c>
      <c r="H102" s="126">
        <v>24</v>
      </c>
      <c r="I102" s="126"/>
      <c r="J102" s="118"/>
      <c r="K102" s="118"/>
      <c r="L102" s="118">
        <v>24</v>
      </c>
      <c r="M102" s="90" t="s">
        <v>1620</v>
      </c>
    </row>
    <row r="103" spans="1:13" s="89" customFormat="1" ht="11.1" customHeight="1" outlineLevel="2" x14ac:dyDescent="0.2">
      <c r="A103" s="97" t="s">
        <v>1386</v>
      </c>
      <c r="B103" s="97"/>
      <c r="C103" s="97"/>
      <c r="D103" s="97"/>
      <c r="E103" s="97"/>
      <c r="F103" s="97"/>
      <c r="G103" s="96" t="s">
        <v>1623</v>
      </c>
      <c r="H103" s="125"/>
      <c r="I103" s="125"/>
      <c r="J103" s="117"/>
      <c r="K103" s="117"/>
      <c r="L103" s="117"/>
      <c r="M103" s="94"/>
    </row>
    <row r="104" spans="1:13" s="89" customFormat="1" ht="11.1" customHeight="1" outlineLevel="3" collapsed="1" x14ac:dyDescent="0.2">
      <c r="A104" s="93" t="s">
        <v>1816</v>
      </c>
      <c r="B104" s="93"/>
      <c r="C104" s="93"/>
      <c r="D104" s="93"/>
      <c r="E104" s="93"/>
      <c r="F104" s="93"/>
      <c r="G104" s="92" t="s">
        <v>1649</v>
      </c>
      <c r="H104" s="126">
        <v>2</v>
      </c>
      <c r="I104" s="126"/>
      <c r="J104" s="118"/>
      <c r="K104" s="118"/>
      <c r="L104" s="118">
        <v>2</v>
      </c>
      <c r="M104" s="90" t="s">
        <v>1620</v>
      </c>
    </row>
    <row r="105" spans="1:13" s="89" customFormat="1" ht="11.1" customHeight="1" outlineLevel="2" x14ac:dyDescent="0.2">
      <c r="A105" s="97" t="s">
        <v>1390</v>
      </c>
      <c r="B105" s="97"/>
      <c r="C105" s="97"/>
      <c r="D105" s="97"/>
      <c r="E105" s="97"/>
      <c r="F105" s="97"/>
      <c r="G105" s="96" t="s">
        <v>1623</v>
      </c>
      <c r="H105" s="125"/>
      <c r="I105" s="125"/>
      <c r="J105" s="117"/>
      <c r="K105" s="117"/>
      <c r="L105" s="117"/>
      <c r="M105" s="99"/>
    </row>
    <row r="106" spans="1:13" s="89" customFormat="1" ht="11.1" customHeight="1" outlineLevel="3" collapsed="1" x14ac:dyDescent="0.2">
      <c r="A106" s="93" t="s">
        <v>1699</v>
      </c>
      <c r="B106" s="93"/>
      <c r="C106" s="93"/>
      <c r="D106" s="93"/>
      <c r="E106" s="93"/>
      <c r="F106" s="93"/>
      <c r="G106" s="92" t="s">
        <v>1698</v>
      </c>
      <c r="H106" s="126">
        <v>20</v>
      </c>
      <c r="I106" s="126"/>
      <c r="J106" s="118"/>
      <c r="K106" s="118"/>
      <c r="L106" s="118">
        <v>20</v>
      </c>
      <c r="M106" s="98">
        <v>30</v>
      </c>
    </row>
    <row r="107" spans="1:13" s="89" customFormat="1" ht="11.1" customHeight="1" outlineLevel="2" x14ac:dyDescent="0.2">
      <c r="A107" s="97" t="s">
        <v>1413</v>
      </c>
      <c r="B107" s="97"/>
      <c r="C107" s="97"/>
      <c r="D107" s="97"/>
      <c r="E107" s="97"/>
      <c r="F107" s="97"/>
      <c r="G107" s="96" t="s">
        <v>1623</v>
      </c>
      <c r="H107" s="125"/>
      <c r="I107" s="125"/>
      <c r="J107" s="117"/>
      <c r="K107" s="117"/>
      <c r="L107" s="117"/>
      <c r="M107" s="94"/>
    </row>
    <row r="108" spans="1:13" s="89" customFormat="1" ht="11.1" customHeight="1" outlineLevel="3" collapsed="1" x14ac:dyDescent="0.2">
      <c r="A108" s="100" t="s">
        <v>1825</v>
      </c>
      <c r="B108" s="100"/>
      <c r="C108" s="100"/>
      <c r="D108" s="100"/>
      <c r="E108" s="100"/>
      <c r="F108" s="100"/>
      <c r="G108" s="92" t="s">
        <v>1824</v>
      </c>
      <c r="H108" s="126">
        <v>329</v>
      </c>
      <c r="I108" s="126"/>
      <c r="J108" s="118"/>
      <c r="K108" s="118"/>
      <c r="L108" s="118">
        <v>329</v>
      </c>
      <c r="M108" s="90" t="s">
        <v>1620</v>
      </c>
    </row>
    <row r="109" spans="1:13" s="89" customFormat="1" ht="11.1" customHeight="1" outlineLevel="2" x14ac:dyDescent="0.2">
      <c r="A109" s="97" t="s">
        <v>1415</v>
      </c>
      <c r="B109" s="97"/>
      <c r="C109" s="97"/>
      <c r="D109" s="97"/>
      <c r="E109" s="97"/>
      <c r="F109" s="97"/>
      <c r="G109" s="96" t="s">
        <v>1623</v>
      </c>
      <c r="H109" s="125"/>
      <c r="I109" s="125"/>
      <c r="J109" s="117"/>
      <c r="K109" s="117"/>
      <c r="L109" s="117"/>
      <c r="M109" s="94"/>
    </row>
    <row r="110" spans="1:13" s="89" customFormat="1" ht="11.1" customHeight="1" outlineLevel="3" collapsed="1" x14ac:dyDescent="0.2">
      <c r="A110" s="100" t="s">
        <v>1833</v>
      </c>
      <c r="B110" s="100"/>
      <c r="C110" s="100"/>
      <c r="D110" s="100"/>
      <c r="E110" s="100"/>
      <c r="F110" s="100"/>
      <c r="G110" s="92" t="s">
        <v>1824</v>
      </c>
      <c r="H110" s="126">
        <v>12</v>
      </c>
      <c r="I110" s="126"/>
      <c r="J110" s="118"/>
      <c r="K110" s="118"/>
      <c r="L110" s="118">
        <v>12</v>
      </c>
      <c r="M110" s="90" t="s">
        <v>1620</v>
      </c>
    </row>
    <row r="111" spans="1:13" s="89" customFormat="1" ht="11.1" customHeight="1" outlineLevel="2" x14ac:dyDescent="0.2">
      <c r="A111" s="97" t="s">
        <v>1435</v>
      </c>
      <c r="B111" s="97"/>
      <c r="C111" s="97"/>
      <c r="D111" s="97"/>
      <c r="E111" s="97"/>
      <c r="F111" s="97"/>
      <c r="G111" s="96" t="s">
        <v>1623</v>
      </c>
      <c r="H111" s="125"/>
      <c r="I111" s="125"/>
      <c r="J111" s="117"/>
      <c r="K111" s="117"/>
      <c r="L111" s="117"/>
      <c r="M111" s="94"/>
    </row>
    <row r="112" spans="1:13" s="89" customFormat="1" ht="11.1" customHeight="1" outlineLevel="3" collapsed="1" x14ac:dyDescent="0.2">
      <c r="A112" s="93" t="s">
        <v>1636</v>
      </c>
      <c r="B112" s="93"/>
      <c r="C112" s="93"/>
      <c r="D112" s="93"/>
      <c r="E112" s="93"/>
      <c r="F112" s="93"/>
      <c r="G112" s="92" t="s">
        <v>1635</v>
      </c>
      <c r="H112" s="126">
        <v>120</v>
      </c>
      <c r="I112" s="126"/>
      <c r="J112" s="118"/>
      <c r="K112" s="118"/>
      <c r="L112" s="118">
        <v>120</v>
      </c>
      <c r="M112" s="90" t="s">
        <v>1620</v>
      </c>
    </row>
    <row r="113" spans="1:13" s="89" customFormat="1" ht="11.1" customHeight="1" outlineLevel="2" x14ac:dyDescent="0.2">
      <c r="A113" s="97" t="s">
        <v>1439</v>
      </c>
      <c r="B113" s="97"/>
      <c r="C113" s="97"/>
      <c r="D113" s="97"/>
      <c r="E113" s="97"/>
      <c r="F113" s="97"/>
      <c r="G113" s="96" t="s">
        <v>1623</v>
      </c>
      <c r="H113" s="125"/>
      <c r="I113" s="125"/>
      <c r="J113" s="117"/>
      <c r="K113" s="117"/>
      <c r="L113" s="117"/>
      <c r="M113" s="94"/>
    </row>
    <row r="114" spans="1:13" s="89" customFormat="1" ht="11.1" customHeight="1" outlineLevel="3" collapsed="1" x14ac:dyDescent="0.2">
      <c r="A114" s="93" t="s">
        <v>1689</v>
      </c>
      <c r="B114" s="93"/>
      <c r="C114" s="93"/>
      <c r="D114" s="93"/>
      <c r="E114" s="93"/>
      <c r="F114" s="93"/>
      <c r="G114" s="92" t="s">
        <v>1684</v>
      </c>
      <c r="H114" s="126">
        <v>240</v>
      </c>
      <c r="I114" s="126"/>
      <c r="J114" s="118"/>
      <c r="K114" s="118"/>
      <c r="L114" s="118">
        <v>240</v>
      </c>
      <c r="M114" s="90" t="s">
        <v>1620</v>
      </c>
    </row>
    <row r="115" spans="1:13" s="89" customFormat="1" ht="11.1" customHeight="1" outlineLevel="2" x14ac:dyDescent="0.2">
      <c r="A115" s="97" t="s">
        <v>1441</v>
      </c>
      <c r="B115" s="97"/>
      <c r="C115" s="97"/>
      <c r="D115" s="97"/>
      <c r="E115" s="97"/>
      <c r="F115" s="97"/>
      <c r="G115" s="96" t="s">
        <v>1623</v>
      </c>
      <c r="H115" s="125"/>
      <c r="I115" s="125"/>
      <c r="J115" s="117"/>
      <c r="K115" s="117"/>
      <c r="L115" s="117"/>
      <c r="M115" s="94"/>
    </row>
    <row r="116" spans="1:13" s="89" customFormat="1" ht="11.1" customHeight="1" outlineLevel="3" collapsed="1" x14ac:dyDescent="0.2">
      <c r="A116" s="93" t="s">
        <v>1689</v>
      </c>
      <c r="B116" s="93"/>
      <c r="C116" s="93"/>
      <c r="D116" s="93"/>
      <c r="E116" s="93"/>
      <c r="F116" s="93"/>
      <c r="G116" s="92" t="s">
        <v>1684</v>
      </c>
      <c r="H116" s="126">
        <v>288</v>
      </c>
      <c r="I116" s="126"/>
      <c r="J116" s="118"/>
      <c r="K116" s="118"/>
      <c r="L116" s="118">
        <v>288</v>
      </c>
      <c r="M116" s="90" t="s">
        <v>1620</v>
      </c>
    </row>
    <row r="117" spans="1:13" s="89" customFormat="1" ht="11.1" customHeight="1" outlineLevel="2" x14ac:dyDescent="0.2">
      <c r="A117" s="97" t="s">
        <v>1451</v>
      </c>
      <c r="B117" s="97"/>
      <c r="C117" s="97"/>
      <c r="D117" s="97"/>
      <c r="E117" s="97"/>
      <c r="F117" s="97"/>
      <c r="G117" s="96" t="s">
        <v>1623</v>
      </c>
      <c r="H117" s="125"/>
      <c r="I117" s="125"/>
      <c r="J117" s="117"/>
      <c r="K117" s="117"/>
      <c r="L117" s="117"/>
      <c r="M117" s="94"/>
    </row>
    <row r="118" spans="1:13" s="89" customFormat="1" ht="11.1" customHeight="1" outlineLevel="3" collapsed="1" x14ac:dyDescent="0.2">
      <c r="A118" s="93" t="s">
        <v>1685</v>
      </c>
      <c r="B118" s="93"/>
      <c r="C118" s="93"/>
      <c r="D118" s="93"/>
      <c r="E118" s="93"/>
      <c r="F118" s="93"/>
      <c r="G118" s="92" t="s">
        <v>1684</v>
      </c>
      <c r="H118" s="126">
        <v>423</v>
      </c>
      <c r="I118" s="126"/>
      <c r="J118" s="118"/>
      <c r="K118" s="118"/>
      <c r="L118" s="118">
        <v>423</v>
      </c>
      <c r="M118" s="90" t="s">
        <v>1620</v>
      </c>
    </row>
    <row r="119" spans="1:13" s="89" customFormat="1" ht="11.1" customHeight="1" outlineLevel="2" x14ac:dyDescent="0.2">
      <c r="A119" s="97" t="s">
        <v>1457</v>
      </c>
      <c r="B119" s="97"/>
      <c r="C119" s="97"/>
      <c r="D119" s="97"/>
      <c r="E119" s="97"/>
      <c r="F119" s="97"/>
      <c r="G119" s="96" t="s">
        <v>1623</v>
      </c>
      <c r="H119" s="125"/>
      <c r="I119" s="125"/>
      <c r="J119" s="117"/>
      <c r="K119" s="117"/>
      <c r="L119" s="117"/>
      <c r="M119" s="94"/>
    </row>
    <row r="120" spans="1:13" s="89" customFormat="1" ht="11.1" customHeight="1" outlineLevel="3" x14ac:dyDescent="0.2">
      <c r="A120" s="93" t="s">
        <v>1682</v>
      </c>
      <c r="B120" s="93"/>
      <c r="C120" s="93"/>
      <c r="D120" s="93"/>
      <c r="E120" s="93"/>
      <c r="F120" s="93"/>
      <c r="G120" s="92" t="s">
        <v>1630</v>
      </c>
      <c r="H120" s="126">
        <v>48</v>
      </c>
      <c r="I120" s="126"/>
      <c r="J120" s="118"/>
      <c r="K120" s="118"/>
      <c r="L120" s="118">
        <v>48</v>
      </c>
      <c r="M120" s="90" t="s">
        <v>1620</v>
      </c>
    </row>
    <row r="121" spans="1:13" s="89" customFormat="1" ht="11.1" customHeight="1" outlineLevel="3" collapsed="1" x14ac:dyDescent="0.2">
      <c r="A121" s="93" t="s">
        <v>1721</v>
      </c>
      <c r="B121" s="93"/>
      <c r="C121" s="93"/>
      <c r="D121" s="93"/>
      <c r="E121" s="93"/>
      <c r="F121" s="93"/>
      <c r="G121" s="92" t="s">
        <v>1720</v>
      </c>
      <c r="H121" s="126">
        <v>216</v>
      </c>
      <c r="I121" s="126"/>
      <c r="J121" s="118"/>
      <c r="K121" s="118"/>
      <c r="L121" s="118">
        <v>216</v>
      </c>
      <c r="M121" s="90" t="s">
        <v>1620</v>
      </c>
    </row>
    <row r="122" spans="1:13" s="89" customFormat="1" ht="11.1" customHeight="1" outlineLevel="2" x14ac:dyDescent="0.2">
      <c r="A122" s="97" t="s">
        <v>1461</v>
      </c>
      <c r="B122" s="97"/>
      <c r="C122" s="97"/>
      <c r="D122" s="97"/>
      <c r="E122" s="97"/>
      <c r="F122" s="97"/>
      <c r="G122" s="96" t="s">
        <v>1623</v>
      </c>
      <c r="H122" s="125"/>
      <c r="I122" s="125"/>
      <c r="J122" s="117"/>
      <c r="K122" s="117"/>
      <c r="L122" s="117"/>
      <c r="M122" s="94"/>
    </row>
    <row r="123" spans="1:13" s="89" customFormat="1" ht="11.1" customHeight="1" outlineLevel="3" x14ac:dyDescent="0.2">
      <c r="A123" s="93" t="s">
        <v>1681</v>
      </c>
      <c r="B123" s="93"/>
      <c r="C123" s="93"/>
      <c r="D123" s="93"/>
      <c r="E123" s="93"/>
      <c r="F123" s="93"/>
      <c r="G123" s="92" t="s">
        <v>1680</v>
      </c>
      <c r="H123" s="126">
        <v>408</v>
      </c>
      <c r="I123" s="126"/>
      <c r="J123" s="118"/>
      <c r="K123" s="118"/>
      <c r="L123" s="118">
        <v>408</v>
      </c>
      <c r="M123" s="90" t="s">
        <v>1620</v>
      </c>
    </row>
    <row r="124" spans="1:13" s="89" customFormat="1" ht="11.1" customHeight="1" outlineLevel="3" collapsed="1" x14ac:dyDescent="0.2">
      <c r="A124" s="93" t="s">
        <v>1703</v>
      </c>
      <c r="B124" s="93"/>
      <c r="C124" s="93"/>
      <c r="D124" s="93"/>
      <c r="E124" s="93"/>
      <c r="F124" s="93"/>
      <c r="G124" s="92" t="s">
        <v>1702</v>
      </c>
      <c r="H124" s="126">
        <v>168</v>
      </c>
      <c r="I124" s="126"/>
      <c r="J124" s="118"/>
      <c r="K124" s="118"/>
      <c r="L124" s="118">
        <v>168</v>
      </c>
      <c r="M124" s="90" t="s">
        <v>1620</v>
      </c>
    </row>
    <row r="125" spans="1:13" s="89" customFormat="1" ht="11.1" customHeight="1" outlineLevel="2" x14ac:dyDescent="0.2">
      <c r="A125" s="97" t="s">
        <v>1465</v>
      </c>
      <c r="B125" s="97"/>
      <c r="C125" s="97"/>
      <c r="D125" s="97"/>
      <c r="E125" s="97"/>
      <c r="F125" s="97"/>
      <c r="G125" s="96" t="s">
        <v>1623</v>
      </c>
      <c r="H125" s="125"/>
      <c r="I125" s="125"/>
      <c r="J125" s="117"/>
      <c r="K125" s="117"/>
      <c r="L125" s="117"/>
      <c r="M125" s="94"/>
    </row>
    <row r="126" spans="1:13" s="89" customFormat="1" ht="11.1" customHeight="1" outlineLevel="3" collapsed="1" x14ac:dyDescent="0.2">
      <c r="A126" s="93" t="s">
        <v>1636</v>
      </c>
      <c r="B126" s="93"/>
      <c r="C126" s="93"/>
      <c r="D126" s="93"/>
      <c r="E126" s="93"/>
      <c r="F126" s="93"/>
      <c r="G126" s="92" t="s">
        <v>1635</v>
      </c>
      <c r="H126" s="126">
        <v>120</v>
      </c>
      <c r="I126" s="126"/>
      <c r="J126" s="118"/>
      <c r="K126" s="118"/>
      <c r="L126" s="118">
        <v>120</v>
      </c>
      <c r="M126" s="90" t="s">
        <v>1620</v>
      </c>
    </row>
    <row r="127" spans="1:13" s="89" customFormat="1" ht="11.1" customHeight="1" outlineLevel="2" x14ac:dyDescent="0.2">
      <c r="A127" s="97" t="s">
        <v>1469</v>
      </c>
      <c r="B127" s="97"/>
      <c r="C127" s="97"/>
      <c r="D127" s="97"/>
      <c r="E127" s="97"/>
      <c r="F127" s="97"/>
      <c r="G127" s="96" t="s">
        <v>1623</v>
      </c>
      <c r="H127" s="125"/>
      <c r="I127" s="125"/>
      <c r="J127" s="117"/>
      <c r="K127" s="117"/>
      <c r="L127" s="117"/>
      <c r="M127" s="94"/>
    </row>
    <row r="128" spans="1:13" s="89" customFormat="1" ht="11.1" customHeight="1" outlineLevel="3" collapsed="1" x14ac:dyDescent="0.2">
      <c r="A128" s="93" t="s">
        <v>1814</v>
      </c>
      <c r="B128" s="93"/>
      <c r="C128" s="93"/>
      <c r="D128" s="93"/>
      <c r="E128" s="93"/>
      <c r="F128" s="93"/>
      <c r="G128" s="92" t="s">
        <v>1670</v>
      </c>
      <c r="H128" s="126">
        <v>24</v>
      </c>
      <c r="I128" s="126"/>
      <c r="J128" s="118"/>
      <c r="K128" s="118"/>
      <c r="L128" s="118">
        <v>24</v>
      </c>
      <c r="M128" s="90" t="s">
        <v>1620</v>
      </c>
    </row>
    <row r="129" spans="1:13" s="89" customFormat="1" ht="11.1" customHeight="1" outlineLevel="2" x14ac:dyDescent="0.2">
      <c r="A129" s="97" t="s">
        <v>1473</v>
      </c>
      <c r="B129" s="97"/>
      <c r="C129" s="97"/>
      <c r="D129" s="97"/>
      <c r="E129" s="97"/>
      <c r="F129" s="97"/>
      <c r="G129" s="96" t="s">
        <v>1623</v>
      </c>
      <c r="H129" s="125"/>
      <c r="I129" s="125"/>
      <c r="J129" s="117"/>
      <c r="K129" s="117"/>
      <c r="L129" s="117"/>
      <c r="M129" s="94"/>
    </row>
    <row r="130" spans="1:13" s="89" customFormat="1" ht="11.1" customHeight="1" outlineLevel="3" x14ac:dyDescent="0.2">
      <c r="A130" s="93" t="s">
        <v>1669</v>
      </c>
      <c r="B130" s="93"/>
      <c r="C130" s="93"/>
      <c r="D130" s="93"/>
      <c r="E130" s="93"/>
      <c r="F130" s="93"/>
      <c r="G130" s="92" t="s">
        <v>1668</v>
      </c>
      <c r="H130" s="126">
        <v>384</v>
      </c>
      <c r="I130" s="126"/>
      <c r="J130" s="118"/>
      <c r="K130" s="118"/>
      <c r="L130" s="118">
        <v>384</v>
      </c>
      <c r="M130" s="90" t="s">
        <v>1620</v>
      </c>
    </row>
    <row r="131" spans="1:13" s="89" customFormat="1" ht="9.9499999999999993" customHeight="1" outlineLevel="1" x14ac:dyDescent="0.2">
      <c r="H131" s="113"/>
      <c r="I131" s="113"/>
      <c r="J131" s="113"/>
      <c r="K131" s="113"/>
      <c r="L131" s="113"/>
    </row>
  </sheetData>
  <mergeCells count="241">
    <mergeCell ref="L14:L15"/>
    <mergeCell ref="M14:M15"/>
    <mergeCell ref="A15:F15"/>
    <mergeCell ref="A20:F20"/>
    <mergeCell ref="H20:I20"/>
    <mergeCell ref="C9:D9"/>
    <mergeCell ref="A11:C11"/>
    <mergeCell ref="A13:G13"/>
    <mergeCell ref="H13:M13"/>
    <mergeCell ref="A14:F14"/>
    <mergeCell ref="H14:I15"/>
    <mergeCell ref="J14:J15"/>
    <mergeCell ref="K14:K15"/>
    <mergeCell ref="A25:F25"/>
    <mergeCell ref="H25:I25"/>
    <mergeCell ref="A16:G16"/>
    <mergeCell ref="H16:I16"/>
    <mergeCell ref="A17:F17"/>
    <mergeCell ref="H17:I17"/>
    <mergeCell ref="A18:F18"/>
    <mergeCell ref="H18:I18"/>
    <mergeCell ref="A19:F19"/>
    <mergeCell ref="H19:I19"/>
    <mergeCell ref="A30:F30"/>
    <mergeCell ref="H30:I30"/>
    <mergeCell ref="A21:F21"/>
    <mergeCell ref="H21:I21"/>
    <mergeCell ref="A22:F22"/>
    <mergeCell ref="H22:I22"/>
    <mergeCell ref="A23:F23"/>
    <mergeCell ref="H23:I23"/>
    <mergeCell ref="A24:F24"/>
    <mergeCell ref="H24:I24"/>
    <mergeCell ref="A35:F35"/>
    <mergeCell ref="H35:I35"/>
    <mergeCell ref="A26:F26"/>
    <mergeCell ref="H26:I26"/>
    <mergeCell ref="A27:F27"/>
    <mergeCell ref="H27:I27"/>
    <mergeCell ref="A28:F28"/>
    <mergeCell ref="H28:I28"/>
    <mergeCell ref="A29:F29"/>
    <mergeCell ref="H29:I29"/>
    <mergeCell ref="A40:F40"/>
    <mergeCell ref="H40:I40"/>
    <mergeCell ref="A31:F31"/>
    <mergeCell ref="H31:I31"/>
    <mergeCell ref="A32:F32"/>
    <mergeCell ref="H32:I32"/>
    <mergeCell ref="A33:F33"/>
    <mergeCell ref="H33:I33"/>
    <mergeCell ref="A34:F34"/>
    <mergeCell ref="H34:I34"/>
    <mergeCell ref="A45:F45"/>
    <mergeCell ref="H45:I45"/>
    <mergeCell ref="A36:F36"/>
    <mergeCell ref="H36:I36"/>
    <mergeCell ref="A37:F37"/>
    <mergeCell ref="H37:I37"/>
    <mergeCell ref="A38:F38"/>
    <mergeCell ref="H38:I38"/>
    <mergeCell ref="A39:F39"/>
    <mergeCell ref="H39:I39"/>
    <mergeCell ref="A50:F50"/>
    <mergeCell ref="H50:I50"/>
    <mergeCell ref="A41:F41"/>
    <mergeCell ref="H41:I41"/>
    <mergeCell ref="A42:F42"/>
    <mergeCell ref="H42:I42"/>
    <mergeCell ref="A43:F43"/>
    <mergeCell ref="H43:I43"/>
    <mergeCell ref="A44:F44"/>
    <mergeCell ref="H44:I44"/>
    <mergeCell ref="A55:F55"/>
    <mergeCell ref="H55:I55"/>
    <mergeCell ref="A46:F46"/>
    <mergeCell ref="H46:I46"/>
    <mergeCell ref="A47:F47"/>
    <mergeCell ref="H47:I47"/>
    <mergeCell ref="A48:F48"/>
    <mergeCell ref="H48:I48"/>
    <mergeCell ref="A49:F49"/>
    <mergeCell ref="H49:I49"/>
    <mergeCell ref="A60:F60"/>
    <mergeCell ref="H60:I60"/>
    <mergeCell ref="A51:F51"/>
    <mergeCell ref="H51:I51"/>
    <mergeCell ref="A52:F52"/>
    <mergeCell ref="H52:I52"/>
    <mergeCell ref="A53:F53"/>
    <mergeCell ref="H53:I53"/>
    <mergeCell ref="A54:F54"/>
    <mergeCell ref="H54:I54"/>
    <mergeCell ref="A65:F65"/>
    <mergeCell ref="H65:I65"/>
    <mergeCell ref="A56:F56"/>
    <mergeCell ref="H56:I56"/>
    <mergeCell ref="A57:F57"/>
    <mergeCell ref="H57:I57"/>
    <mergeCell ref="A58:F58"/>
    <mergeCell ref="H58:I58"/>
    <mergeCell ref="A59:F59"/>
    <mergeCell ref="H59:I59"/>
    <mergeCell ref="A70:F70"/>
    <mergeCell ref="H70:I70"/>
    <mergeCell ref="A61:F61"/>
    <mergeCell ref="H61:I61"/>
    <mergeCell ref="A62:F62"/>
    <mergeCell ref="H62:I62"/>
    <mergeCell ref="A63:F63"/>
    <mergeCell ref="H63:I63"/>
    <mergeCell ref="A64:F64"/>
    <mergeCell ref="H64:I64"/>
    <mergeCell ref="A75:F75"/>
    <mergeCell ref="H75:I75"/>
    <mergeCell ref="A66:F66"/>
    <mergeCell ref="H66:I66"/>
    <mergeCell ref="A67:F67"/>
    <mergeCell ref="H67:I67"/>
    <mergeCell ref="A68:F68"/>
    <mergeCell ref="H68:I68"/>
    <mergeCell ref="A69:F69"/>
    <mergeCell ref="H69:I69"/>
    <mergeCell ref="A80:F80"/>
    <mergeCell ref="H80:I80"/>
    <mergeCell ref="A71:F71"/>
    <mergeCell ref="H71:I71"/>
    <mergeCell ref="A72:F72"/>
    <mergeCell ref="H72:I72"/>
    <mergeCell ref="A73:F73"/>
    <mergeCell ref="H73:I73"/>
    <mergeCell ref="A74:F74"/>
    <mergeCell ref="H74:I74"/>
    <mergeCell ref="A85:F85"/>
    <mergeCell ref="H85:I85"/>
    <mergeCell ref="A76:F76"/>
    <mergeCell ref="H76:I76"/>
    <mergeCell ref="A77:F77"/>
    <mergeCell ref="H77:I77"/>
    <mergeCell ref="A78:F78"/>
    <mergeCell ref="H78:I78"/>
    <mergeCell ref="A79:F79"/>
    <mergeCell ref="H79:I79"/>
    <mergeCell ref="A90:F90"/>
    <mergeCell ref="H90:I90"/>
    <mergeCell ref="A81:F81"/>
    <mergeCell ref="H81:I81"/>
    <mergeCell ref="A82:F82"/>
    <mergeCell ref="H82:I82"/>
    <mergeCell ref="A83:F83"/>
    <mergeCell ref="H83:I83"/>
    <mergeCell ref="A84:F84"/>
    <mergeCell ref="H84:I84"/>
    <mergeCell ref="A95:F95"/>
    <mergeCell ref="H95:I95"/>
    <mergeCell ref="A86:F86"/>
    <mergeCell ref="H86:I86"/>
    <mergeCell ref="A87:F87"/>
    <mergeCell ref="H87:I87"/>
    <mergeCell ref="A88:F88"/>
    <mergeCell ref="H88:I88"/>
    <mergeCell ref="A89:F89"/>
    <mergeCell ref="H89:I89"/>
    <mergeCell ref="A91:F91"/>
    <mergeCell ref="H91:I91"/>
    <mergeCell ref="A92:F92"/>
    <mergeCell ref="H92:I92"/>
    <mergeCell ref="A93:F93"/>
    <mergeCell ref="H93:I93"/>
    <mergeCell ref="A94:F94"/>
    <mergeCell ref="H94:I94"/>
    <mergeCell ref="A96:F96"/>
    <mergeCell ref="H96:I96"/>
    <mergeCell ref="A97:F97"/>
    <mergeCell ref="H97:I97"/>
    <mergeCell ref="A99:F99"/>
    <mergeCell ref="H99:I99"/>
    <mergeCell ref="A104:F104"/>
    <mergeCell ref="H104:I104"/>
    <mergeCell ref="A98:G98"/>
    <mergeCell ref="H98:I98"/>
    <mergeCell ref="A109:F109"/>
    <mergeCell ref="H109:I109"/>
    <mergeCell ref="A100:F100"/>
    <mergeCell ref="H100:I100"/>
    <mergeCell ref="A101:F101"/>
    <mergeCell ref="H101:I101"/>
    <mergeCell ref="A102:F102"/>
    <mergeCell ref="H102:I102"/>
    <mergeCell ref="A103:F103"/>
    <mergeCell ref="H103:I103"/>
    <mergeCell ref="A114:F114"/>
    <mergeCell ref="H114:I114"/>
    <mergeCell ref="A105:F105"/>
    <mergeCell ref="H105:I105"/>
    <mergeCell ref="A106:F106"/>
    <mergeCell ref="H106:I106"/>
    <mergeCell ref="A107:F107"/>
    <mergeCell ref="H107:I107"/>
    <mergeCell ref="A108:F108"/>
    <mergeCell ref="H108:I108"/>
    <mergeCell ref="A119:F119"/>
    <mergeCell ref="H119:I119"/>
    <mergeCell ref="A110:F110"/>
    <mergeCell ref="H110:I110"/>
    <mergeCell ref="A111:F111"/>
    <mergeCell ref="H111:I111"/>
    <mergeCell ref="A112:F112"/>
    <mergeCell ref="H112:I112"/>
    <mergeCell ref="A113:F113"/>
    <mergeCell ref="H113:I113"/>
    <mergeCell ref="A124:F124"/>
    <mergeCell ref="H124:I124"/>
    <mergeCell ref="A115:F115"/>
    <mergeCell ref="H115:I115"/>
    <mergeCell ref="A116:F116"/>
    <mergeCell ref="H116:I116"/>
    <mergeCell ref="A117:F117"/>
    <mergeCell ref="H117:I117"/>
    <mergeCell ref="A118:F118"/>
    <mergeCell ref="H118:I118"/>
    <mergeCell ref="A129:F129"/>
    <mergeCell ref="H129:I129"/>
    <mergeCell ref="A120:F120"/>
    <mergeCell ref="H120:I120"/>
    <mergeCell ref="A121:F121"/>
    <mergeCell ref="H121:I121"/>
    <mergeCell ref="A122:F122"/>
    <mergeCell ref="H122:I122"/>
    <mergeCell ref="A123:F123"/>
    <mergeCell ref="H123:I123"/>
    <mergeCell ref="A130:F130"/>
    <mergeCell ref="H130:I130"/>
    <mergeCell ref="A125:F125"/>
    <mergeCell ref="H125:I125"/>
    <mergeCell ref="A126:F126"/>
    <mergeCell ref="H126:I126"/>
    <mergeCell ref="A127:F127"/>
    <mergeCell ref="H127:I127"/>
    <mergeCell ref="A128:F128"/>
    <mergeCell ref="H128:I128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Лакония Headrock </vt:lpstr>
      <vt:lpstr>Янковский Headrock</vt:lpstr>
      <vt:lpstr>KRONbuild;ENKI Лакония </vt:lpstr>
      <vt:lpstr>KRONbuild;ENKI Янковский</vt:lpstr>
      <vt:lpstr>KRONbuild;ENKI Новосибирск</vt:lpstr>
      <vt:lpstr>Склад Новосибирск</vt:lpstr>
      <vt:lpstr>Сроки Лакония</vt:lpstr>
      <vt:lpstr>Сроки Янковский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Саруханова</dc:creator>
  <cp:lastModifiedBy>Мария Саруханова</cp:lastModifiedBy>
  <dcterms:created xsi:type="dcterms:W3CDTF">2025-06-25T02:14:05Z</dcterms:created>
  <dcterms:modified xsi:type="dcterms:W3CDTF">2026-08-25T09:25:16Z</dcterms:modified>
</cp:coreProperties>
</file>